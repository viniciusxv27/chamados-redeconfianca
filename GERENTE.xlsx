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EstaPastaDeTrabalho"/>
  <mc:AlternateContent xmlns:mc="http://schemas.openxmlformats.org/markup-compatibility/2006">
    <mc:Choice Requires="x15">
      <x15ac:absPath xmlns:x15ac="http://schemas.microsoft.com/office/spreadsheetml/2010/11/ac" url="G:\Meu Drive\Inteligencia\Inteligencia\SIMULADORES\"/>
    </mc:Choice>
  </mc:AlternateContent>
  <xr:revisionPtr revIDLastSave="0" documentId="13_ncr:1_{9598E183-FDBA-4D81-B464-B1CEC295C99C}" xr6:coauthVersionLast="47" xr6:coauthVersionMax="47" xr10:uidLastSave="{00000000-0000-0000-0000-000000000000}"/>
  <bookViews>
    <workbookView xWindow="-16500" yWindow="-108" windowWidth="16608" windowHeight="8712" firstSheet="19" activeTab="9" xr2:uid="{7DFB0D06-DF95-4772-BB9F-35EFA7E45105}"/>
  </bookViews>
  <sheets>
    <sheet name="FATORES" sheetId="3" state="hidden" r:id="rId1"/>
    <sheet name="REALIZADO" sheetId="4" state="hidden" r:id="rId2"/>
    <sheet name="PROJEÇÃO" sheetId="5" state="hidden" r:id="rId3"/>
    <sheet name="CAPA" sheetId="26" r:id="rId4"/>
    <sheet name="ANCHIETA" sheetId="1" r:id="rId5"/>
    <sheet name="BOM JESUS" sheetId="48" r:id="rId6"/>
    <sheet name="ICONHA" sheetId="49" r:id="rId7"/>
    <sheet name="MIRACEMA" sheetId="50" r:id="rId8"/>
    <sheet name="PIUMA" sheetId="51" r:id="rId9"/>
    <sheet name="QUISSAMA" sheetId="52" r:id="rId10"/>
    <sheet name="ST PADUA" sheetId="53" r:id="rId11"/>
    <sheet name="SAO FIDELIS" sheetId="54" r:id="rId12"/>
    <sheet name="CENTRO VV" sheetId="55" r:id="rId13"/>
    <sheet name="CENTRO VIX" sheetId="56" r:id="rId14"/>
    <sheet name="GLORIA" sheetId="57" r:id="rId15"/>
    <sheet name="MASTERPLACE" sheetId="59" r:id="rId16"/>
    <sheet name="NORTE SUL" sheetId="60" r:id="rId17"/>
    <sheet name="ITACIBA" sheetId="61" r:id="rId18"/>
    <sheet name="JARDIM CAMBURI" sheetId="58" r:id="rId19"/>
    <sheet name="JACARAIPE" sheetId="62" r:id="rId20"/>
    <sheet name="LARANJEIRAS" sheetId="63" r:id="rId21"/>
    <sheet name="MARCILIO DE NORONHA" sheetId="64" r:id="rId22"/>
    <sheet name="MONTSERRAT" sheetId="65" r:id="rId23"/>
    <sheet name="PORTO CANOA" sheetId="66" r:id="rId24"/>
    <sheet name="SERRA SEDE" sheetId="67" r:id="rId25"/>
  </sheets>
  <definedNames>
    <definedName name="DadosExternos_1" localSheetId="2" hidden="1">PROJEÇÃO!$A$1:$T$106</definedName>
    <definedName name="DadosExternos_1" localSheetId="1" hidden="1">'REALIZADO'!$A$1:$Y$106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3" i="62" l="1"/>
  <c r="D52" i="62"/>
  <c r="D50" i="62"/>
  <c r="D48" i="62"/>
  <c r="D47" i="62"/>
  <c r="D46" i="62"/>
  <c r="D45" i="62"/>
  <c r="C53" i="62"/>
  <c r="C52" i="62"/>
  <c r="C50" i="62"/>
  <c r="C48" i="62"/>
  <c r="C47" i="62"/>
  <c r="C46" i="62"/>
  <c r="C45" i="62"/>
  <c r="Z2" i="4"/>
  <c r="Z3" i="4"/>
  <c r="Z4" i="4"/>
  <c r="Z5" i="4"/>
  <c r="Z6" i="4"/>
  <c r="Z7" i="4"/>
  <c r="Z8" i="4"/>
  <c r="Z9" i="4"/>
  <c r="Z10" i="4"/>
  <c r="Z11" i="4"/>
  <c r="Z12" i="4"/>
  <c r="Z13" i="4"/>
  <c r="Z14" i="4"/>
  <c r="Z15" i="4"/>
  <c r="Z16" i="4"/>
  <c r="Z17" i="4"/>
  <c r="Z18" i="4"/>
  <c r="Z19" i="4"/>
  <c r="Z20" i="4"/>
  <c r="Z21" i="4"/>
  <c r="Z22" i="4"/>
  <c r="Z23" i="4"/>
  <c r="Z24" i="4"/>
  <c r="Z25" i="4"/>
  <c r="Z26" i="4"/>
  <c r="Z27" i="4"/>
  <c r="Z28" i="4"/>
  <c r="Z29" i="4"/>
  <c r="Z30" i="4"/>
  <c r="Z31" i="4"/>
  <c r="Z32" i="4"/>
  <c r="Z33" i="4"/>
  <c r="Z34" i="4"/>
  <c r="Z35" i="4"/>
  <c r="Z36" i="4"/>
  <c r="Z37" i="4"/>
  <c r="Z38" i="4"/>
  <c r="Z39" i="4"/>
  <c r="Z40" i="4"/>
  <c r="Z41" i="4"/>
  <c r="Z42" i="4"/>
  <c r="Z43" i="4"/>
  <c r="Z44" i="4"/>
  <c r="Z45" i="4"/>
  <c r="Z46" i="4"/>
  <c r="Z47" i="4"/>
  <c r="Z48" i="4"/>
  <c r="Z49" i="4"/>
  <c r="Z50" i="4"/>
  <c r="Z51" i="4"/>
  <c r="Z52" i="4"/>
  <c r="Z53" i="4"/>
  <c r="Z54" i="4"/>
  <c r="Z55" i="4"/>
  <c r="Z56" i="4"/>
  <c r="Z57" i="4"/>
  <c r="Z58" i="4"/>
  <c r="Z59" i="4"/>
  <c r="Z60" i="4"/>
  <c r="Z61" i="4"/>
  <c r="Z62" i="4"/>
  <c r="Z63" i="4"/>
  <c r="Z64" i="4"/>
  <c r="Z65" i="4"/>
  <c r="Z66" i="4"/>
  <c r="Z67" i="4"/>
  <c r="Z68" i="4"/>
  <c r="Z69" i="4"/>
  <c r="Z70" i="4"/>
  <c r="Z71" i="4"/>
  <c r="Z72" i="4"/>
  <c r="Z73" i="4"/>
  <c r="Z74" i="4"/>
  <c r="Z75" i="4"/>
  <c r="Z76" i="4"/>
  <c r="Z77" i="4"/>
  <c r="Z78" i="4"/>
  <c r="Z79" i="4"/>
  <c r="Z80" i="4"/>
  <c r="Z81" i="4"/>
  <c r="Z82" i="4"/>
  <c r="Z83" i="4"/>
  <c r="Z84" i="4"/>
  <c r="Z85" i="4"/>
  <c r="Z86" i="4"/>
  <c r="Z87" i="4"/>
  <c r="Z88" i="4"/>
  <c r="Z89" i="4"/>
  <c r="Z90" i="4"/>
  <c r="Z91" i="4"/>
  <c r="Z92" i="4"/>
  <c r="Z93" i="4"/>
  <c r="Z94" i="4"/>
  <c r="Z95" i="4"/>
  <c r="Z96" i="4"/>
  <c r="Z97" i="4"/>
  <c r="Z98" i="4"/>
  <c r="Z99" i="4"/>
  <c r="Z100" i="4"/>
  <c r="Z101" i="4"/>
  <c r="Z102" i="4"/>
  <c r="Z103" i="4"/>
  <c r="Z104" i="4"/>
  <c r="Z105" i="4"/>
  <c r="Z106" i="4"/>
  <c r="C53" i="51"/>
  <c r="C52" i="51"/>
  <c r="E52" i="51" s="1"/>
  <c r="C50" i="51"/>
  <c r="C48" i="51"/>
  <c r="C47" i="51"/>
  <c r="C46" i="51"/>
  <c r="C45" i="51"/>
  <c r="D51" i="51"/>
  <c r="D50" i="51"/>
  <c r="D49" i="51"/>
  <c r="D48" i="51"/>
  <c r="D46" i="51"/>
  <c r="D45" i="51"/>
  <c r="D48" i="57"/>
  <c r="D45" i="56"/>
  <c r="L48" i="1"/>
  <c r="K53" i="1"/>
  <c r="M53" i="1" s="1"/>
  <c r="N53" i="1" s="1"/>
  <c r="K52" i="1"/>
  <c r="M52" i="1" s="1"/>
  <c r="N52" i="1" s="1"/>
  <c r="K50" i="1"/>
  <c r="M50" i="1" s="1"/>
  <c r="K48" i="1"/>
  <c r="K47" i="1"/>
  <c r="M47" i="1" s="1"/>
  <c r="N47" i="1" s="1"/>
  <c r="K46" i="1"/>
  <c r="K45" i="1"/>
  <c r="E52" i="62"/>
  <c r="G52" i="62" s="1"/>
  <c r="E48" i="62"/>
  <c r="C45" i="1"/>
  <c r="E45" i="1" s="1"/>
  <c r="C52" i="1"/>
  <c r="E52" i="1" s="1"/>
  <c r="C53" i="1"/>
  <c r="E53" i="1" s="1"/>
  <c r="S54" i="50"/>
  <c r="E52" i="66"/>
  <c r="G52" i="66"/>
  <c r="E50" i="66"/>
  <c r="G51" i="66"/>
  <c r="E48" i="66"/>
  <c r="G48" i="66"/>
  <c r="E46" i="62"/>
  <c r="E45" i="62"/>
  <c r="C53" i="59"/>
  <c r="E53" i="59" s="1"/>
  <c r="C52" i="59"/>
  <c r="E52" i="59" s="1"/>
  <c r="C50" i="59"/>
  <c r="E50" i="59" s="1"/>
  <c r="G50" i="59" s="1"/>
  <c r="C48" i="59"/>
  <c r="E48" i="59" s="1"/>
  <c r="C46" i="59"/>
  <c r="E46" i="59" s="1"/>
  <c r="G46" i="59" s="1"/>
  <c r="C45" i="59"/>
  <c r="C53" i="56"/>
  <c r="E53" i="56" s="1"/>
  <c r="C52" i="56"/>
  <c r="E52" i="56" s="1"/>
  <c r="C50" i="56"/>
  <c r="E50" i="56" s="1"/>
  <c r="G51" i="56" s="1"/>
  <c r="C48" i="56"/>
  <c r="C47" i="56"/>
  <c r="E47" i="56" s="1"/>
  <c r="D46" i="53"/>
  <c r="C50" i="1"/>
  <c r="D48" i="1"/>
  <c r="C48" i="1"/>
  <c r="C47" i="1"/>
  <c r="C46" i="1"/>
  <c r="E46" i="1" s="1"/>
  <c r="G46" i="1" s="1"/>
  <c r="C53" i="60"/>
  <c r="E53" i="60" s="1"/>
  <c r="C52" i="60"/>
  <c r="E52" i="60" s="1"/>
  <c r="G52" i="60" s="1"/>
  <c r="C50" i="60"/>
  <c r="E50" i="60" s="1"/>
  <c r="C48" i="60"/>
  <c r="E48" i="60" s="1"/>
  <c r="C47" i="60"/>
  <c r="E47" i="60" s="1"/>
  <c r="C46" i="60"/>
  <c r="E46" i="60" s="1"/>
  <c r="G46" i="60" s="1"/>
  <c r="C45" i="60"/>
  <c r="E45" i="60" s="1"/>
  <c r="C47" i="57"/>
  <c r="C46" i="57"/>
  <c r="E46" i="57" s="1"/>
  <c r="G46" i="57" s="1"/>
  <c r="L53" i="61"/>
  <c r="L52" i="61"/>
  <c r="L51" i="61"/>
  <c r="L50" i="61"/>
  <c r="L49" i="61"/>
  <c r="L48" i="61"/>
  <c r="L47" i="61"/>
  <c r="L45" i="61"/>
  <c r="C53" i="61"/>
  <c r="E53" i="61" s="1"/>
  <c r="C50" i="61"/>
  <c r="E50" i="61" s="1"/>
  <c r="C48" i="61"/>
  <c r="E48" i="61" s="1"/>
  <c r="C47" i="61"/>
  <c r="E47" i="61" s="1"/>
  <c r="O47" i="61" s="1"/>
  <c r="C46" i="61"/>
  <c r="E46" i="61" s="1"/>
  <c r="C45" i="61"/>
  <c r="E45" i="61" s="1"/>
  <c r="C53" i="53"/>
  <c r="E53" i="53" s="1"/>
  <c r="C52" i="53"/>
  <c r="C50" i="53"/>
  <c r="C48" i="53"/>
  <c r="C47" i="53"/>
  <c r="C46" i="53"/>
  <c r="C45" i="53"/>
  <c r="C53" i="64"/>
  <c r="E53" i="64" s="1"/>
  <c r="C52" i="64"/>
  <c r="E52" i="64" s="1"/>
  <c r="C50" i="64"/>
  <c r="E50" i="64" s="1"/>
  <c r="C48" i="64"/>
  <c r="E48" i="64" s="1"/>
  <c r="F49" i="64" s="1"/>
  <c r="H49" i="64" s="1"/>
  <c r="C47" i="64"/>
  <c r="E47" i="64" s="1"/>
  <c r="C46" i="64"/>
  <c r="E46" i="64" s="1"/>
  <c r="C45" i="64"/>
  <c r="E45" i="64" s="1"/>
  <c r="C53" i="58"/>
  <c r="E53" i="58" s="1"/>
  <c r="C52" i="58"/>
  <c r="E52" i="58" s="1"/>
  <c r="C50" i="58"/>
  <c r="E50" i="58" s="1"/>
  <c r="C48" i="58"/>
  <c r="E48" i="58" s="1"/>
  <c r="C47" i="58"/>
  <c r="E47" i="58" s="1"/>
  <c r="C46" i="58"/>
  <c r="E46" i="58" s="1"/>
  <c r="C45" i="58"/>
  <c r="E45" i="58" s="1"/>
  <c r="E53" i="62"/>
  <c r="G53" i="62" s="1"/>
  <c r="E53" i="51"/>
  <c r="G53" i="51" s="1"/>
  <c r="E47" i="51"/>
  <c r="O51" i="67"/>
  <c r="O49" i="67"/>
  <c r="O36" i="67"/>
  <c r="O34" i="67"/>
  <c r="O21" i="67"/>
  <c r="O19" i="67"/>
  <c r="O51" i="66"/>
  <c r="O49" i="66"/>
  <c r="O36" i="66"/>
  <c r="O34" i="66"/>
  <c r="O21" i="66"/>
  <c r="O19" i="66"/>
  <c r="O51" i="65"/>
  <c r="O49" i="65"/>
  <c r="P49" i="65" s="1"/>
  <c r="O36" i="65"/>
  <c r="O34" i="65"/>
  <c r="O21" i="65"/>
  <c r="O19" i="65"/>
  <c r="O51" i="64"/>
  <c r="O49" i="64"/>
  <c r="O36" i="64"/>
  <c r="O34" i="64"/>
  <c r="O21" i="64"/>
  <c r="O19" i="64"/>
  <c r="O51" i="63"/>
  <c r="O49" i="63"/>
  <c r="O36" i="63"/>
  <c r="O34" i="63"/>
  <c r="O21" i="63"/>
  <c r="O19" i="63"/>
  <c r="O51" i="62"/>
  <c r="O49" i="62"/>
  <c r="O36" i="62"/>
  <c r="O34" i="62"/>
  <c r="O21" i="62"/>
  <c r="O19" i="62"/>
  <c r="O51" i="61"/>
  <c r="O49" i="61"/>
  <c r="O36" i="61"/>
  <c r="O34" i="61"/>
  <c r="O21" i="61"/>
  <c r="O19" i="61"/>
  <c r="O51" i="60"/>
  <c r="O49" i="60"/>
  <c r="O36" i="60"/>
  <c r="O34" i="60"/>
  <c r="O21" i="60"/>
  <c r="O19" i="60"/>
  <c r="O51" i="59"/>
  <c r="O49" i="59"/>
  <c r="O36" i="59"/>
  <c r="O34" i="59"/>
  <c r="O21" i="59"/>
  <c r="O19" i="59"/>
  <c r="O51" i="58"/>
  <c r="O49" i="58"/>
  <c r="O36" i="58"/>
  <c r="O34" i="58"/>
  <c r="O21" i="58"/>
  <c r="O19" i="58"/>
  <c r="O51" i="57"/>
  <c r="O49" i="57"/>
  <c r="O36" i="57"/>
  <c r="O34" i="57"/>
  <c r="O21" i="57"/>
  <c r="O19" i="57"/>
  <c r="O51" i="56"/>
  <c r="O49" i="56"/>
  <c r="O36" i="56"/>
  <c r="O34" i="56"/>
  <c r="O21" i="56"/>
  <c r="O19" i="56"/>
  <c r="O53" i="55"/>
  <c r="O52" i="55"/>
  <c r="O51" i="55"/>
  <c r="O50" i="55"/>
  <c r="O49" i="55"/>
  <c r="O36" i="55"/>
  <c r="O34" i="55"/>
  <c r="O21" i="55"/>
  <c r="O19" i="55"/>
  <c r="O51" i="54"/>
  <c r="O49" i="54"/>
  <c r="O46" i="54"/>
  <c r="O36" i="54"/>
  <c r="O34" i="54"/>
  <c r="O21" i="54"/>
  <c r="O19" i="54"/>
  <c r="O51" i="53"/>
  <c r="O49" i="53"/>
  <c r="O36" i="53"/>
  <c r="O34" i="53"/>
  <c r="O21" i="53"/>
  <c r="O19" i="53"/>
  <c r="O51" i="52"/>
  <c r="O49" i="52"/>
  <c r="O46" i="52"/>
  <c r="O36" i="52"/>
  <c r="O34" i="52"/>
  <c r="O21" i="52"/>
  <c r="O19" i="52"/>
  <c r="O51" i="51"/>
  <c r="O49" i="51"/>
  <c r="O36" i="51"/>
  <c r="O34" i="51"/>
  <c r="O21" i="51"/>
  <c r="O19" i="51"/>
  <c r="O53" i="50"/>
  <c r="O52" i="50"/>
  <c r="O51" i="50"/>
  <c r="O50" i="50"/>
  <c r="O49" i="50"/>
  <c r="O48" i="50"/>
  <c r="O47" i="50"/>
  <c r="O46" i="50"/>
  <c r="O45" i="50"/>
  <c r="O36" i="50"/>
  <c r="O34" i="50"/>
  <c r="O21" i="50"/>
  <c r="O19" i="50"/>
  <c r="O51" i="49"/>
  <c r="O49" i="49"/>
  <c r="O46" i="49"/>
  <c r="O36" i="49"/>
  <c r="O34" i="49"/>
  <c r="O21" i="49"/>
  <c r="O19" i="49"/>
  <c r="O53" i="48"/>
  <c r="O52" i="48"/>
  <c r="O51" i="48"/>
  <c r="O50" i="48"/>
  <c r="O49" i="48"/>
  <c r="O48" i="48"/>
  <c r="O47" i="48"/>
  <c r="O46" i="48"/>
  <c r="O36" i="48"/>
  <c r="O34" i="48"/>
  <c r="O21" i="48"/>
  <c r="O19" i="48"/>
  <c r="O49" i="1"/>
  <c r="O51" i="1"/>
  <c r="O34" i="1"/>
  <c r="O36" i="1"/>
  <c r="O19" i="1"/>
  <c r="O21" i="1"/>
  <c r="Q53" i="67"/>
  <c r="M53" i="67"/>
  <c r="N53" i="67"/>
  <c r="E53" i="67"/>
  <c r="Q52" i="67"/>
  <c r="M52" i="67"/>
  <c r="N52" i="67"/>
  <c r="E52" i="67"/>
  <c r="Q51" i="67"/>
  <c r="Q50" i="67"/>
  <c r="M50" i="67"/>
  <c r="E50" i="67"/>
  <c r="Q49" i="67"/>
  <c r="Q48" i="67"/>
  <c r="M48" i="67"/>
  <c r="E48" i="67"/>
  <c r="Q47" i="67"/>
  <c r="M47" i="67"/>
  <c r="N47" i="67"/>
  <c r="E47" i="67"/>
  <c r="Q46" i="67"/>
  <c r="M46" i="67"/>
  <c r="N46" i="67"/>
  <c r="E46" i="67"/>
  <c r="Q45" i="67"/>
  <c r="M45" i="67"/>
  <c r="N45" i="67"/>
  <c r="E45" i="67"/>
  <c r="Q38" i="67"/>
  <c r="D38" i="67"/>
  <c r="C38" i="67"/>
  <c r="Q37" i="67"/>
  <c r="D37" i="67"/>
  <c r="C37" i="67"/>
  <c r="Q36" i="67"/>
  <c r="D36" i="67"/>
  <c r="Q35" i="67"/>
  <c r="D35" i="67"/>
  <c r="C35" i="67"/>
  <c r="Q34" i="67"/>
  <c r="D34" i="67"/>
  <c r="Q33" i="67"/>
  <c r="D33" i="67"/>
  <c r="C33" i="67"/>
  <c r="Q32" i="67"/>
  <c r="D32" i="67"/>
  <c r="C32" i="67"/>
  <c r="Q31" i="67"/>
  <c r="D31" i="67"/>
  <c r="C31" i="67"/>
  <c r="Q30" i="67"/>
  <c r="D30" i="67"/>
  <c r="C30" i="67"/>
  <c r="Q23" i="67"/>
  <c r="L23" i="67"/>
  <c r="D23" i="67"/>
  <c r="C23" i="67"/>
  <c r="Q22" i="67"/>
  <c r="L22" i="67"/>
  <c r="D22" i="67"/>
  <c r="C22" i="67"/>
  <c r="Q21" i="67"/>
  <c r="L21" i="67"/>
  <c r="D21" i="67"/>
  <c r="Q20" i="67"/>
  <c r="L20" i="67"/>
  <c r="D20" i="67"/>
  <c r="C20" i="67"/>
  <c r="Q19" i="67"/>
  <c r="L19" i="67"/>
  <c r="D19" i="67"/>
  <c r="Q18" i="67"/>
  <c r="L18" i="67"/>
  <c r="D18" i="67"/>
  <c r="C18" i="67"/>
  <c r="Q17" i="67"/>
  <c r="L17" i="67"/>
  <c r="D17" i="67"/>
  <c r="C17" i="67"/>
  <c r="Q16" i="67"/>
  <c r="L16" i="67"/>
  <c r="D16" i="67"/>
  <c r="C16" i="67"/>
  <c r="Q15" i="67"/>
  <c r="L15" i="67"/>
  <c r="D15" i="67"/>
  <c r="C15" i="67"/>
  <c r="Q53" i="66"/>
  <c r="M53" i="66"/>
  <c r="N53" i="66"/>
  <c r="Q52" i="66"/>
  <c r="M52" i="66"/>
  <c r="N52" i="66"/>
  <c r="Q51" i="66"/>
  <c r="Q50" i="66"/>
  <c r="M50" i="66"/>
  <c r="Q49" i="66"/>
  <c r="Q48" i="66"/>
  <c r="M48" i="66"/>
  <c r="Q47" i="66"/>
  <c r="M47" i="66"/>
  <c r="N47" i="66"/>
  <c r="Q46" i="66"/>
  <c r="M46" i="66"/>
  <c r="N46" i="66"/>
  <c r="Q45" i="66"/>
  <c r="M45" i="66"/>
  <c r="N45" i="66"/>
  <c r="Q38" i="66"/>
  <c r="D38" i="66"/>
  <c r="C38" i="66"/>
  <c r="Q37" i="66"/>
  <c r="D37" i="66"/>
  <c r="C37" i="66"/>
  <c r="Q36" i="66"/>
  <c r="D36" i="66"/>
  <c r="Q35" i="66"/>
  <c r="D35" i="66"/>
  <c r="C35" i="66"/>
  <c r="Q34" i="66"/>
  <c r="D34" i="66"/>
  <c r="Q33" i="66"/>
  <c r="D33" i="66"/>
  <c r="C33" i="66"/>
  <c r="Q32" i="66"/>
  <c r="D32" i="66"/>
  <c r="C32" i="66"/>
  <c r="Q31" i="66"/>
  <c r="D31" i="66"/>
  <c r="C31" i="66"/>
  <c r="Q30" i="66"/>
  <c r="D30" i="66"/>
  <c r="C30" i="66"/>
  <c r="Q23" i="66"/>
  <c r="L23" i="66"/>
  <c r="D23" i="66"/>
  <c r="C23" i="66"/>
  <c r="Q22" i="66"/>
  <c r="L22" i="66"/>
  <c r="D22" i="66"/>
  <c r="C22" i="66"/>
  <c r="Q21" i="66"/>
  <c r="L21" i="66"/>
  <c r="D21" i="66"/>
  <c r="Q20" i="66"/>
  <c r="L20" i="66"/>
  <c r="D20" i="66"/>
  <c r="C20" i="66"/>
  <c r="Q19" i="66"/>
  <c r="L19" i="66"/>
  <c r="D19" i="66"/>
  <c r="Q18" i="66"/>
  <c r="L18" i="66"/>
  <c r="D18" i="66"/>
  <c r="C18" i="66"/>
  <c r="Q17" i="66"/>
  <c r="L17" i="66"/>
  <c r="D17" i="66"/>
  <c r="C17" i="66"/>
  <c r="Q16" i="66"/>
  <c r="L16" i="66"/>
  <c r="D16" i="66"/>
  <c r="C16" i="66"/>
  <c r="Q15" i="66"/>
  <c r="L15" i="66"/>
  <c r="D15" i="66"/>
  <c r="C15" i="66"/>
  <c r="R53" i="65"/>
  <c r="Q53" i="65"/>
  <c r="R52" i="65"/>
  <c r="R51" i="65"/>
  <c r="Q51" i="65"/>
  <c r="R50" i="65"/>
  <c r="Q50" i="65"/>
  <c r="R49" i="65"/>
  <c r="Q49" i="65"/>
  <c r="R48" i="65"/>
  <c r="Q48" i="65"/>
  <c r="R47" i="65"/>
  <c r="R46" i="65"/>
  <c r="Q46" i="65"/>
  <c r="R45" i="65"/>
  <c r="Q45" i="65"/>
  <c r="R38" i="65"/>
  <c r="Q38" i="65"/>
  <c r="D38" i="65"/>
  <c r="C38" i="65"/>
  <c r="R37" i="65"/>
  <c r="D37" i="65"/>
  <c r="C37" i="65"/>
  <c r="R36" i="65"/>
  <c r="Q36" i="65"/>
  <c r="D36" i="65"/>
  <c r="R35" i="65"/>
  <c r="Q35" i="65"/>
  <c r="D35" i="65"/>
  <c r="C35" i="65"/>
  <c r="R34" i="65"/>
  <c r="Q34" i="65"/>
  <c r="D34" i="65"/>
  <c r="R33" i="65"/>
  <c r="Q33" i="65"/>
  <c r="D33" i="65"/>
  <c r="C33" i="65"/>
  <c r="R32" i="65"/>
  <c r="D32" i="65"/>
  <c r="C32" i="65"/>
  <c r="R31" i="65"/>
  <c r="Q31" i="65"/>
  <c r="D31" i="65"/>
  <c r="C31" i="65"/>
  <c r="R30" i="65"/>
  <c r="Q30" i="65"/>
  <c r="D30" i="65"/>
  <c r="C30" i="65"/>
  <c r="E30" i="65" s="1"/>
  <c r="R23" i="65"/>
  <c r="Q23" i="65"/>
  <c r="L23" i="65"/>
  <c r="D23" i="65"/>
  <c r="C23" i="65"/>
  <c r="R22" i="65"/>
  <c r="L22" i="65"/>
  <c r="D22" i="65"/>
  <c r="C22" i="65"/>
  <c r="R21" i="65"/>
  <c r="Q21" i="65"/>
  <c r="L21" i="65"/>
  <c r="D21" i="65"/>
  <c r="R20" i="65"/>
  <c r="Q20" i="65"/>
  <c r="L20" i="65"/>
  <c r="D20" i="65"/>
  <c r="C20" i="65"/>
  <c r="R19" i="65"/>
  <c r="Q19" i="65"/>
  <c r="L19" i="65"/>
  <c r="D19" i="65"/>
  <c r="R18" i="65"/>
  <c r="Q18" i="65"/>
  <c r="L18" i="65"/>
  <c r="D18" i="65"/>
  <c r="C18" i="65"/>
  <c r="R17" i="65"/>
  <c r="L17" i="65"/>
  <c r="D17" i="65"/>
  <c r="C17" i="65"/>
  <c r="R16" i="65"/>
  <c r="Q16" i="65"/>
  <c r="L16" i="65"/>
  <c r="D16" i="65"/>
  <c r="C16" i="65"/>
  <c r="R15" i="65"/>
  <c r="Q15" i="65"/>
  <c r="L15" i="65"/>
  <c r="D15" i="65"/>
  <c r="C15" i="65"/>
  <c r="R53" i="64"/>
  <c r="Q53" i="64"/>
  <c r="R52" i="64"/>
  <c r="Q52" i="64"/>
  <c r="R51" i="64"/>
  <c r="Q51" i="64"/>
  <c r="R50" i="64"/>
  <c r="Q50" i="64"/>
  <c r="R49" i="64"/>
  <c r="Q49" i="64"/>
  <c r="R48" i="64"/>
  <c r="Q48" i="64"/>
  <c r="R47" i="64"/>
  <c r="Q47" i="64"/>
  <c r="R46" i="64"/>
  <c r="Q46" i="64"/>
  <c r="R45" i="64"/>
  <c r="Q45" i="64"/>
  <c r="R38" i="64"/>
  <c r="Q38" i="64"/>
  <c r="D38" i="64"/>
  <c r="C38" i="64"/>
  <c r="R37" i="64"/>
  <c r="Q37" i="64"/>
  <c r="D37" i="64"/>
  <c r="C37" i="64"/>
  <c r="R36" i="64"/>
  <c r="Q36" i="64"/>
  <c r="D36" i="64"/>
  <c r="R35" i="64"/>
  <c r="Q35" i="64"/>
  <c r="D35" i="64"/>
  <c r="C35" i="64"/>
  <c r="R34" i="64"/>
  <c r="Q34" i="64"/>
  <c r="D34" i="64"/>
  <c r="R33" i="64"/>
  <c r="Q33" i="64"/>
  <c r="D33" i="64"/>
  <c r="C33" i="64"/>
  <c r="R32" i="64"/>
  <c r="Q32" i="64"/>
  <c r="D32" i="64"/>
  <c r="E32" i="64" s="1"/>
  <c r="O32" i="64" s="1"/>
  <c r="C32" i="64"/>
  <c r="R31" i="64"/>
  <c r="Q31" i="64"/>
  <c r="D31" i="64"/>
  <c r="C31" i="64"/>
  <c r="R30" i="64"/>
  <c r="Q30" i="64"/>
  <c r="D30" i="64"/>
  <c r="C30" i="64"/>
  <c r="R23" i="64"/>
  <c r="Q23" i="64"/>
  <c r="L23" i="64"/>
  <c r="D23" i="64"/>
  <c r="C23" i="64"/>
  <c r="R22" i="64"/>
  <c r="Q22" i="64"/>
  <c r="L22" i="64"/>
  <c r="D22" i="64"/>
  <c r="C22" i="64"/>
  <c r="R21" i="64"/>
  <c r="Q21" i="64"/>
  <c r="L21" i="64"/>
  <c r="D21" i="64"/>
  <c r="R20" i="64"/>
  <c r="Q20" i="64"/>
  <c r="L20" i="64"/>
  <c r="D20" i="64"/>
  <c r="C20" i="64"/>
  <c r="R19" i="64"/>
  <c r="Q19" i="64"/>
  <c r="L19" i="64"/>
  <c r="D19" i="64"/>
  <c r="R18" i="64"/>
  <c r="Q18" i="64"/>
  <c r="L18" i="64"/>
  <c r="D18" i="64"/>
  <c r="C18" i="64"/>
  <c r="R17" i="64"/>
  <c r="Q17" i="64"/>
  <c r="L17" i="64"/>
  <c r="D17" i="64"/>
  <c r="C17" i="64"/>
  <c r="R16" i="64"/>
  <c r="Q16" i="64"/>
  <c r="L16" i="64"/>
  <c r="D16" i="64"/>
  <c r="C16" i="64"/>
  <c r="R15" i="64"/>
  <c r="Q15" i="64"/>
  <c r="L15" i="64"/>
  <c r="D15" i="64"/>
  <c r="C15" i="64"/>
  <c r="R53" i="63"/>
  <c r="Q53" i="63"/>
  <c r="M53" i="63"/>
  <c r="N53" i="63"/>
  <c r="E53" i="63"/>
  <c r="F53" i="63"/>
  <c r="H53" i="63"/>
  <c r="R52" i="63"/>
  <c r="Q52" i="63"/>
  <c r="M52" i="63"/>
  <c r="N52" i="63"/>
  <c r="E52" i="63"/>
  <c r="R51" i="63"/>
  <c r="Q51" i="63"/>
  <c r="R50" i="63"/>
  <c r="Q50" i="63"/>
  <c r="E50" i="63"/>
  <c r="R49" i="63"/>
  <c r="Q49" i="63"/>
  <c r="R48" i="63"/>
  <c r="Q48" i="63"/>
  <c r="E48" i="63"/>
  <c r="R47" i="63"/>
  <c r="Q47" i="63"/>
  <c r="M47" i="63"/>
  <c r="N47" i="63"/>
  <c r="E47" i="63"/>
  <c r="F47" i="63"/>
  <c r="H47" i="63"/>
  <c r="R46" i="63"/>
  <c r="Q46" i="63"/>
  <c r="E46" i="63"/>
  <c r="R45" i="63"/>
  <c r="Q45" i="63"/>
  <c r="M45" i="63"/>
  <c r="N45" i="63"/>
  <c r="E45" i="63"/>
  <c r="R38" i="63"/>
  <c r="Q38" i="63"/>
  <c r="D38" i="63"/>
  <c r="C38" i="63"/>
  <c r="R37" i="63"/>
  <c r="Q37" i="63"/>
  <c r="D37" i="63"/>
  <c r="C37" i="63"/>
  <c r="R36" i="63"/>
  <c r="Q36" i="63"/>
  <c r="D36" i="63"/>
  <c r="R35" i="63"/>
  <c r="Q35" i="63"/>
  <c r="D35" i="63"/>
  <c r="C35" i="63"/>
  <c r="R34" i="63"/>
  <c r="Q34" i="63"/>
  <c r="D34" i="63"/>
  <c r="R33" i="63"/>
  <c r="Q33" i="63"/>
  <c r="D33" i="63"/>
  <c r="C33" i="63"/>
  <c r="R32" i="63"/>
  <c r="Q32" i="63"/>
  <c r="D32" i="63"/>
  <c r="C32" i="63"/>
  <c r="R31" i="63"/>
  <c r="Q31" i="63"/>
  <c r="D31" i="63"/>
  <c r="C31" i="63"/>
  <c r="R30" i="63"/>
  <c r="Q30" i="63"/>
  <c r="D30" i="63"/>
  <c r="C30" i="63"/>
  <c r="R23" i="63"/>
  <c r="Q23" i="63"/>
  <c r="L23" i="63"/>
  <c r="D23" i="63"/>
  <c r="C23" i="63"/>
  <c r="R22" i="63"/>
  <c r="Q22" i="63"/>
  <c r="L22" i="63"/>
  <c r="D22" i="63"/>
  <c r="C22" i="63"/>
  <c r="R21" i="63"/>
  <c r="Q21" i="63"/>
  <c r="L21" i="63"/>
  <c r="D21" i="63"/>
  <c r="R20" i="63"/>
  <c r="Q20" i="63"/>
  <c r="L20" i="63"/>
  <c r="D20" i="63"/>
  <c r="C20" i="63"/>
  <c r="R19" i="63"/>
  <c r="Q19" i="63"/>
  <c r="L19" i="63"/>
  <c r="D19" i="63"/>
  <c r="R18" i="63"/>
  <c r="Q18" i="63"/>
  <c r="L18" i="63"/>
  <c r="D18" i="63"/>
  <c r="C18" i="63"/>
  <c r="R17" i="63"/>
  <c r="Q17" i="63"/>
  <c r="L17" i="63"/>
  <c r="D17" i="63"/>
  <c r="C17" i="63"/>
  <c r="R16" i="63"/>
  <c r="Q16" i="63"/>
  <c r="L16" i="63"/>
  <c r="D16" i="63"/>
  <c r="C16" i="63"/>
  <c r="R15" i="63"/>
  <c r="Q15" i="63"/>
  <c r="L15" i="63"/>
  <c r="D15" i="63"/>
  <c r="C15" i="63"/>
  <c r="R53" i="62"/>
  <c r="Q53" i="62"/>
  <c r="R52" i="62"/>
  <c r="Q52" i="62"/>
  <c r="R51" i="62"/>
  <c r="Q51" i="62"/>
  <c r="R50" i="62"/>
  <c r="Q50" i="62"/>
  <c r="R49" i="62"/>
  <c r="Q49" i="62"/>
  <c r="R48" i="62"/>
  <c r="Q48" i="62"/>
  <c r="R47" i="62"/>
  <c r="Q47" i="62"/>
  <c r="R46" i="62"/>
  <c r="Q46" i="62"/>
  <c r="R45" i="62"/>
  <c r="Q45" i="62"/>
  <c r="R38" i="62"/>
  <c r="Q38" i="62"/>
  <c r="D38" i="62"/>
  <c r="E38" i="62" s="1"/>
  <c r="G38" i="62" s="1"/>
  <c r="C38" i="62"/>
  <c r="R37" i="62"/>
  <c r="Q37" i="62"/>
  <c r="D37" i="62"/>
  <c r="C37" i="62"/>
  <c r="E37" i="62" s="1"/>
  <c r="G37" i="62" s="1"/>
  <c r="R36" i="62"/>
  <c r="Q36" i="62"/>
  <c r="D36" i="62"/>
  <c r="R35" i="62"/>
  <c r="Q35" i="62"/>
  <c r="D35" i="62"/>
  <c r="C35" i="62"/>
  <c r="R34" i="62"/>
  <c r="Q34" i="62"/>
  <c r="D34" i="62"/>
  <c r="R33" i="62"/>
  <c r="Q33" i="62"/>
  <c r="D33" i="62"/>
  <c r="C33" i="62"/>
  <c r="R32" i="62"/>
  <c r="Q32" i="62"/>
  <c r="D32" i="62"/>
  <c r="C32" i="62"/>
  <c r="R31" i="62"/>
  <c r="Q31" i="62"/>
  <c r="D31" i="62"/>
  <c r="C31" i="62"/>
  <c r="R30" i="62"/>
  <c r="Q30" i="62"/>
  <c r="D30" i="62"/>
  <c r="C30" i="62"/>
  <c r="R23" i="62"/>
  <c r="Q23" i="62"/>
  <c r="L23" i="62"/>
  <c r="D23" i="62"/>
  <c r="C23" i="62"/>
  <c r="R22" i="62"/>
  <c r="Q22" i="62"/>
  <c r="L22" i="62"/>
  <c r="D22" i="62"/>
  <c r="C22" i="62"/>
  <c r="R21" i="62"/>
  <c r="Q21" i="62"/>
  <c r="L21" i="62"/>
  <c r="D21" i="62"/>
  <c r="R20" i="62"/>
  <c r="Q20" i="62"/>
  <c r="L20" i="62"/>
  <c r="D20" i="62"/>
  <c r="C20" i="62"/>
  <c r="R19" i="62"/>
  <c r="Q19" i="62"/>
  <c r="L19" i="62"/>
  <c r="D19" i="62"/>
  <c r="R18" i="62"/>
  <c r="Q18" i="62"/>
  <c r="L18" i="62"/>
  <c r="D18" i="62"/>
  <c r="C18" i="62"/>
  <c r="R17" i="62"/>
  <c r="Q17" i="62"/>
  <c r="L17" i="62"/>
  <c r="D17" i="62"/>
  <c r="C17" i="62"/>
  <c r="R16" i="62"/>
  <c r="Q16" i="62"/>
  <c r="L16" i="62"/>
  <c r="D16" i="62"/>
  <c r="C16" i="62"/>
  <c r="R15" i="62"/>
  <c r="Q15" i="62"/>
  <c r="L15" i="62"/>
  <c r="D15" i="62"/>
  <c r="C15" i="62"/>
  <c r="R53" i="61"/>
  <c r="Q53" i="61"/>
  <c r="R52" i="61"/>
  <c r="Q52" i="61"/>
  <c r="E52" i="61"/>
  <c r="R51" i="61"/>
  <c r="Q51" i="61"/>
  <c r="R50" i="61"/>
  <c r="Q50" i="61"/>
  <c r="R49" i="61"/>
  <c r="Q49" i="61"/>
  <c r="R48" i="61"/>
  <c r="Q48" i="61"/>
  <c r="R47" i="61"/>
  <c r="Q47" i="61"/>
  <c r="R46" i="61"/>
  <c r="Q46" i="61"/>
  <c r="R45" i="61"/>
  <c r="Q45" i="61"/>
  <c r="R38" i="61"/>
  <c r="Q38" i="61"/>
  <c r="D38" i="61"/>
  <c r="C38" i="61"/>
  <c r="R37" i="61"/>
  <c r="Q37" i="61"/>
  <c r="D37" i="61"/>
  <c r="C37" i="61"/>
  <c r="E37" i="61" s="1"/>
  <c r="O37" i="61" s="1"/>
  <c r="R36" i="61"/>
  <c r="Q36" i="61"/>
  <c r="D36" i="61"/>
  <c r="R35" i="61"/>
  <c r="Q35" i="61"/>
  <c r="D35" i="61"/>
  <c r="C35" i="61"/>
  <c r="R34" i="61"/>
  <c r="Q34" i="61"/>
  <c r="D34" i="61"/>
  <c r="R33" i="61"/>
  <c r="Q33" i="61"/>
  <c r="D33" i="61"/>
  <c r="C33" i="61"/>
  <c r="R32" i="61"/>
  <c r="Q32" i="61"/>
  <c r="D32" i="61"/>
  <c r="C32" i="61"/>
  <c r="E32" i="61" s="1"/>
  <c r="G32" i="61" s="1"/>
  <c r="R31" i="61"/>
  <c r="Q31" i="61"/>
  <c r="D31" i="61"/>
  <c r="C31" i="61"/>
  <c r="R30" i="61"/>
  <c r="Q30" i="61"/>
  <c r="D30" i="61"/>
  <c r="C30" i="61"/>
  <c r="R23" i="61"/>
  <c r="Q23" i="61"/>
  <c r="L23" i="61"/>
  <c r="D23" i="61"/>
  <c r="C23" i="61"/>
  <c r="R22" i="61"/>
  <c r="Q22" i="61"/>
  <c r="L22" i="61"/>
  <c r="D22" i="61"/>
  <c r="C22" i="61"/>
  <c r="R21" i="61"/>
  <c r="Q21" i="61"/>
  <c r="L21" i="61"/>
  <c r="D21" i="61"/>
  <c r="R20" i="61"/>
  <c r="Q20" i="61"/>
  <c r="L20" i="61"/>
  <c r="D20" i="61"/>
  <c r="C20" i="61"/>
  <c r="R19" i="61"/>
  <c r="Q19" i="61"/>
  <c r="L19" i="61"/>
  <c r="D19" i="61"/>
  <c r="R18" i="61"/>
  <c r="Q18" i="61"/>
  <c r="L18" i="61"/>
  <c r="D18" i="61"/>
  <c r="C18" i="61"/>
  <c r="R17" i="61"/>
  <c r="Q17" i="61"/>
  <c r="L17" i="61"/>
  <c r="D17" i="61"/>
  <c r="C17" i="61"/>
  <c r="R16" i="61"/>
  <c r="Q16" i="61"/>
  <c r="L16" i="61"/>
  <c r="D16" i="61"/>
  <c r="C16" i="61"/>
  <c r="R15" i="61"/>
  <c r="Q15" i="61"/>
  <c r="L15" i="61"/>
  <c r="D15" i="61"/>
  <c r="C15" i="61"/>
  <c r="Q53" i="60"/>
  <c r="M53" i="60"/>
  <c r="N53" i="60"/>
  <c r="Q52" i="60"/>
  <c r="M52" i="60"/>
  <c r="N52" i="60"/>
  <c r="Q51" i="60"/>
  <c r="Q50" i="60"/>
  <c r="M50" i="60"/>
  <c r="N50" i="60"/>
  <c r="Q49" i="60"/>
  <c r="Q48" i="60"/>
  <c r="M48" i="60"/>
  <c r="N48" i="60"/>
  <c r="Q47" i="60"/>
  <c r="M47" i="60"/>
  <c r="N47" i="60"/>
  <c r="Q46" i="60"/>
  <c r="M46" i="60"/>
  <c r="N46" i="60"/>
  <c r="Q45" i="60"/>
  <c r="M45" i="60"/>
  <c r="N45" i="60" s="1"/>
  <c r="Q38" i="60"/>
  <c r="D38" i="60"/>
  <c r="C38" i="60"/>
  <c r="Q37" i="60"/>
  <c r="D37" i="60"/>
  <c r="C37" i="60"/>
  <c r="Q36" i="60"/>
  <c r="D36" i="60"/>
  <c r="Q35" i="60"/>
  <c r="D35" i="60"/>
  <c r="C35" i="60"/>
  <c r="Q34" i="60"/>
  <c r="D34" i="60"/>
  <c r="Q33" i="60"/>
  <c r="D33" i="60"/>
  <c r="C33" i="60"/>
  <c r="Q32" i="60"/>
  <c r="D32" i="60"/>
  <c r="C32" i="60"/>
  <c r="Q31" i="60"/>
  <c r="D31" i="60"/>
  <c r="C31" i="60"/>
  <c r="Q30" i="60"/>
  <c r="D30" i="60"/>
  <c r="C30" i="60"/>
  <c r="Q23" i="60"/>
  <c r="L23" i="60"/>
  <c r="D23" i="60"/>
  <c r="C23" i="60"/>
  <c r="Q22" i="60"/>
  <c r="L22" i="60"/>
  <c r="D22" i="60"/>
  <c r="C22" i="60"/>
  <c r="Q21" i="60"/>
  <c r="L21" i="60"/>
  <c r="D21" i="60"/>
  <c r="Q20" i="60"/>
  <c r="L20" i="60"/>
  <c r="D20" i="60"/>
  <c r="C20" i="60"/>
  <c r="Q19" i="60"/>
  <c r="L19" i="60"/>
  <c r="D19" i="60"/>
  <c r="Q18" i="60"/>
  <c r="L18" i="60"/>
  <c r="D18" i="60"/>
  <c r="C18" i="60"/>
  <c r="Q17" i="60"/>
  <c r="L17" i="60"/>
  <c r="D17" i="60"/>
  <c r="C17" i="60"/>
  <c r="Q16" i="60"/>
  <c r="L16" i="60"/>
  <c r="D16" i="60"/>
  <c r="C16" i="60"/>
  <c r="Q15" i="60"/>
  <c r="L15" i="60"/>
  <c r="D15" i="60"/>
  <c r="C15" i="60"/>
  <c r="R53" i="59"/>
  <c r="Q53" i="59"/>
  <c r="R52" i="59"/>
  <c r="Q52" i="59"/>
  <c r="R51" i="59"/>
  <c r="Q51" i="59"/>
  <c r="R50" i="59"/>
  <c r="Q50" i="59"/>
  <c r="R49" i="59"/>
  <c r="Q49" i="59"/>
  <c r="R48" i="59"/>
  <c r="Q48" i="59"/>
  <c r="R47" i="59"/>
  <c r="Q47" i="59"/>
  <c r="E47" i="59"/>
  <c r="R46" i="59"/>
  <c r="Q46" i="59"/>
  <c r="R45" i="59"/>
  <c r="Q45" i="59"/>
  <c r="R38" i="59"/>
  <c r="Q38" i="59"/>
  <c r="D38" i="59"/>
  <c r="C38" i="59"/>
  <c r="R37" i="59"/>
  <c r="Q37" i="59"/>
  <c r="D37" i="59"/>
  <c r="C37" i="59"/>
  <c r="R36" i="59"/>
  <c r="Q36" i="59"/>
  <c r="D36" i="59"/>
  <c r="R35" i="59"/>
  <c r="Q35" i="59"/>
  <c r="D35" i="59"/>
  <c r="C35" i="59"/>
  <c r="R34" i="59"/>
  <c r="Q34" i="59"/>
  <c r="D34" i="59"/>
  <c r="R33" i="59"/>
  <c r="Q33" i="59"/>
  <c r="D33" i="59"/>
  <c r="C33" i="59"/>
  <c r="R32" i="59"/>
  <c r="Q32" i="59"/>
  <c r="D32" i="59"/>
  <c r="C32" i="59"/>
  <c r="E32" i="59" s="1"/>
  <c r="R31" i="59"/>
  <c r="Q31" i="59"/>
  <c r="D31" i="59"/>
  <c r="C31" i="59"/>
  <c r="R30" i="59"/>
  <c r="Q30" i="59"/>
  <c r="D30" i="59"/>
  <c r="C30" i="59"/>
  <c r="R23" i="59"/>
  <c r="Q23" i="59"/>
  <c r="L23" i="59"/>
  <c r="D23" i="59"/>
  <c r="C23" i="59"/>
  <c r="R22" i="59"/>
  <c r="Q22" i="59"/>
  <c r="L22" i="59"/>
  <c r="D22" i="59"/>
  <c r="C22" i="59"/>
  <c r="R21" i="59"/>
  <c r="Q21" i="59"/>
  <c r="L21" i="59"/>
  <c r="D21" i="59"/>
  <c r="R20" i="59"/>
  <c r="Q20" i="59"/>
  <c r="L20" i="59"/>
  <c r="D20" i="59"/>
  <c r="C20" i="59"/>
  <c r="R19" i="59"/>
  <c r="Q19" i="59"/>
  <c r="L19" i="59"/>
  <c r="D19" i="59"/>
  <c r="R18" i="59"/>
  <c r="Q18" i="59"/>
  <c r="L18" i="59"/>
  <c r="D18" i="59"/>
  <c r="C18" i="59"/>
  <c r="R17" i="59"/>
  <c r="Q17" i="59"/>
  <c r="L17" i="59"/>
  <c r="D17" i="59"/>
  <c r="C17" i="59"/>
  <c r="R16" i="59"/>
  <c r="Q16" i="59"/>
  <c r="L16" i="59"/>
  <c r="D16" i="59"/>
  <c r="C16" i="59"/>
  <c r="R15" i="59"/>
  <c r="Q15" i="59"/>
  <c r="L15" i="59"/>
  <c r="D15" i="59"/>
  <c r="C15" i="59"/>
  <c r="R53" i="58"/>
  <c r="Q53" i="58"/>
  <c r="M53" i="58"/>
  <c r="N53" i="58"/>
  <c r="R52" i="58"/>
  <c r="Q52" i="58"/>
  <c r="M52" i="58"/>
  <c r="N52" i="58"/>
  <c r="R51" i="58"/>
  <c r="Q51" i="58"/>
  <c r="R50" i="58"/>
  <c r="Q50" i="58"/>
  <c r="N50" i="58"/>
  <c r="M50" i="58"/>
  <c r="N51" i="58"/>
  <c r="R49" i="58"/>
  <c r="Q49" i="58"/>
  <c r="N49" i="58"/>
  <c r="R48" i="58"/>
  <c r="Q48" i="58"/>
  <c r="M48" i="58"/>
  <c r="N48" i="58"/>
  <c r="R47" i="58"/>
  <c r="Q47" i="58"/>
  <c r="M47" i="58"/>
  <c r="N47" i="58"/>
  <c r="R46" i="58"/>
  <c r="Q46" i="58"/>
  <c r="M46" i="58"/>
  <c r="N46" i="58"/>
  <c r="R45" i="58"/>
  <c r="Q45" i="58"/>
  <c r="M45" i="58"/>
  <c r="N45" i="58"/>
  <c r="R38" i="58"/>
  <c r="Q38" i="58"/>
  <c r="D38" i="58"/>
  <c r="C38" i="58"/>
  <c r="R37" i="58"/>
  <c r="Q37" i="58"/>
  <c r="D37" i="58"/>
  <c r="C37" i="58"/>
  <c r="R36" i="58"/>
  <c r="Q36" i="58"/>
  <c r="D36" i="58"/>
  <c r="R35" i="58"/>
  <c r="Q35" i="58"/>
  <c r="D35" i="58"/>
  <c r="C35" i="58"/>
  <c r="R34" i="58"/>
  <c r="Q34" i="58"/>
  <c r="D34" i="58"/>
  <c r="R33" i="58"/>
  <c r="Q33" i="58"/>
  <c r="D33" i="58"/>
  <c r="C33" i="58"/>
  <c r="R32" i="58"/>
  <c r="Q32" i="58"/>
  <c r="D32" i="58"/>
  <c r="C32" i="58"/>
  <c r="R31" i="58"/>
  <c r="Q31" i="58"/>
  <c r="D31" i="58"/>
  <c r="C31" i="58"/>
  <c r="R30" i="58"/>
  <c r="Q30" i="58"/>
  <c r="D30" i="58"/>
  <c r="C30" i="58"/>
  <c r="R23" i="58"/>
  <c r="Q23" i="58"/>
  <c r="L23" i="58"/>
  <c r="D23" i="58"/>
  <c r="C23" i="58"/>
  <c r="R22" i="58"/>
  <c r="Q22" i="58"/>
  <c r="L22" i="58"/>
  <c r="D22" i="58"/>
  <c r="C22" i="58"/>
  <c r="R21" i="58"/>
  <c r="Q21" i="58"/>
  <c r="L21" i="58"/>
  <c r="D21" i="58"/>
  <c r="R20" i="58"/>
  <c r="Q20" i="58"/>
  <c r="L20" i="58"/>
  <c r="D20" i="58"/>
  <c r="C20" i="58"/>
  <c r="R19" i="58"/>
  <c r="Q19" i="58"/>
  <c r="L19" i="58"/>
  <c r="D19" i="58"/>
  <c r="R18" i="58"/>
  <c r="Q18" i="58"/>
  <c r="L18" i="58"/>
  <c r="D18" i="58"/>
  <c r="C18" i="58"/>
  <c r="R17" i="58"/>
  <c r="Q17" i="58"/>
  <c r="L17" i="58"/>
  <c r="D17" i="58"/>
  <c r="C17" i="58"/>
  <c r="R16" i="58"/>
  <c r="Q16" i="58"/>
  <c r="L16" i="58"/>
  <c r="D16" i="58"/>
  <c r="C16" i="58"/>
  <c r="R15" i="58"/>
  <c r="Q15" i="58"/>
  <c r="L15" i="58"/>
  <c r="D15" i="58"/>
  <c r="C15" i="58"/>
  <c r="R53" i="57"/>
  <c r="Q53" i="57"/>
  <c r="R52" i="57"/>
  <c r="Q52" i="57"/>
  <c r="R51" i="57"/>
  <c r="Q51" i="57"/>
  <c r="R50" i="57"/>
  <c r="Q50" i="57"/>
  <c r="R49" i="57"/>
  <c r="Q49" i="57"/>
  <c r="R48" i="57"/>
  <c r="Q48" i="57"/>
  <c r="R47" i="57"/>
  <c r="Q47" i="57"/>
  <c r="R46" i="57"/>
  <c r="Q46" i="57"/>
  <c r="R45" i="57"/>
  <c r="Q45" i="57"/>
  <c r="R38" i="57"/>
  <c r="Q38" i="57"/>
  <c r="D38" i="57"/>
  <c r="C38" i="57"/>
  <c r="R37" i="57"/>
  <c r="Q37" i="57"/>
  <c r="D37" i="57"/>
  <c r="C37" i="57"/>
  <c r="R36" i="57"/>
  <c r="Q36" i="57"/>
  <c r="D36" i="57"/>
  <c r="R35" i="57"/>
  <c r="Q35" i="57"/>
  <c r="D35" i="57"/>
  <c r="C35" i="57"/>
  <c r="R34" i="57"/>
  <c r="Q34" i="57"/>
  <c r="D34" i="57"/>
  <c r="R33" i="57"/>
  <c r="Q33" i="57"/>
  <c r="D33" i="57"/>
  <c r="C33" i="57"/>
  <c r="R32" i="57"/>
  <c r="Q32" i="57"/>
  <c r="D32" i="57"/>
  <c r="C32" i="57"/>
  <c r="R31" i="57"/>
  <c r="Q31" i="57"/>
  <c r="D31" i="57"/>
  <c r="C31" i="57"/>
  <c r="R30" i="57"/>
  <c r="Q30" i="57"/>
  <c r="D30" i="57"/>
  <c r="C30" i="57"/>
  <c r="R23" i="57"/>
  <c r="Q23" i="57"/>
  <c r="L23" i="57"/>
  <c r="D23" i="57"/>
  <c r="C23" i="57"/>
  <c r="R22" i="57"/>
  <c r="Q22" i="57"/>
  <c r="L22" i="57"/>
  <c r="D22" i="57"/>
  <c r="C22" i="57"/>
  <c r="R21" i="57"/>
  <c r="Q21" i="57"/>
  <c r="L21" i="57"/>
  <c r="D21" i="57"/>
  <c r="R20" i="57"/>
  <c r="Q20" i="57"/>
  <c r="L20" i="57"/>
  <c r="D20" i="57"/>
  <c r="C20" i="57"/>
  <c r="R19" i="57"/>
  <c r="Q19" i="57"/>
  <c r="L19" i="57"/>
  <c r="D19" i="57"/>
  <c r="R18" i="57"/>
  <c r="Q18" i="57"/>
  <c r="L18" i="57"/>
  <c r="D18" i="57"/>
  <c r="C18" i="57"/>
  <c r="R17" i="57"/>
  <c r="Q17" i="57"/>
  <c r="L17" i="57"/>
  <c r="D17" i="57"/>
  <c r="C17" i="57"/>
  <c r="R16" i="57"/>
  <c r="Q16" i="57"/>
  <c r="L16" i="57"/>
  <c r="D16" i="57"/>
  <c r="C16" i="57"/>
  <c r="R15" i="57"/>
  <c r="Q15" i="57"/>
  <c r="L15" i="57"/>
  <c r="D15" i="57"/>
  <c r="E15" i="57" s="1"/>
  <c r="G15" i="57" s="1"/>
  <c r="C15" i="57"/>
  <c r="R53" i="56"/>
  <c r="Q53" i="56"/>
  <c r="R52" i="56"/>
  <c r="Q52" i="56"/>
  <c r="R51" i="56"/>
  <c r="Q51" i="56"/>
  <c r="R50" i="56"/>
  <c r="Q50" i="56"/>
  <c r="R49" i="56"/>
  <c r="Q49" i="56"/>
  <c r="R48" i="56"/>
  <c r="Q48" i="56"/>
  <c r="R47" i="56"/>
  <c r="Q47" i="56"/>
  <c r="R46" i="56"/>
  <c r="Q46" i="56"/>
  <c r="Q45" i="56"/>
  <c r="R38" i="56"/>
  <c r="Q38" i="56"/>
  <c r="D38" i="56"/>
  <c r="C38" i="56"/>
  <c r="R37" i="56"/>
  <c r="Q37" i="56"/>
  <c r="D37" i="56"/>
  <c r="C37" i="56"/>
  <c r="R36" i="56"/>
  <c r="Q36" i="56"/>
  <c r="D36" i="56"/>
  <c r="R35" i="56"/>
  <c r="Q35" i="56"/>
  <c r="D35" i="56"/>
  <c r="C35" i="56"/>
  <c r="R34" i="56"/>
  <c r="Q34" i="56"/>
  <c r="D34" i="56"/>
  <c r="R33" i="56"/>
  <c r="Q33" i="56"/>
  <c r="D33" i="56"/>
  <c r="C33" i="56"/>
  <c r="R32" i="56"/>
  <c r="Q32" i="56"/>
  <c r="D32" i="56"/>
  <c r="C32" i="56"/>
  <c r="R31" i="56"/>
  <c r="Q31" i="56"/>
  <c r="D31" i="56"/>
  <c r="C31" i="56"/>
  <c r="Q30" i="56"/>
  <c r="D30" i="56"/>
  <c r="C30" i="56"/>
  <c r="R23" i="56"/>
  <c r="Q23" i="56"/>
  <c r="L23" i="56"/>
  <c r="D23" i="56"/>
  <c r="C23" i="56"/>
  <c r="R22" i="56"/>
  <c r="Q22" i="56"/>
  <c r="L22" i="56"/>
  <c r="D22" i="56"/>
  <c r="E22" i="56" s="1"/>
  <c r="F22" i="56" s="1"/>
  <c r="H22" i="56" s="1"/>
  <c r="C22" i="56"/>
  <c r="R21" i="56"/>
  <c r="Q21" i="56"/>
  <c r="L21" i="56"/>
  <c r="D21" i="56"/>
  <c r="R20" i="56"/>
  <c r="Q20" i="56"/>
  <c r="L20" i="56"/>
  <c r="D20" i="56"/>
  <c r="C20" i="56"/>
  <c r="R19" i="56"/>
  <c r="Q19" i="56"/>
  <c r="L19" i="56"/>
  <c r="D19" i="56"/>
  <c r="R18" i="56"/>
  <c r="Q18" i="56"/>
  <c r="L18" i="56"/>
  <c r="D18" i="56"/>
  <c r="C18" i="56"/>
  <c r="R17" i="56"/>
  <c r="Q17" i="56"/>
  <c r="L17" i="56"/>
  <c r="D17" i="56"/>
  <c r="C17" i="56"/>
  <c r="R16" i="56"/>
  <c r="Q16" i="56"/>
  <c r="L16" i="56"/>
  <c r="D16" i="56"/>
  <c r="C16" i="56"/>
  <c r="Q15" i="56"/>
  <c r="L15" i="56"/>
  <c r="D15" i="56"/>
  <c r="C15" i="56"/>
  <c r="R53" i="55"/>
  <c r="Q53" i="55"/>
  <c r="M53" i="55"/>
  <c r="N53" i="55"/>
  <c r="E53" i="55"/>
  <c r="G53" i="55"/>
  <c r="R52" i="55"/>
  <c r="Q52" i="55"/>
  <c r="M52" i="55"/>
  <c r="N52" i="55"/>
  <c r="E52" i="55"/>
  <c r="G52" i="55"/>
  <c r="R51" i="55"/>
  <c r="Q51" i="55"/>
  <c r="R50" i="55"/>
  <c r="Q50" i="55"/>
  <c r="N50" i="55"/>
  <c r="M50" i="55"/>
  <c r="N51" i="55"/>
  <c r="G50" i="55"/>
  <c r="E50" i="55"/>
  <c r="G51" i="55"/>
  <c r="R49" i="55"/>
  <c r="Q49" i="55"/>
  <c r="R48" i="55"/>
  <c r="Q48" i="55"/>
  <c r="M48" i="55"/>
  <c r="N48" i="55"/>
  <c r="E48" i="55"/>
  <c r="O48" i="55"/>
  <c r="F49" i="55"/>
  <c r="H49" i="55"/>
  <c r="R47" i="55"/>
  <c r="Q47" i="55"/>
  <c r="M47" i="55"/>
  <c r="N47" i="55"/>
  <c r="E47" i="55"/>
  <c r="R46" i="55"/>
  <c r="R54" i="55" s="1"/>
  <c r="Q46" i="55"/>
  <c r="M46" i="55"/>
  <c r="N46" i="55"/>
  <c r="E46" i="55"/>
  <c r="O46" i="55"/>
  <c r="F46" i="55"/>
  <c r="H46" i="55"/>
  <c r="R45" i="55"/>
  <c r="Q45" i="55"/>
  <c r="Q54" i="55" s="1"/>
  <c r="N45" i="55"/>
  <c r="M45" i="55"/>
  <c r="E45" i="55"/>
  <c r="O47" i="55"/>
  <c r="R38" i="55"/>
  <c r="Q38" i="55"/>
  <c r="D38" i="55"/>
  <c r="C38" i="55"/>
  <c r="R37" i="55"/>
  <c r="Q37" i="55"/>
  <c r="D37" i="55"/>
  <c r="C37" i="55"/>
  <c r="E37" i="55" s="1"/>
  <c r="G37" i="55" s="1"/>
  <c r="R36" i="55"/>
  <c r="Q36" i="55"/>
  <c r="D36" i="55"/>
  <c r="R35" i="55"/>
  <c r="Q35" i="55"/>
  <c r="D35" i="55"/>
  <c r="C35" i="55"/>
  <c r="R34" i="55"/>
  <c r="Q34" i="55"/>
  <c r="D34" i="55"/>
  <c r="R33" i="55"/>
  <c r="Q33" i="55"/>
  <c r="D33" i="55"/>
  <c r="C33" i="55"/>
  <c r="R32" i="55"/>
  <c r="Q32" i="55"/>
  <c r="D32" i="55"/>
  <c r="C32" i="55"/>
  <c r="R31" i="55"/>
  <c r="Q31" i="55"/>
  <c r="D31" i="55"/>
  <c r="C31" i="55"/>
  <c r="R30" i="55"/>
  <c r="Q30" i="55"/>
  <c r="D30" i="55"/>
  <c r="C30" i="55"/>
  <c r="R23" i="55"/>
  <c r="Q23" i="55"/>
  <c r="L23" i="55"/>
  <c r="D23" i="55"/>
  <c r="C23" i="55"/>
  <c r="R22" i="55"/>
  <c r="Q22" i="55"/>
  <c r="L22" i="55"/>
  <c r="D22" i="55"/>
  <c r="C22" i="55"/>
  <c r="R21" i="55"/>
  <c r="Q21" i="55"/>
  <c r="L21" i="55"/>
  <c r="D21" i="55"/>
  <c r="R20" i="55"/>
  <c r="Q20" i="55"/>
  <c r="L20" i="55"/>
  <c r="D20" i="55"/>
  <c r="C20" i="55"/>
  <c r="R19" i="55"/>
  <c r="Q19" i="55"/>
  <c r="L19" i="55"/>
  <c r="D19" i="55"/>
  <c r="R18" i="55"/>
  <c r="Q18" i="55"/>
  <c r="L18" i="55"/>
  <c r="D18" i="55"/>
  <c r="C18" i="55"/>
  <c r="R17" i="55"/>
  <c r="Q17" i="55"/>
  <c r="L17" i="55"/>
  <c r="D17" i="55"/>
  <c r="C17" i="55"/>
  <c r="R16" i="55"/>
  <c r="Q16" i="55"/>
  <c r="L16" i="55"/>
  <c r="D16" i="55"/>
  <c r="C16" i="55"/>
  <c r="R15" i="55"/>
  <c r="Q15" i="55"/>
  <c r="L15" i="55"/>
  <c r="D15" i="55"/>
  <c r="C15" i="55"/>
  <c r="R53" i="54"/>
  <c r="Q53" i="54"/>
  <c r="M53" i="54"/>
  <c r="N53" i="54"/>
  <c r="E53" i="54"/>
  <c r="R52" i="54"/>
  <c r="Q52" i="54"/>
  <c r="M52" i="54"/>
  <c r="N52" i="54"/>
  <c r="E52" i="54"/>
  <c r="R51" i="54"/>
  <c r="Q51" i="54"/>
  <c r="R50" i="54"/>
  <c r="Q50" i="54"/>
  <c r="M50" i="54"/>
  <c r="E50" i="54"/>
  <c r="R49" i="54"/>
  <c r="Q49" i="54"/>
  <c r="R48" i="54"/>
  <c r="R54" i="54"/>
  <c r="Q48" i="54"/>
  <c r="M48" i="54"/>
  <c r="N48" i="54"/>
  <c r="E48" i="54"/>
  <c r="R47" i="54"/>
  <c r="Q47" i="54"/>
  <c r="M47" i="54"/>
  <c r="N47" i="54"/>
  <c r="E47" i="54"/>
  <c r="O47" i="54"/>
  <c r="R46" i="54"/>
  <c r="Q46" i="54"/>
  <c r="M46" i="54"/>
  <c r="N46" i="54"/>
  <c r="E46" i="54"/>
  <c r="F46" i="54"/>
  <c r="H46" i="54"/>
  <c r="R45" i="54"/>
  <c r="Q45" i="54"/>
  <c r="M45" i="54"/>
  <c r="N45" i="54"/>
  <c r="E45" i="54"/>
  <c r="R38" i="54"/>
  <c r="Q38" i="54"/>
  <c r="D38" i="54"/>
  <c r="C38" i="54"/>
  <c r="R37" i="54"/>
  <c r="Q37" i="54"/>
  <c r="D37" i="54"/>
  <c r="C37" i="54"/>
  <c r="R36" i="54"/>
  <c r="Q36" i="54"/>
  <c r="D36" i="54"/>
  <c r="R35" i="54"/>
  <c r="Q35" i="54"/>
  <c r="D35" i="54"/>
  <c r="C35" i="54"/>
  <c r="R34" i="54"/>
  <c r="Q34" i="54"/>
  <c r="D34" i="54"/>
  <c r="R33" i="54"/>
  <c r="Q33" i="54"/>
  <c r="D33" i="54"/>
  <c r="C33" i="54"/>
  <c r="R32" i="54"/>
  <c r="Q32" i="54"/>
  <c r="D32" i="54"/>
  <c r="C32" i="54"/>
  <c r="R31" i="54"/>
  <c r="Q31" i="54"/>
  <c r="D31" i="54"/>
  <c r="C31" i="54"/>
  <c r="R30" i="54"/>
  <c r="Q30" i="54"/>
  <c r="D30" i="54"/>
  <c r="C30" i="54"/>
  <c r="R23" i="54"/>
  <c r="Q23" i="54"/>
  <c r="L23" i="54"/>
  <c r="D23" i="54"/>
  <c r="C23" i="54"/>
  <c r="R22" i="54"/>
  <c r="Q22" i="54"/>
  <c r="L22" i="54"/>
  <c r="D22" i="54"/>
  <c r="C22" i="54"/>
  <c r="R21" i="54"/>
  <c r="Q21" i="54"/>
  <c r="L21" i="54"/>
  <c r="D21" i="54"/>
  <c r="R20" i="54"/>
  <c r="Q20" i="54"/>
  <c r="L20" i="54"/>
  <c r="D20" i="54"/>
  <c r="C20" i="54"/>
  <c r="R19" i="54"/>
  <c r="Q19" i="54"/>
  <c r="L19" i="54"/>
  <c r="D19" i="54"/>
  <c r="R18" i="54"/>
  <c r="Q18" i="54"/>
  <c r="L18" i="54"/>
  <c r="D18" i="54"/>
  <c r="C18" i="54"/>
  <c r="R17" i="54"/>
  <c r="Q17" i="54"/>
  <c r="L17" i="54"/>
  <c r="D17" i="54"/>
  <c r="C17" i="54"/>
  <c r="R16" i="54"/>
  <c r="Q16" i="54"/>
  <c r="L16" i="54"/>
  <c r="D16" i="54"/>
  <c r="C16" i="54"/>
  <c r="R15" i="54"/>
  <c r="Q15" i="54"/>
  <c r="L15" i="54"/>
  <c r="D15" i="54"/>
  <c r="C15" i="54"/>
  <c r="R53" i="53"/>
  <c r="Q53" i="53"/>
  <c r="R52" i="53"/>
  <c r="Q52" i="53"/>
  <c r="R51" i="53"/>
  <c r="Q51" i="53"/>
  <c r="R50" i="53"/>
  <c r="Q50" i="53"/>
  <c r="R49" i="53"/>
  <c r="Q49" i="53"/>
  <c r="R48" i="53"/>
  <c r="Q48" i="53"/>
  <c r="R47" i="53"/>
  <c r="Q47" i="53"/>
  <c r="R46" i="53"/>
  <c r="Q46" i="53"/>
  <c r="R45" i="53"/>
  <c r="Q45" i="53"/>
  <c r="R38" i="53"/>
  <c r="Q38" i="53"/>
  <c r="D38" i="53"/>
  <c r="C38" i="53"/>
  <c r="R37" i="53"/>
  <c r="Q37" i="53"/>
  <c r="D37" i="53"/>
  <c r="C37" i="53"/>
  <c r="R36" i="53"/>
  <c r="Q36" i="53"/>
  <c r="D36" i="53"/>
  <c r="R35" i="53"/>
  <c r="Q35" i="53"/>
  <c r="D35" i="53"/>
  <c r="C35" i="53"/>
  <c r="R34" i="53"/>
  <c r="Q34" i="53"/>
  <c r="D34" i="53"/>
  <c r="R33" i="53"/>
  <c r="Q33" i="53"/>
  <c r="D33" i="53"/>
  <c r="C33" i="53"/>
  <c r="R32" i="53"/>
  <c r="Q32" i="53"/>
  <c r="D32" i="53"/>
  <c r="C32" i="53"/>
  <c r="R31" i="53"/>
  <c r="Q31" i="53"/>
  <c r="D31" i="53"/>
  <c r="C31" i="53"/>
  <c r="R30" i="53"/>
  <c r="Q30" i="53"/>
  <c r="D30" i="53"/>
  <c r="C30" i="53"/>
  <c r="E30" i="53" s="1"/>
  <c r="R23" i="53"/>
  <c r="Q23" i="53"/>
  <c r="L23" i="53"/>
  <c r="D23" i="53"/>
  <c r="C23" i="53"/>
  <c r="R22" i="53"/>
  <c r="Q22" i="53"/>
  <c r="L22" i="53"/>
  <c r="D22" i="53"/>
  <c r="C22" i="53"/>
  <c r="R21" i="53"/>
  <c r="Q21" i="53"/>
  <c r="L21" i="53"/>
  <c r="D21" i="53"/>
  <c r="R20" i="53"/>
  <c r="Q20" i="53"/>
  <c r="L20" i="53"/>
  <c r="D20" i="53"/>
  <c r="C20" i="53"/>
  <c r="R19" i="53"/>
  <c r="Q19" i="53"/>
  <c r="L19" i="53"/>
  <c r="D19" i="53"/>
  <c r="R18" i="53"/>
  <c r="Q18" i="53"/>
  <c r="L18" i="53"/>
  <c r="D18" i="53"/>
  <c r="C18" i="53"/>
  <c r="R17" i="53"/>
  <c r="Q17" i="53"/>
  <c r="L17" i="53"/>
  <c r="D17" i="53"/>
  <c r="C17" i="53"/>
  <c r="R16" i="53"/>
  <c r="Q16" i="53"/>
  <c r="L16" i="53"/>
  <c r="D16" i="53"/>
  <c r="C16" i="53"/>
  <c r="R15" i="53"/>
  <c r="Q15" i="53"/>
  <c r="L15" i="53"/>
  <c r="D15" i="53"/>
  <c r="C15" i="53"/>
  <c r="R53" i="52"/>
  <c r="Q53" i="52"/>
  <c r="M53" i="52"/>
  <c r="N53" i="52"/>
  <c r="E53" i="52"/>
  <c r="R52" i="52"/>
  <c r="Q52" i="52"/>
  <c r="M52" i="52"/>
  <c r="N52" i="52"/>
  <c r="E52" i="52"/>
  <c r="R51" i="52"/>
  <c r="R54" i="52"/>
  <c r="Q51" i="52"/>
  <c r="R50" i="52"/>
  <c r="Q50" i="52"/>
  <c r="M50" i="52"/>
  <c r="E50" i="52"/>
  <c r="R49" i="52"/>
  <c r="Q49" i="52"/>
  <c r="R48" i="52"/>
  <c r="Q48" i="52"/>
  <c r="M48" i="52"/>
  <c r="N48" i="52"/>
  <c r="E48" i="52"/>
  <c r="R47" i="52"/>
  <c r="Q47" i="52"/>
  <c r="M47" i="52"/>
  <c r="N47" i="52"/>
  <c r="E47" i="52"/>
  <c r="O47" i="52"/>
  <c r="R46" i="52"/>
  <c r="Q46" i="52"/>
  <c r="M46" i="52"/>
  <c r="N46" i="52"/>
  <c r="E46" i="52"/>
  <c r="F46" i="52"/>
  <c r="H46" i="52"/>
  <c r="R45" i="52"/>
  <c r="Q45" i="52"/>
  <c r="M45" i="52"/>
  <c r="N45" i="52"/>
  <c r="E45" i="52"/>
  <c r="R38" i="52"/>
  <c r="Q38" i="52"/>
  <c r="D38" i="52"/>
  <c r="C38" i="52"/>
  <c r="R37" i="52"/>
  <c r="Q37" i="52"/>
  <c r="D37" i="52"/>
  <c r="C37" i="52"/>
  <c r="R36" i="52"/>
  <c r="Q36" i="52"/>
  <c r="D36" i="52"/>
  <c r="R35" i="52"/>
  <c r="Q35" i="52"/>
  <c r="D35" i="52"/>
  <c r="C35" i="52"/>
  <c r="R34" i="52"/>
  <c r="Q34" i="52"/>
  <c r="D34" i="52"/>
  <c r="R33" i="52"/>
  <c r="Q33" i="52"/>
  <c r="D33" i="52"/>
  <c r="C33" i="52"/>
  <c r="R32" i="52"/>
  <c r="Q32" i="52"/>
  <c r="D32" i="52"/>
  <c r="C32" i="52"/>
  <c r="R31" i="52"/>
  <c r="Q31" i="52"/>
  <c r="D31" i="52"/>
  <c r="C31" i="52"/>
  <c r="R30" i="52"/>
  <c r="Q30" i="52"/>
  <c r="D30" i="52"/>
  <c r="C30" i="52"/>
  <c r="R23" i="52"/>
  <c r="Q23" i="52"/>
  <c r="L23" i="52"/>
  <c r="D23" i="52"/>
  <c r="C23" i="52"/>
  <c r="R22" i="52"/>
  <c r="Q22" i="52"/>
  <c r="L22" i="52"/>
  <c r="D22" i="52"/>
  <c r="C22" i="52"/>
  <c r="R21" i="52"/>
  <c r="Q21" i="52"/>
  <c r="L21" i="52"/>
  <c r="D21" i="52"/>
  <c r="R20" i="52"/>
  <c r="Q20" i="52"/>
  <c r="L20" i="52"/>
  <c r="D20" i="52"/>
  <c r="C20" i="52"/>
  <c r="R19" i="52"/>
  <c r="Q19" i="52"/>
  <c r="L19" i="52"/>
  <c r="D19" i="52"/>
  <c r="R18" i="52"/>
  <c r="Q18" i="52"/>
  <c r="L18" i="52"/>
  <c r="D18" i="52"/>
  <c r="C18" i="52"/>
  <c r="R17" i="52"/>
  <c r="Q17" i="52"/>
  <c r="L17" i="52"/>
  <c r="D17" i="52"/>
  <c r="C17" i="52"/>
  <c r="R16" i="52"/>
  <c r="Q16" i="52"/>
  <c r="L16" i="52"/>
  <c r="D16" i="52"/>
  <c r="C16" i="52"/>
  <c r="R15" i="52"/>
  <c r="Q15" i="52"/>
  <c r="L15" i="52"/>
  <c r="D15" i="52"/>
  <c r="C15" i="52"/>
  <c r="R53" i="51"/>
  <c r="Q53" i="51"/>
  <c r="R52" i="51"/>
  <c r="Q52" i="51"/>
  <c r="R51" i="51"/>
  <c r="Q51" i="51"/>
  <c r="R50" i="51"/>
  <c r="Q50" i="51"/>
  <c r="R49" i="51"/>
  <c r="Q49" i="51"/>
  <c r="R48" i="51"/>
  <c r="Q48" i="51"/>
  <c r="R47" i="51"/>
  <c r="Q47" i="51"/>
  <c r="R46" i="51"/>
  <c r="Q46" i="51"/>
  <c r="R45" i="51"/>
  <c r="Q45" i="51"/>
  <c r="R38" i="51"/>
  <c r="Q38" i="51"/>
  <c r="D38" i="51"/>
  <c r="C38" i="51"/>
  <c r="R37" i="51"/>
  <c r="Q37" i="51"/>
  <c r="D37" i="51"/>
  <c r="C37" i="51"/>
  <c r="R36" i="51"/>
  <c r="Q36" i="51"/>
  <c r="D36" i="51"/>
  <c r="R35" i="51"/>
  <c r="Q35" i="51"/>
  <c r="D35" i="51"/>
  <c r="C35" i="51"/>
  <c r="R34" i="51"/>
  <c r="Q34" i="51"/>
  <c r="D34" i="51"/>
  <c r="R33" i="51"/>
  <c r="Q33" i="51"/>
  <c r="D33" i="51"/>
  <c r="C33" i="51"/>
  <c r="R32" i="51"/>
  <c r="Q32" i="51"/>
  <c r="D32" i="51"/>
  <c r="C32" i="51"/>
  <c r="R31" i="51"/>
  <c r="Q31" i="51"/>
  <c r="D31" i="51"/>
  <c r="C31" i="51"/>
  <c r="R30" i="51"/>
  <c r="Q30" i="51"/>
  <c r="D30" i="51"/>
  <c r="C30" i="51"/>
  <c r="R23" i="51"/>
  <c r="Q23" i="51"/>
  <c r="L23" i="51"/>
  <c r="D23" i="51"/>
  <c r="C23" i="51"/>
  <c r="R22" i="51"/>
  <c r="Q22" i="51"/>
  <c r="L22" i="51"/>
  <c r="D22" i="51"/>
  <c r="C22" i="51"/>
  <c r="R21" i="51"/>
  <c r="Q21" i="51"/>
  <c r="L21" i="51"/>
  <c r="D21" i="51"/>
  <c r="R20" i="51"/>
  <c r="Q20" i="51"/>
  <c r="L20" i="51"/>
  <c r="D20" i="51"/>
  <c r="C20" i="51"/>
  <c r="R19" i="51"/>
  <c r="Q19" i="51"/>
  <c r="L19" i="51"/>
  <c r="D19" i="51"/>
  <c r="R18" i="51"/>
  <c r="Q18" i="51"/>
  <c r="L18" i="51"/>
  <c r="D18" i="51"/>
  <c r="C18" i="51"/>
  <c r="R17" i="51"/>
  <c r="Q17" i="51"/>
  <c r="L17" i="51"/>
  <c r="D17" i="51"/>
  <c r="C17" i="51"/>
  <c r="R16" i="51"/>
  <c r="Q16" i="51"/>
  <c r="L16" i="51"/>
  <c r="D16" i="51"/>
  <c r="C16" i="51"/>
  <c r="R15" i="51"/>
  <c r="Q15" i="51"/>
  <c r="L15" i="51"/>
  <c r="D15" i="51"/>
  <c r="C15" i="51"/>
  <c r="R53" i="50"/>
  <c r="Q53" i="50"/>
  <c r="N53" i="50"/>
  <c r="M53" i="50"/>
  <c r="G53" i="50"/>
  <c r="E53" i="50"/>
  <c r="F53" i="50"/>
  <c r="H53" i="50"/>
  <c r="R52" i="50"/>
  <c r="Q52" i="50"/>
  <c r="N52" i="50"/>
  <c r="M52" i="50"/>
  <c r="G52" i="50"/>
  <c r="E52" i="50"/>
  <c r="F52" i="50"/>
  <c r="H52" i="50"/>
  <c r="R51" i="50"/>
  <c r="Q51" i="50"/>
  <c r="N51" i="50"/>
  <c r="R50" i="50"/>
  <c r="Q50" i="50"/>
  <c r="M50" i="50"/>
  <c r="N50" i="50"/>
  <c r="G50" i="50"/>
  <c r="E50" i="50"/>
  <c r="G51" i="50"/>
  <c r="R49" i="50"/>
  <c r="Q49" i="50"/>
  <c r="I49" i="50"/>
  <c r="J49" i="50"/>
  <c r="P49" i="50"/>
  <c r="R48" i="50"/>
  <c r="Q48" i="50"/>
  <c r="M48" i="50"/>
  <c r="N48" i="50"/>
  <c r="E48" i="50"/>
  <c r="G48" i="50"/>
  <c r="R47" i="50"/>
  <c r="Q47" i="50"/>
  <c r="M47" i="50"/>
  <c r="N47" i="50"/>
  <c r="E47" i="50"/>
  <c r="R46" i="50"/>
  <c r="Q46" i="50"/>
  <c r="M46" i="50"/>
  <c r="N46" i="50"/>
  <c r="E46" i="50"/>
  <c r="G46" i="50"/>
  <c r="R45" i="50"/>
  <c r="Q45" i="50"/>
  <c r="N45" i="50"/>
  <c r="M45" i="50"/>
  <c r="I45" i="50"/>
  <c r="J45" i="50"/>
  <c r="P45" i="50"/>
  <c r="F45" i="50"/>
  <c r="H45" i="50"/>
  <c r="E45" i="50"/>
  <c r="R38" i="50"/>
  <c r="Q38" i="50"/>
  <c r="D38" i="50"/>
  <c r="C38" i="50"/>
  <c r="R37" i="50"/>
  <c r="Q37" i="50"/>
  <c r="D37" i="50"/>
  <c r="C37" i="50"/>
  <c r="R36" i="50"/>
  <c r="Q36" i="50"/>
  <c r="D36" i="50"/>
  <c r="R35" i="50"/>
  <c r="Q35" i="50"/>
  <c r="D35" i="50"/>
  <c r="C35" i="50"/>
  <c r="R34" i="50"/>
  <c r="Q34" i="50"/>
  <c r="D34" i="50"/>
  <c r="R33" i="50"/>
  <c r="Q33" i="50"/>
  <c r="D33" i="50"/>
  <c r="C33" i="50"/>
  <c r="R32" i="50"/>
  <c r="Q32" i="50"/>
  <c r="D32" i="50"/>
  <c r="C32" i="50"/>
  <c r="R31" i="50"/>
  <c r="Q31" i="50"/>
  <c r="D31" i="50"/>
  <c r="C31" i="50"/>
  <c r="R30" i="50"/>
  <c r="Q30" i="50"/>
  <c r="D30" i="50"/>
  <c r="C30" i="50"/>
  <c r="R23" i="50"/>
  <c r="Q23" i="50"/>
  <c r="L23" i="50"/>
  <c r="D23" i="50"/>
  <c r="C23" i="50"/>
  <c r="R22" i="50"/>
  <c r="Q22" i="50"/>
  <c r="L22" i="50"/>
  <c r="D22" i="50"/>
  <c r="C22" i="50"/>
  <c r="R21" i="50"/>
  <c r="Q21" i="50"/>
  <c r="L21" i="50"/>
  <c r="D21" i="50"/>
  <c r="R20" i="50"/>
  <c r="Q20" i="50"/>
  <c r="L20" i="50"/>
  <c r="D20" i="50"/>
  <c r="C20" i="50"/>
  <c r="R19" i="50"/>
  <c r="Q19" i="50"/>
  <c r="L19" i="50"/>
  <c r="D19" i="50"/>
  <c r="R18" i="50"/>
  <c r="Q18" i="50"/>
  <c r="L18" i="50"/>
  <c r="D18" i="50"/>
  <c r="C18" i="50"/>
  <c r="R17" i="50"/>
  <c r="Q17" i="50"/>
  <c r="L17" i="50"/>
  <c r="D17" i="50"/>
  <c r="C17" i="50"/>
  <c r="R16" i="50"/>
  <c r="Q16" i="50"/>
  <c r="L16" i="50"/>
  <c r="D16" i="50"/>
  <c r="C16" i="50"/>
  <c r="R15" i="50"/>
  <c r="Q15" i="50"/>
  <c r="L15" i="50"/>
  <c r="D15" i="50"/>
  <c r="C15" i="50"/>
  <c r="R53" i="49"/>
  <c r="Q53" i="49"/>
  <c r="M53" i="49"/>
  <c r="N53" i="49"/>
  <c r="E53" i="49"/>
  <c r="R52" i="49"/>
  <c r="Q52" i="49"/>
  <c r="M52" i="49"/>
  <c r="N52" i="49"/>
  <c r="E52" i="49"/>
  <c r="R51" i="49"/>
  <c r="Q51" i="49"/>
  <c r="N51" i="49"/>
  <c r="R50" i="49"/>
  <c r="Q50" i="49"/>
  <c r="N50" i="49"/>
  <c r="M50" i="49"/>
  <c r="E50" i="49"/>
  <c r="O50" i="49"/>
  <c r="G51" i="49"/>
  <c r="R49" i="49"/>
  <c r="Q49" i="49"/>
  <c r="N49" i="49"/>
  <c r="R48" i="49"/>
  <c r="Q48" i="49"/>
  <c r="M48" i="49"/>
  <c r="N48" i="49"/>
  <c r="E48" i="49"/>
  <c r="R47" i="49"/>
  <c r="Q47" i="49"/>
  <c r="M47" i="49"/>
  <c r="N47" i="49"/>
  <c r="E47" i="49"/>
  <c r="R46" i="49"/>
  <c r="Q46" i="49"/>
  <c r="M46" i="49"/>
  <c r="N46" i="49"/>
  <c r="G46" i="49"/>
  <c r="E46" i="49"/>
  <c r="F46" i="49"/>
  <c r="H46" i="49"/>
  <c r="R45" i="49"/>
  <c r="R54" i="49" s="1"/>
  <c r="Q45" i="49"/>
  <c r="Q54" i="49" s="1"/>
  <c r="E45" i="49"/>
  <c r="R38" i="49"/>
  <c r="Q38" i="49"/>
  <c r="D38" i="49"/>
  <c r="C38" i="49"/>
  <c r="R37" i="49"/>
  <c r="Q37" i="49"/>
  <c r="D37" i="49"/>
  <c r="C37" i="49"/>
  <c r="R36" i="49"/>
  <c r="Q36" i="49"/>
  <c r="D36" i="49"/>
  <c r="R35" i="49"/>
  <c r="Q35" i="49"/>
  <c r="D35" i="49"/>
  <c r="C35" i="49"/>
  <c r="R34" i="49"/>
  <c r="Q34" i="49"/>
  <c r="D34" i="49"/>
  <c r="R33" i="49"/>
  <c r="Q33" i="49"/>
  <c r="D33" i="49"/>
  <c r="C33" i="49"/>
  <c r="R32" i="49"/>
  <c r="Q32" i="49"/>
  <c r="D32" i="49"/>
  <c r="C32" i="49"/>
  <c r="R31" i="49"/>
  <c r="Q31" i="49"/>
  <c r="D31" i="49"/>
  <c r="C31" i="49"/>
  <c r="R30" i="49"/>
  <c r="Q30" i="49"/>
  <c r="D30" i="49"/>
  <c r="C30" i="49"/>
  <c r="R23" i="49"/>
  <c r="Q23" i="49"/>
  <c r="L23" i="49"/>
  <c r="D23" i="49"/>
  <c r="C23" i="49"/>
  <c r="R22" i="49"/>
  <c r="Q22" i="49"/>
  <c r="L22" i="49"/>
  <c r="D22" i="49"/>
  <c r="C22" i="49"/>
  <c r="R21" i="49"/>
  <c r="Q21" i="49"/>
  <c r="L21" i="49"/>
  <c r="D21" i="49"/>
  <c r="R20" i="49"/>
  <c r="Q20" i="49"/>
  <c r="L20" i="49"/>
  <c r="D20" i="49"/>
  <c r="C20" i="49"/>
  <c r="R19" i="49"/>
  <c r="Q19" i="49"/>
  <c r="L19" i="49"/>
  <c r="D19" i="49"/>
  <c r="R18" i="49"/>
  <c r="Q18" i="49"/>
  <c r="L18" i="49"/>
  <c r="D18" i="49"/>
  <c r="C18" i="49"/>
  <c r="R17" i="49"/>
  <c r="Q17" i="49"/>
  <c r="L17" i="49"/>
  <c r="D17" i="49"/>
  <c r="C17" i="49"/>
  <c r="R16" i="49"/>
  <c r="Q16" i="49"/>
  <c r="L16" i="49"/>
  <c r="D16" i="49"/>
  <c r="C16" i="49"/>
  <c r="R15" i="49"/>
  <c r="Q15" i="49"/>
  <c r="L15" i="49"/>
  <c r="D15" i="49"/>
  <c r="C15" i="49"/>
  <c r="R53" i="48"/>
  <c r="Q53" i="48"/>
  <c r="M53" i="48"/>
  <c r="N53" i="48"/>
  <c r="H53" i="48"/>
  <c r="G53" i="48"/>
  <c r="F53" i="48"/>
  <c r="E53" i="48"/>
  <c r="R52" i="48"/>
  <c r="Q52" i="48"/>
  <c r="M52" i="48"/>
  <c r="N52" i="48"/>
  <c r="G52" i="48"/>
  <c r="F52" i="48"/>
  <c r="H52" i="48"/>
  <c r="E52" i="48"/>
  <c r="R51" i="48"/>
  <c r="Q51" i="48"/>
  <c r="R50" i="48"/>
  <c r="Q50" i="48"/>
  <c r="M50" i="48"/>
  <c r="N50" i="48"/>
  <c r="G50" i="48"/>
  <c r="E50" i="48"/>
  <c r="G51" i="48"/>
  <c r="R49" i="48"/>
  <c r="Q49" i="48"/>
  <c r="R48" i="48"/>
  <c r="Q48" i="48"/>
  <c r="M48" i="48"/>
  <c r="N48" i="48"/>
  <c r="E48" i="48"/>
  <c r="G48" i="48"/>
  <c r="R47" i="48"/>
  <c r="Q47" i="48"/>
  <c r="M47" i="48"/>
  <c r="N47" i="48"/>
  <c r="E47" i="48"/>
  <c r="R46" i="48"/>
  <c r="Q46" i="48"/>
  <c r="M46" i="48"/>
  <c r="N46" i="48"/>
  <c r="E46" i="48"/>
  <c r="G46" i="48"/>
  <c r="R45" i="48"/>
  <c r="Q45" i="48"/>
  <c r="M45" i="48"/>
  <c r="N45" i="48"/>
  <c r="E45" i="48"/>
  <c r="R38" i="48"/>
  <c r="Q38" i="48"/>
  <c r="D38" i="48"/>
  <c r="C38" i="48"/>
  <c r="R37" i="48"/>
  <c r="Q37" i="48"/>
  <c r="D37" i="48"/>
  <c r="C37" i="48"/>
  <c r="R36" i="48"/>
  <c r="Q36" i="48"/>
  <c r="D36" i="48"/>
  <c r="R35" i="48"/>
  <c r="Q35" i="48"/>
  <c r="D35" i="48"/>
  <c r="C35" i="48"/>
  <c r="R34" i="48"/>
  <c r="Q34" i="48"/>
  <c r="D34" i="48"/>
  <c r="R33" i="48"/>
  <c r="Q33" i="48"/>
  <c r="D33" i="48"/>
  <c r="C33" i="48"/>
  <c r="R32" i="48"/>
  <c r="Q32" i="48"/>
  <c r="D32" i="48"/>
  <c r="C32" i="48"/>
  <c r="E32" i="48" s="1"/>
  <c r="F32" i="48" s="1"/>
  <c r="H32" i="48" s="1"/>
  <c r="R31" i="48"/>
  <c r="Q31" i="48"/>
  <c r="D31" i="48"/>
  <c r="C31" i="48"/>
  <c r="R30" i="48"/>
  <c r="Q30" i="48"/>
  <c r="D30" i="48"/>
  <c r="C30" i="48"/>
  <c r="R23" i="48"/>
  <c r="Q23" i="48"/>
  <c r="L23" i="48"/>
  <c r="D23" i="48"/>
  <c r="C23" i="48"/>
  <c r="R22" i="48"/>
  <c r="Q22" i="48"/>
  <c r="L22" i="48"/>
  <c r="D22" i="48"/>
  <c r="C22" i="48"/>
  <c r="R21" i="48"/>
  <c r="Q21" i="48"/>
  <c r="L21" i="48"/>
  <c r="D21" i="48"/>
  <c r="R20" i="48"/>
  <c r="Q20" i="48"/>
  <c r="L20" i="48"/>
  <c r="D20" i="48"/>
  <c r="C20" i="48"/>
  <c r="R19" i="48"/>
  <c r="Q19" i="48"/>
  <c r="L19" i="48"/>
  <c r="D19" i="48"/>
  <c r="R18" i="48"/>
  <c r="Q18" i="48"/>
  <c r="L18" i="48"/>
  <c r="D18" i="48"/>
  <c r="C18" i="48"/>
  <c r="R17" i="48"/>
  <c r="Q17" i="48"/>
  <c r="L17" i="48"/>
  <c r="D17" i="48"/>
  <c r="C17" i="48"/>
  <c r="R16" i="48"/>
  <c r="Q16" i="48"/>
  <c r="L16" i="48"/>
  <c r="D16" i="48"/>
  <c r="C16" i="48"/>
  <c r="R15" i="48"/>
  <c r="Q15" i="48"/>
  <c r="L15" i="48"/>
  <c r="D15" i="48"/>
  <c r="C15" i="48"/>
  <c r="L23" i="1"/>
  <c r="L22" i="1"/>
  <c r="L21" i="1"/>
  <c r="L20" i="1"/>
  <c r="L19" i="1"/>
  <c r="L18" i="1"/>
  <c r="L17" i="1"/>
  <c r="L16" i="1"/>
  <c r="L15" i="1"/>
  <c r="D38" i="1"/>
  <c r="C38" i="1"/>
  <c r="D37" i="1"/>
  <c r="C37" i="1"/>
  <c r="D36" i="1"/>
  <c r="D35" i="1"/>
  <c r="C35" i="1"/>
  <c r="D34" i="1"/>
  <c r="D33" i="1"/>
  <c r="C33" i="1"/>
  <c r="D32" i="1"/>
  <c r="C32" i="1"/>
  <c r="E32" i="1" s="1"/>
  <c r="F32" i="1" s="1"/>
  <c r="H32" i="1" s="1"/>
  <c r="D31" i="1"/>
  <c r="C31" i="1"/>
  <c r="D30" i="1"/>
  <c r="C30" i="1"/>
  <c r="D23" i="1"/>
  <c r="C23" i="1"/>
  <c r="D22" i="1"/>
  <c r="C22" i="1"/>
  <c r="D21" i="1"/>
  <c r="D20" i="1"/>
  <c r="C20" i="1"/>
  <c r="D19" i="1"/>
  <c r="D18" i="1"/>
  <c r="C18" i="1"/>
  <c r="D17" i="1"/>
  <c r="C17" i="1"/>
  <c r="D16" i="1"/>
  <c r="C16" i="1"/>
  <c r="D15" i="1"/>
  <c r="C15" i="1"/>
  <c r="S54" i="48"/>
  <c r="O45" i="48"/>
  <c r="I45" i="48"/>
  <c r="J45" i="48"/>
  <c r="P45" i="48"/>
  <c r="F45" i="48"/>
  <c r="H45" i="48"/>
  <c r="I49" i="48"/>
  <c r="J49" i="48"/>
  <c r="P49" i="48"/>
  <c r="F53" i="49"/>
  <c r="H53" i="49"/>
  <c r="O53" i="49"/>
  <c r="G53" i="49"/>
  <c r="F52" i="49"/>
  <c r="H52" i="49"/>
  <c r="O52" i="49"/>
  <c r="G52" i="49"/>
  <c r="F47" i="49"/>
  <c r="H47" i="49"/>
  <c r="O47" i="49"/>
  <c r="G47" i="49"/>
  <c r="G49" i="49"/>
  <c r="O48" i="49"/>
  <c r="G48" i="49"/>
  <c r="I48" i="49"/>
  <c r="I49" i="49"/>
  <c r="F45" i="49"/>
  <c r="H45" i="49"/>
  <c r="N51" i="67"/>
  <c r="N50" i="67"/>
  <c r="N49" i="67"/>
  <c r="N48" i="67"/>
  <c r="N51" i="66"/>
  <c r="N50" i="66"/>
  <c r="N49" i="66"/>
  <c r="N48" i="66"/>
  <c r="E52" i="65"/>
  <c r="F52" i="65"/>
  <c r="H52" i="65"/>
  <c r="E45" i="59"/>
  <c r="G45" i="59" s="1"/>
  <c r="E45" i="56"/>
  <c r="G45" i="56"/>
  <c r="E46" i="65"/>
  <c r="F46" i="65"/>
  <c r="H46" i="65"/>
  <c r="E46" i="56"/>
  <c r="F46" i="56"/>
  <c r="H46" i="56"/>
  <c r="E50" i="65"/>
  <c r="G50" i="65"/>
  <c r="E47" i="65"/>
  <c r="F47" i="65"/>
  <c r="H47" i="65"/>
  <c r="E45" i="57"/>
  <c r="G45" i="57"/>
  <c r="N51" i="54"/>
  <c r="N50" i="54"/>
  <c r="N50" i="52"/>
  <c r="N51" i="52"/>
  <c r="O53" i="52"/>
  <c r="G53" i="52"/>
  <c r="F53" i="52"/>
  <c r="H53" i="52"/>
  <c r="O52" i="52"/>
  <c r="G52" i="52"/>
  <c r="I52" i="52"/>
  <c r="J52" i="52"/>
  <c r="P52" i="52"/>
  <c r="F52" i="52"/>
  <c r="H52" i="52"/>
  <c r="G51" i="52"/>
  <c r="O50" i="52"/>
  <c r="G50" i="52"/>
  <c r="G49" i="52"/>
  <c r="O48" i="52"/>
  <c r="O45" i="52"/>
  <c r="G45" i="52"/>
  <c r="I45" i="52"/>
  <c r="J45" i="52"/>
  <c r="P45" i="52"/>
  <c r="F45" i="52"/>
  <c r="H45" i="52"/>
  <c r="I53" i="52"/>
  <c r="E47" i="62"/>
  <c r="E50" i="62"/>
  <c r="G50" i="62" s="1"/>
  <c r="G53" i="67"/>
  <c r="O53" i="67"/>
  <c r="G52" i="67"/>
  <c r="I52" i="67"/>
  <c r="O52" i="67"/>
  <c r="F51" i="67"/>
  <c r="H51" i="67"/>
  <c r="O50" i="67"/>
  <c r="G51" i="67"/>
  <c r="G50" i="67"/>
  <c r="I50" i="67"/>
  <c r="F50" i="67"/>
  <c r="H50" i="67"/>
  <c r="G49" i="67"/>
  <c r="I49" i="67"/>
  <c r="O48" i="67"/>
  <c r="G48" i="67"/>
  <c r="I48" i="67"/>
  <c r="F47" i="67"/>
  <c r="H47" i="67"/>
  <c r="O47" i="67"/>
  <c r="G47" i="67"/>
  <c r="F46" i="67"/>
  <c r="H46" i="67"/>
  <c r="O46" i="67"/>
  <c r="G46" i="67"/>
  <c r="I46" i="67"/>
  <c r="J46" i="67"/>
  <c r="P46" i="67"/>
  <c r="R46" i="67"/>
  <c r="O45" i="67"/>
  <c r="F45" i="67"/>
  <c r="H45" i="67"/>
  <c r="O53" i="54"/>
  <c r="G53" i="54"/>
  <c r="F53" i="54"/>
  <c r="H53" i="54"/>
  <c r="O52" i="54"/>
  <c r="G52" i="54"/>
  <c r="I52" i="54"/>
  <c r="J52" i="54"/>
  <c r="P52" i="54"/>
  <c r="F52" i="54"/>
  <c r="H52" i="54"/>
  <c r="G51" i="54"/>
  <c r="I51" i="54"/>
  <c r="J51" i="54"/>
  <c r="P51" i="54"/>
  <c r="O50" i="54"/>
  <c r="G50" i="54"/>
  <c r="F48" i="54"/>
  <c r="H48" i="54"/>
  <c r="O48" i="54"/>
  <c r="O45" i="54"/>
  <c r="G45" i="54"/>
  <c r="I45" i="54"/>
  <c r="J45" i="54"/>
  <c r="P45" i="54"/>
  <c r="F45" i="54"/>
  <c r="H45" i="54"/>
  <c r="I53" i="54"/>
  <c r="G52" i="61"/>
  <c r="F47" i="59"/>
  <c r="H47" i="59"/>
  <c r="G45" i="62"/>
  <c r="F45" i="62"/>
  <c r="H45" i="62"/>
  <c r="Q54" i="67"/>
  <c r="F49" i="67"/>
  <c r="H49" i="67"/>
  <c r="I53" i="67"/>
  <c r="G45" i="67"/>
  <c r="F48" i="67"/>
  <c r="H48" i="67"/>
  <c r="I51" i="67"/>
  <c r="J51" i="67"/>
  <c r="P51" i="67"/>
  <c r="R51" i="67"/>
  <c r="I45" i="67"/>
  <c r="J45" i="67"/>
  <c r="P45" i="67"/>
  <c r="I47" i="67"/>
  <c r="J47" i="67"/>
  <c r="P47" i="67"/>
  <c r="R47" i="67"/>
  <c r="F52" i="67"/>
  <c r="H52" i="67"/>
  <c r="F53" i="67"/>
  <c r="H53" i="67"/>
  <c r="F46" i="63"/>
  <c r="H46" i="63"/>
  <c r="G46" i="63"/>
  <c r="F46" i="62"/>
  <c r="H46" i="62"/>
  <c r="G46" i="62"/>
  <c r="F52" i="61"/>
  <c r="H52" i="61"/>
  <c r="N51" i="60"/>
  <c r="N49" i="60"/>
  <c r="G47" i="59"/>
  <c r="I53" i="55"/>
  <c r="J53" i="55"/>
  <c r="P53" i="55" s="1"/>
  <c r="G46" i="55"/>
  <c r="G47" i="55"/>
  <c r="G48" i="55"/>
  <c r="I50" i="55"/>
  <c r="J50" i="55" s="1"/>
  <c r="P50" i="55" s="1"/>
  <c r="I45" i="55"/>
  <c r="J45" i="55" s="1"/>
  <c r="P45" i="55" s="1"/>
  <c r="P54" i="55" s="1"/>
  <c r="I49" i="55"/>
  <c r="J49" i="55"/>
  <c r="P49" i="55" s="1"/>
  <c r="F48" i="55"/>
  <c r="H48" i="55"/>
  <c r="I46" i="55"/>
  <c r="J46" i="55" s="1"/>
  <c r="P46" i="55" s="1"/>
  <c r="I47" i="55"/>
  <c r="I48" i="55"/>
  <c r="J48" i="55" s="1"/>
  <c r="P48" i="55" s="1"/>
  <c r="I52" i="55"/>
  <c r="J52" i="55"/>
  <c r="P52" i="55" s="1"/>
  <c r="N49" i="55"/>
  <c r="F47" i="55"/>
  <c r="H47" i="55"/>
  <c r="G49" i="55"/>
  <c r="I51" i="55"/>
  <c r="J51" i="55" s="1"/>
  <c r="P51" i="55" s="1"/>
  <c r="F52" i="55"/>
  <c r="H52" i="55"/>
  <c r="F53" i="55"/>
  <c r="H53" i="55"/>
  <c r="F51" i="55"/>
  <c r="H51" i="55"/>
  <c r="F50" i="55"/>
  <c r="H50" i="55"/>
  <c r="J53" i="54"/>
  <c r="F49" i="54"/>
  <c r="H49" i="54"/>
  <c r="G49" i="54"/>
  <c r="G46" i="54"/>
  <c r="G47" i="54"/>
  <c r="G48" i="54"/>
  <c r="I48" i="54"/>
  <c r="J48" i="54"/>
  <c r="P48" i="54"/>
  <c r="I50" i="54"/>
  <c r="J50" i="54"/>
  <c r="P50" i="54"/>
  <c r="I49" i="54"/>
  <c r="I46" i="54"/>
  <c r="J46" i="54"/>
  <c r="P46" i="54"/>
  <c r="I47" i="54"/>
  <c r="N49" i="54"/>
  <c r="F47" i="54"/>
  <c r="H47" i="54"/>
  <c r="F51" i="54"/>
  <c r="H51" i="54"/>
  <c r="F50" i="54"/>
  <c r="H50" i="54"/>
  <c r="J53" i="52"/>
  <c r="P53" i="52"/>
  <c r="F47" i="52"/>
  <c r="H47" i="52"/>
  <c r="I51" i="52"/>
  <c r="J51" i="52"/>
  <c r="P51" i="52"/>
  <c r="G46" i="52"/>
  <c r="G47" i="52"/>
  <c r="G48" i="52"/>
  <c r="I50" i="52"/>
  <c r="I49" i="52"/>
  <c r="J49" i="52"/>
  <c r="P49" i="52"/>
  <c r="I46" i="52"/>
  <c r="J46" i="52"/>
  <c r="P46" i="52"/>
  <c r="I47" i="52"/>
  <c r="I48" i="52"/>
  <c r="J48" i="52"/>
  <c r="P48" i="52"/>
  <c r="N49" i="52"/>
  <c r="F48" i="52"/>
  <c r="H48" i="52"/>
  <c r="F49" i="52"/>
  <c r="H49" i="52"/>
  <c r="F51" i="52"/>
  <c r="H51" i="52"/>
  <c r="F50" i="52"/>
  <c r="H50" i="52"/>
  <c r="J50" i="52"/>
  <c r="P50" i="52"/>
  <c r="J53" i="50"/>
  <c r="P53" i="50"/>
  <c r="F49" i="50"/>
  <c r="H49" i="50"/>
  <c r="I52" i="50"/>
  <c r="J52" i="50"/>
  <c r="P52" i="50"/>
  <c r="I53" i="50"/>
  <c r="G45" i="50"/>
  <c r="F46" i="50"/>
  <c r="H46" i="50"/>
  <c r="F47" i="50"/>
  <c r="H47" i="50"/>
  <c r="J47" i="50"/>
  <c r="F48" i="50"/>
  <c r="H48" i="50"/>
  <c r="G49" i="50"/>
  <c r="I51" i="50"/>
  <c r="J51" i="50"/>
  <c r="P51" i="50"/>
  <c r="G47" i="50"/>
  <c r="I50" i="50"/>
  <c r="I46" i="50"/>
  <c r="J46" i="50"/>
  <c r="P46" i="50"/>
  <c r="I47" i="50"/>
  <c r="I48" i="50"/>
  <c r="J48" i="50"/>
  <c r="P48" i="50"/>
  <c r="N49" i="50"/>
  <c r="F51" i="50"/>
  <c r="H51" i="50"/>
  <c r="F50" i="50"/>
  <c r="H50" i="50"/>
  <c r="J50" i="50"/>
  <c r="P50" i="50"/>
  <c r="F49" i="49"/>
  <c r="H49" i="49"/>
  <c r="J49" i="49"/>
  <c r="P49" i="49"/>
  <c r="G50" i="49"/>
  <c r="I50" i="49"/>
  <c r="I52" i="49"/>
  <c r="I53" i="49"/>
  <c r="G45" i="49"/>
  <c r="I45" i="49"/>
  <c r="F48" i="49"/>
  <c r="H48" i="49"/>
  <c r="I51" i="49"/>
  <c r="I46" i="49"/>
  <c r="J46" i="49"/>
  <c r="P46" i="49"/>
  <c r="I47" i="49"/>
  <c r="F51" i="49"/>
  <c r="H51" i="49"/>
  <c r="F50" i="49"/>
  <c r="H50" i="49"/>
  <c r="J50" i="49"/>
  <c r="P50" i="49"/>
  <c r="F49" i="48"/>
  <c r="H49" i="48"/>
  <c r="I52" i="48"/>
  <c r="J52" i="48"/>
  <c r="P52" i="48"/>
  <c r="I53" i="48"/>
  <c r="J53" i="48"/>
  <c r="G45" i="48"/>
  <c r="F46" i="48"/>
  <c r="H46" i="48"/>
  <c r="F47" i="48"/>
  <c r="H47" i="48"/>
  <c r="F48" i="48"/>
  <c r="H48" i="48"/>
  <c r="G49" i="48"/>
  <c r="I51" i="48"/>
  <c r="J51" i="48"/>
  <c r="P51" i="48"/>
  <c r="G47" i="48"/>
  <c r="I50" i="48"/>
  <c r="J50" i="48"/>
  <c r="P50" i="48"/>
  <c r="N51" i="48"/>
  <c r="I46" i="48"/>
  <c r="I47" i="48"/>
  <c r="I48" i="48"/>
  <c r="N49" i="48"/>
  <c r="F51" i="48"/>
  <c r="H51" i="48"/>
  <c r="F50" i="48"/>
  <c r="H50" i="48"/>
  <c r="R23" i="1"/>
  <c r="Q23" i="1"/>
  <c r="R22" i="1"/>
  <c r="Q22" i="1"/>
  <c r="R21" i="1"/>
  <c r="Q21" i="1"/>
  <c r="R20" i="1"/>
  <c r="Q20" i="1"/>
  <c r="R19" i="1"/>
  <c r="Q19" i="1"/>
  <c r="R18" i="1"/>
  <c r="Q18" i="1"/>
  <c r="R17" i="1"/>
  <c r="Q17" i="1"/>
  <c r="R16" i="1"/>
  <c r="Q16" i="1"/>
  <c r="R15" i="1"/>
  <c r="Q15" i="1"/>
  <c r="R38" i="1"/>
  <c r="Q38" i="1"/>
  <c r="R37" i="1"/>
  <c r="Q37" i="1"/>
  <c r="R36" i="1"/>
  <c r="Q36" i="1"/>
  <c r="R35" i="1"/>
  <c r="Q35" i="1"/>
  <c r="R34" i="1"/>
  <c r="Q34" i="1"/>
  <c r="R33" i="1"/>
  <c r="Q33" i="1"/>
  <c r="R32" i="1"/>
  <c r="Q32" i="1"/>
  <c r="R31" i="1"/>
  <c r="Q31" i="1"/>
  <c r="R30" i="1"/>
  <c r="Q30" i="1"/>
  <c r="J48" i="48"/>
  <c r="P48" i="48"/>
  <c r="J47" i="48"/>
  <c r="J46" i="48"/>
  <c r="P46" i="48"/>
  <c r="J53" i="67"/>
  <c r="P53" i="67"/>
  <c r="R53" i="67"/>
  <c r="J47" i="55"/>
  <c r="P47" i="55"/>
  <c r="J49" i="54"/>
  <c r="P49" i="54"/>
  <c r="P53" i="54"/>
  <c r="J47" i="54"/>
  <c r="P47" i="54"/>
  <c r="J47" i="52"/>
  <c r="P47" i="52"/>
  <c r="P47" i="50"/>
  <c r="P53" i="48"/>
  <c r="P47" i="48"/>
  <c r="D44" i="3"/>
  <c r="E44" i="3"/>
  <c r="D45" i="3"/>
  <c r="E45" i="3"/>
  <c r="D46" i="3"/>
  <c r="E46" i="3"/>
  <c r="D47" i="3"/>
  <c r="E47" i="3"/>
  <c r="D48" i="3"/>
  <c r="E48" i="3"/>
  <c r="D49" i="3"/>
  <c r="E49" i="3"/>
  <c r="R53" i="1"/>
  <c r="Q53" i="1"/>
  <c r="R52" i="1"/>
  <c r="Q52" i="1"/>
  <c r="R51" i="1"/>
  <c r="Q51" i="1"/>
  <c r="R50" i="1"/>
  <c r="Q50" i="1"/>
  <c r="R49" i="1"/>
  <c r="Q49" i="1"/>
  <c r="R48" i="1"/>
  <c r="Q48" i="1"/>
  <c r="R47" i="1"/>
  <c r="Q47" i="1"/>
  <c r="R46" i="1"/>
  <c r="Q46" i="1"/>
  <c r="R45" i="1"/>
  <c r="Q45" i="1"/>
  <c r="R46" i="66"/>
  <c r="R48" i="66"/>
  <c r="R47" i="66"/>
  <c r="R20" i="66"/>
  <c r="R21" i="66"/>
  <c r="R50" i="66"/>
  <c r="R51" i="66"/>
  <c r="R52" i="66"/>
  <c r="R45" i="66"/>
  <c r="R49" i="66"/>
  <c r="R53" i="66"/>
  <c r="R15" i="66"/>
  <c r="R23" i="66"/>
  <c r="R36" i="66"/>
  <c r="R37" i="66"/>
  <c r="R33" i="66"/>
  <c r="R35" i="66"/>
  <c r="R31" i="66"/>
  <c r="R16" i="66"/>
  <c r="R34" i="66"/>
  <c r="R30" i="66"/>
  <c r="R38" i="66"/>
  <c r="R18" i="66"/>
  <c r="R32" i="66"/>
  <c r="R19" i="66"/>
  <c r="R17" i="66"/>
  <c r="R22" i="66"/>
  <c r="M46" i="1"/>
  <c r="N46" i="1" s="1"/>
  <c r="M45" i="1"/>
  <c r="N45" i="1" s="1"/>
  <c r="J52" i="67"/>
  <c r="J50" i="67"/>
  <c r="P50" i="67"/>
  <c r="R50" i="67"/>
  <c r="P52" i="67"/>
  <c r="R52" i="67"/>
  <c r="J51" i="49"/>
  <c r="P51" i="49"/>
  <c r="Q54" i="48"/>
  <c r="Q54" i="50"/>
  <c r="R54" i="48"/>
  <c r="P54" i="54"/>
  <c r="S54" i="54"/>
  <c r="T45" i="54"/>
  <c r="R54" i="50"/>
  <c r="P54" i="52"/>
  <c r="Q54" i="54"/>
  <c r="Q54" i="52"/>
  <c r="P54" i="50"/>
  <c r="P54" i="48"/>
  <c r="J45" i="49"/>
  <c r="E30" i="60"/>
  <c r="F30" i="60" s="1"/>
  <c r="H30" i="60" s="1"/>
  <c r="F51" i="63"/>
  <c r="H51" i="63"/>
  <c r="O52" i="63"/>
  <c r="M48" i="63"/>
  <c r="N48" i="63"/>
  <c r="M46" i="63"/>
  <c r="N46" i="63"/>
  <c r="M50" i="63"/>
  <c r="N51" i="63"/>
  <c r="O47" i="63"/>
  <c r="O48" i="63"/>
  <c r="I48" i="63"/>
  <c r="O53" i="63"/>
  <c r="J48" i="49"/>
  <c r="P48" i="49"/>
  <c r="J47" i="49"/>
  <c r="P47" i="49"/>
  <c r="J52" i="49"/>
  <c r="P52" i="49"/>
  <c r="J53" i="49"/>
  <c r="P53" i="49"/>
  <c r="F48" i="63"/>
  <c r="H48" i="63"/>
  <c r="F52" i="63"/>
  <c r="H52" i="63"/>
  <c r="F49" i="63"/>
  <c r="H49" i="63"/>
  <c r="G49" i="63"/>
  <c r="I49" i="63"/>
  <c r="G48" i="63"/>
  <c r="G52" i="63"/>
  <c r="S54" i="55"/>
  <c r="O45" i="55"/>
  <c r="G45" i="55"/>
  <c r="F45" i="55"/>
  <c r="H45" i="55"/>
  <c r="R54" i="63"/>
  <c r="Q54" i="63"/>
  <c r="G47" i="63"/>
  <c r="I47" i="63"/>
  <c r="J47" i="63"/>
  <c r="G53" i="63"/>
  <c r="I53" i="63"/>
  <c r="J53" i="63"/>
  <c r="I46" i="63"/>
  <c r="J46" i="63"/>
  <c r="G45" i="63"/>
  <c r="I52" i="63"/>
  <c r="I45" i="63"/>
  <c r="I51" i="63"/>
  <c r="J51" i="63"/>
  <c r="P51" i="63"/>
  <c r="O46" i="63"/>
  <c r="O45" i="63"/>
  <c r="F45" i="63"/>
  <c r="H45" i="63"/>
  <c r="G51" i="63"/>
  <c r="G50" i="63"/>
  <c r="I50" i="63"/>
  <c r="F50" i="63"/>
  <c r="H50" i="63"/>
  <c r="F48" i="66"/>
  <c r="H48" i="66"/>
  <c r="G49" i="66"/>
  <c r="F49" i="66"/>
  <c r="H49" i="66"/>
  <c r="E48" i="57"/>
  <c r="F48" i="57" s="1"/>
  <c r="H48" i="57" s="1"/>
  <c r="E52" i="53"/>
  <c r="F51" i="66"/>
  <c r="H51" i="66"/>
  <c r="G50" i="66"/>
  <c r="F50" i="66"/>
  <c r="H50" i="66"/>
  <c r="G46" i="65"/>
  <c r="R45" i="67"/>
  <c r="J48" i="67"/>
  <c r="P48" i="67"/>
  <c r="R48" i="67"/>
  <c r="J49" i="67"/>
  <c r="P49" i="67"/>
  <c r="R49" i="67"/>
  <c r="E45" i="53"/>
  <c r="G45" i="53" s="1"/>
  <c r="F52" i="66"/>
  <c r="H52" i="66"/>
  <c r="E47" i="53"/>
  <c r="E50" i="1"/>
  <c r="E45" i="65"/>
  <c r="G45" i="65"/>
  <c r="E48" i="53"/>
  <c r="F49" i="53" s="1"/>
  <c r="H49" i="53" s="1"/>
  <c r="G46" i="56"/>
  <c r="G47" i="65"/>
  <c r="E47" i="1"/>
  <c r="F47" i="1" s="1"/>
  <c r="H47" i="1" s="1"/>
  <c r="E53" i="65"/>
  <c r="E52" i="57"/>
  <c r="F52" i="57" s="1"/>
  <c r="H52" i="57" s="1"/>
  <c r="F45" i="56"/>
  <c r="H45" i="56"/>
  <c r="F51" i="65"/>
  <c r="H51" i="65"/>
  <c r="E50" i="51"/>
  <c r="F50" i="51" s="1"/>
  <c r="H50" i="51" s="1"/>
  <c r="G51" i="65"/>
  <c r="F45" i="57"/>
  <c r="H45" i="57"/>
  <c r="Q54" i="66"/>
  <c r="G52" i="65"/>
  <c r="R54" i="66"/>
  <c r="M45" i="56"/>
  <c r="N45" i="56"/>
  <c r="M47" i="56"/>
  <c r="N47" i="56"/>
  <c r="M46" i="56"/>
  <c r="N46" i="56"/>
  <c r="E17" i="61"/>
  <c r="E53" i="57"/>
  <c r="F53" i="57" s="1"/>
  <c r="G49" i="58"/>
  <c r="F45" i="65"/>
  <c r="H45" i="65"/>
  <c r="E38" i="65"/>
  <c r="E48" i="56"/>
  <c r="G49" i="56" s="1"/>
  <c r="E50" i="57"/>
  <c r="E46" i="66"/>
  <c r="E47" i="66"/>
  <c r="F50" i="65"/>
  <c r="H50" i="65"/>
  <c r="F52" i="60"/>
  <c r="H52" i="60" s="1"/>
  <c r="E50" i="53"/>
  <c r="G50" i="53" s="1"/>
  <c r="E48" i="65"/>
  <c r="E53" i="66"/>
  <c r="E45" i="66"/>
  <c r="G45" i="66" s="1"/>
  <c r="T45" i="48"/>
  <c r="S54" i="52"/>
  <c r="T45" i="52"/>
  <c r="T45" i="50"/>
  <c r="J50" i="63"/>
  <c r="N49" i="63"/>
  <c r="N50" i="63"/>
  <c r="P53" i="63"/>
  <c r="P47" i="63"/>
  <c r="J48" i="63"/>
  <c r="P48" i="63"/>
  <c r="J49" i="63"/>
  <c r="P49" i="63"/>
  <c r="J52" i="63"/>
  <c r="P52" i="63"/>
  <c r="J45" i="63"/>
  <c r="P45" i="63"/>
  <c r="P46" i="63"/>
  <c r="R54" i="67"/>
  <c r="P54" i="67"/>
  <c r="O53" i="65"/>
  <c r="P53" i="65" s="1"/>
  <c r="M52" i="53"/>
  <c r="N52" i="53"/>
  <c r="G53" i="65"/>
  <c r="I53" i="65"/>
  <c r="F53" i="65"/>
  <c r="H53" i="65"/>
  <c r="S54" i="67"/>
  <c r="M45" i="53"/>
  <c r="N45" i="53"/>
  <c r="M46" i="53"/>
  <c r="N46" i="53"/>
  <c r="M53" i="53"/>
  <c r="N53" i="53"/>
  <c r="M47" i="53"/>
  <c r="N47" i="53"/>
  <c r="M48" i="53"/>
  <c r="M50" i="53"/>
  <c r="F49" i="65"/>
  <c r="H49" i="65"/>
  <c r="I51" i="65"/>
  <c r="J51" i="65"/>
  <c r="P51" i="65"/>
  <c r="G48" i="65"/>
  <c r="I48" i="65"/>
  <c r="I52" i="65"/>
  <c r="J52" i="65"/>
  <c r="G49" i="65"/>
  <c r="I49" i="65"/>
  <c r="F48" i="65"/>
  <c r="H48" i="65"/>
  <c r="I47" i="65"/>
  <c r="J47" i="65"/>
  <c r="I46" i="65"/>
  <c r="J46" i="65"/>
  <c r="I45" i="65"/>
  <c r="J45" i="65"/>
  <c r="I50" i="65"/>
  <c r="J50" i="65"/>
  <c r="F53" i="66"/>
  <c r="H53" i="66"/>
  <c r="G53" i="66"/>
  <c r="I53" i="66"/>
  <c r="O53" i="66"/>
  <c r="F45" i="66"/>
  <c r="H45" i="66"/>
  <c r="I52" i="66"/>
  <c r="J52" i="66"/>
  <c r="O50" i="66"/>
  <c r="I50" i="66"/>
  <c r="J50" i="66"/>
  <c r="O48" i="66"/>
  <c r="I48" i="66"/>
  <c r="J48" i="66"/>
  <c r="I45" i="66"/>
  <c r="I49" i="66"/>
  <c r="J49" i="66"/>
  <c r="P49" i="66"/>
  <c r="O52" i="66"/>
  <c r="I51" i="66"/>
  <c r="J51" i="66"/>
  <c r="P51" i="66"/>
  <c r="O45" i="66"/>
  <c r="F47" i="66"/>
  <c r="H47" i="66"/>
  <c r="O47" i="66"/>
  <c r="G47" i="66"/>
  <c r="I47" i="66"/>
  <c r="G46" i="66"/>
  <c r="I46" i="66"/>
  <c r="O46" i="66"/>
  <c r="F46" i="66"/>
  <c r="H46" i="66"/>
  <c r="T45" i="67"/>
  <c r="U45" i="67"/>
  <c r="J53" i="65"/>
  <c r="Q47" i="65"/>
  <c r="Q32" i="65"/>
  <c r="Q17" i="65"/>
  <c r="N49" i="53"/>
  <c r="N48" i="53"/>
  <c r="O50" i="65"/>
  <c r="P50" i="65" s="1"/>
  <c r="N51" i="53"/>
  <c r="N50" i="53"/>
  <c r="P48" i="66"/>
  <c r="P50" i="66"/>
  <c r="J46" i="66"/>
  <c r="P46" i="66"/>
  <c r="P52" i="66"/>
  <c r="J47" i="66"/>
  <c r="P47" i="66"/>
  <c r="J53" i="66"/>
  <c r="P53" i="66"/>
  <c r="J49" i="65"/>
  <c r="J45" i="66"/>
  <c r="P45" i="66"/>
  <c r="J48" i="65"/>
  <c r="P54" i="66"/>
  <c r="S54" i="65"/>
  <c r="S54" i="66"/>
  <c r="T45" i="66"/>
  <c r="U45" i="66"/>
  <c r="E17" i="60"/>
  <c r="F17" i="60" s="1"/>
  <c r="H17" i="60" s="1"/>
  <c r="E16" i="64"/>
  <c r="G16" i="64" s="1"/>
  <c r="E20" i="53"/>
  <c r="G21" i="53" s="1"/>
  <c r="E23" i="55"/>
  <c r="G23" i="55" s="1"/>
  <c r="E46" i="53"/>
  <c r="F46" i="53" s="1"/>
  <c r="H46" i="53" s="1"/>
  <c r="E38" i="58"/>
  <c r="F38" i="58" s="1"/>
  <c r="H38" i="58" s="1"/>
  <c r="E31" i="56"/>
  <c r="O31" i="56" s="1"/>
  <c r="F46" i="60"/>
  <c r="H46" i="60" s="1"/>
  <c r="E37" i="59"/>
  <c r="O37" i="59" s="1"/>
  <c r="E31" i="51"/>
  <c r="G31" i="51" s="1"/>
  <c r="E31" i="61"/>
  <c r="G31" i="61" s="1"/>
  <c r="E37" i="65"/>
  <c r="F37" i="65" s="1"/>
  <c r="H37" i="65" s="1"/>
  <c r="E31" i="66"/>
  <c r="F31" i="66" s="1"/>
  <c r="H31" i="66" s="1"/>
  <c r="E37" i="67"/>
  <c r="F37" i="67" s="1"/>
  <c r="H37" i="67" s="1"/>
  <c r="E23" i="67"/>
  <c r="F23" i="67" s="1"/>
  <c r="H23" i="67" s="1"/>
  <c r="E15" i="58"/>
  <c r="E22" i="67"/>
  <c r="F22" i="67" s="1"/>
  <c r="H22" i="67" s="1"/>
  <c r="E33" i="63"/>
  <c r="O33" i="63" s="1"/>
  <c r="F45" i="60"/>
  <c r="H45" i="60" s="1"/>
  <c r="G45" i="60"/>
  <c r="G51" i="60"/>
  <c r="G50" i="60"/>
  <c r="G53" i="60"/>
  <c r="F53" i="60"/>
  <c r="H53" i="60" s="1"/>
  <c r="G51" i="62"/>
  <c r="E38" i="60"/>
  <c r="G38" i="60" s="1"/>
  <c r="G45" i="58"/>
  <c r="F45" i="58"/>
  <c r="H45" i="58" s="1"/>
  <c r="F47" i="64"/>
  <c r="H47" i="64" s="1"/>
  <c r="G47" i="64"/>
  <c r="G46" i="58"/>
  <c r="G48" i="59"/>
  <c r="F48" i="59"/>
  <c r="H48" i="59" s="1"/>
  <c r="F49" i="59"/>
  <c r="H49" i="59" s="1"/>
  <c r="G49" i="59"/>
  <c r="F52" i="58"/>
  <c r="H52" i="58" s="1"/>
  <c r="G52" i="58"/>
  <c r="G47" i="61"/>
  <c r="G38" i="58"/>
  <c r="E17" i="54" l="1"/>
  <c r="F17" i="54" s="1"/>
  <c r="H17" i="54" s="1"/>
  <c r="E16" i="59"/>
  <c r="E22" i="53"/>
  <c r="F52" i="51"/>
  <c r="H52" i="51" s="1"/>
  <c r="G52" i="51"/>
  <c r="E38" i="57"/>
  <c r="E31" i="59"/>
  <c r="E35" i="50"/>
  <c r="F36" i="50" s="1"/>
  <c r="H36" i="50" s="1"/>
  <c r="E32" i="51"/>
  <c r="E35" i="54"/>
  <c r="G35" i="54" s="1"/>
  <c r="E33" i="55"/>
  <c r="O33" i="55" s="1"/>
  <c r="E38" i="56"/>
  <c r="G38" i="56" s="1"/>
  <c r="E32" i="57"/>
  <c r="G32" i="57" s="1"/>
  <c r="E35" i="57"/>
  <c r="G35" i="57" s="1"/>
  <c r="E31" i="60"/>
  <c r="F31" i="60" s="1"/>
  <c r="H31" i="60" s="1"/>
  <c r="F50" i="62"/>
  <c r="H50" i="62" s="1"/>
  <c r="F51" i="62"/>
  <c r="H51" i="62" s="1"/>
  <c r="E48" i="51"/>
  <c r="E33" i="60"/>
  <c r="G33" i="60" s="1"/>
  <c r="T45" i="55"/>
  <c r="O50" i="63"/>
  <c r="P50" i="63" s="1"/>
  <c r="P54" i="63" s="1"/>
  <c r="E22" i="61"/>
  <c r="O22" i="61" s="1"/>
  <c r="E17" i="63"/>
  <c r="G17" i="63" s="1"/>
  <c r="E16" i="65"/>
  <c r="F16" i="65" s="1"/>
  <c r="H16" i="65" s="1"/>
  <c r="E15" i="66"/>
  <c r="G15" i="66" s="1"/>
  <c r="E16" i="67"/>
  <c r="F16" i="67" s="1"/>
  <c r="H16" i="67" s="1"/>
  <c r="E20" i="58"/>
  <c r="F20" i="58" s="1"/>
  <c r="H20" i="58" s="1"/>
  <c r="E22" i="59"/>
  <c r="F22" i="59" s="1"/>
  <c r="H22" i="59" s="1"/>
  <c r="E20" i="65"/>
  <c r="F20" i="65" s="1"/>
  <c r="H20" i="65" s="1"/>
  <c r="E15" i="1"/>
  <c r="E22" i="62"/>
  <c r="G22" i="62" s="1"/>
  <c r="E22" i="64"/>
  <c r="G22" i="64" s="1"/>
  <c r="E17" i="65"/>
  <c r="F17" i="65" s="1"/>
  <c r="H17" i="65" s="1"/>
  <c r="E18" i="57"/>
  <c r="G19" i="57" s="1"/>
  <c r="E18" i="62"/>
  <c r="E17" i="64"/>
  <c r="E23" i="66"/>
  <c r="F23" i="66" s="1"/>
  <c r="H23" i="66" s="1"/>
  <c r="F46" i="64"/>
  <c r="H46" i="64" s="1"/>
  <c r="G46" i="64"/>
  <c r="G48" i="51"/>
  <c r="G49" i="51"/>
  <c r="F49" i="51"/>
  <c r="H49" i="51" s="1"/>
  <c r="F48" i="51"/>
  <c r="H48" i="51" s="1"/>
  <c r="G47" i="1"/>
  <c r="K50" i="51"/>
  <c r="K52" i="51"/>
  <c r="L52" i="51"/>
  <c r="E31" i="52"/>
  <c r="O31" i="52" s="1"/>
  <c r="E38" i="53"/>
  <c r="F38" i="53" s="1"/>
  <c r="H38" i="53" s="1"/>
  <c r="E35" i="55"/>
  <c r="G36" i="55" s="1"/>
  <c r="E37" i="56"/>
  <c r="O37" i="56" s="1"/>
  <c r="E31" i="57"/>
  <c r="F31" i="57" s="1"/>
  <c r="H31" i="57" s="1"/>
  <c r="E31" i="58"/>
  <c r="F46" i="59"/>
  <c r="H46" i="59" s="1"/>
  <c r="E45" i="51"/>
  <c r="I52" i="51" s="1"/>
  <c r="J52" i="51" s="1"/>
  <c r="F51" i="51"/>
  <c r="H51" i="51" s="1"/>
  <c r="E32" i="58"/>
  <c r="F32" i="58" s="1"/>
  <c r="H32" i="58" s="1"/>
  <c r="E31" i="65"/>
  <c r="E32" i="66"/>
  <c r="G32" i="66" s="1"/>
  <c r="E38" i="67"/>
  <c r="G38" i="53"/>
  <c r="G38" i="57"/>
  <c r="F38" i="57"/>
  <c r="H38" i="57" s="1"/>
  <c r="G31" i="59"/>
  <c r="O31" i="59"/>
  <c r="G36" i="57"/>
  <c r="K33" i="56"/>
  <c r="K48" i="51"/>
  <c r="L53" i="51"/>
  <c r="K53" i="51"/>
  <c r="L45" i="51"/>
  <c r="F50" i="59"/>
  <c r="H50" i="59" s="1"/>
  <c r="F53" i="62"/>
  <c r="H53" i="62" s="1"/>
  <c r="L46" i="51"/>
  <c r="L47" i="51"/>
  <c r="L48" i="51"/>
  <c r="O38" i="60"/>
  <c r="F47" i="61"/>
  <c r="H47" i="61" s="1"/>
  <c r="G51" i="51"/>
  <c r="L49" i="51"/>
  <c r="G50" i="51"/>
  <c r="E31" i="63"/>
  <c r="O31" i="63" s="1"/>
  <c r="K45" i="51"/>
  <c r="L50" i="51"/>
  <c r="K46" i="51"/>
  <c r="L51" i="51"/>
  <c r="F37" i="62"/>
  <c r="H37" i="62" s="1"/>
  <c r="K47" i="51"/>
  <c r="E30" i="51"/>
  <c r="E15" i="52"/>
  <c r="G15" i="52" s="1"/>
  <c r="E22" i="60"/>
  <c r="G22" i="60" s="1"/>
  <c r="E37" i="60"/>
  <c r="F37" i="60" s="1"/>
  <c r="H37" i="60" s="1"/>
  <c r="E30" i="61"/>
  <c r="G30" i="61" s="1"/>
  <c r="E16" i="63"/>
  <c r="E30" i="63"/>
  <c r="F30" i="63" s="1"/>
  <c r="H30" i="63" s="1"/>
  <c r="E20" i="66"/>
  <c r="F21" i="66" s="1"/>
  <c r="H21" i="66" s="1"/>
  <c r="E20" i="64"/>
  <c r="G20" i="64" s="1"/>
  <c r="E23" i="1"/>
  <c r="F23" i="1" s="1"/>
  <c r="H23" i="1" s="1"/>
  <c r="E22" i="48"/>
  <c r="K17" i="67"/>
  <c r="M17" i="67" s="1"/>
  <c r="N17" i="67" s="1"/>
  <c r="E22" i="55"/>
  <c r="F22" i="55" s="1"/>
  <c r="H22" i="55" s="1"/>
  <c r="E23" i="56"/>
  <c r="E16" i="57"/>
  <c r="G16" i="57" s="1"/>
  <c r="E20" i="57"/>
  <c r="F20" i="57" s="1"/>
  <c r="H20" i="57" s="1"/>
  <c r="E18" i="59"/>
  <c r="F19" i="59" s="1"/>
  <c r="H19" i="59" s="1"/>
  <c r="E16" i="61"/>
  <c r="G16" i="61" s="1"/>
  <c r="E16" i="62"/>
  <c r="G16" i="62" s="1"/>
  <c r="E15" i="64"/>
  <c r="E17" i="66"/>
  <c r="G17" i="66" s="1"/>
  <c r="E15" i="67"/>
  <c r="G15" i="67" s="1"/>
  <c r="E15" i="49"/>
  <c r="G15" i="49" s="1"/>
  <c r="E22" i="63"/>
  <c r="E20" i="67"/>
  <c r="E15" i="59"/>
  <c r="E15" i="60"/>
  <c r="G30" i="53"/>
  <c r="F30" i="53"/>
  <c r="H30" i="53" s="1"/>
  <c r="O30" i="53"/>
  <c r="G32" i="58"/>
  <c r="E31" i="67"/>
  <c r="G31" i="66"/>
  <c r="G31" i="57"/>
  <c r="F35" i="57"/>
  <c r="H35" i="57" s="1"/>
  <c r="E33" i="1"/>
  <c r="G34" i="1" s="1"/>
  <c r="E33" i="51"/>
  <c r="G33" i="51" s="1"/>
  <c r="E37" i="63"/>
  <c r="G37" i="63" s="1"/>
  <c r="E33" i="65"/>
  <c r="G33" i="65" s="1"/>
  <c r="F38" i="60"/>
  <c r="H38" i="60" s="1"/>
  <c r="E22" i="1"/>
  <c r="F22" i="1" s="1"/>
  <c r="H22" i="1" s="1"/>
  <c r="E30" i="48"/>
  <c r="E37" i="51"/>
  <c r="F37" i="51" s="1"/>
  <c r="H37" i="51" s="1"/>
  <c r="E38" i="54"/>
  <c r="F31" i="59"/>
  <c r="H31" i="59" s="1"/>
  <c r="F52" i="62"/>
  <c r="H52" i="62" s="1"/>
  <c r="E17" i="56"/>
  <c r="E35" i="58"/>
  <c r="F35" i="58" s="1"/>
  <c r="H35" i="58" s="1"/>
  <c r="F32" i="57"/>
  <c r="H32" i="57" s="1"/>
  <c r="F16" i="64"/>
  <c r="H16" i="64" s="1"/>
  <c r="G47" i="58"/>
  <c r="O47" i="58"/>
  <c r="F47" i="58"/>
  <c r="H47" i="58" s="1"/>
  <c r="O37" i="63"/>
  <c r="F45" i="59"/>
  <c r="H45" i="59" s="1"/>
  <c r="E22" i="49"/>
  <c r="E37" i="49"/>
  <c r="G32" i="64"/>
  <c r="G48" i="56"/>
  <c r="I48" i="56" s="1"/>
  <c r="O31" i="61"/>
  <c r="O32" i="48"/>
  <c r="F31" i="61"/>
  <c r="H31" i="61" s="1"/>
  <c r="O38" i="58"/>
  <c r="G34" i="55"/>
  <c r="F38" i="62"/>
  <c r="H38" i="62" s="1"/>
  <c r="E33" i="61"/>
  <c r="F34" i="61" s="1"/>
  <c r="H34" i="61" s="1"/>
  <c r="E30" i="62"/>
  <c r="E33" i="62"/>
  <c r="E30" i="66"/>
  <c r="G30" i="66" s="1"/>
  <c r="E47" i="57"/>
  <c r="E37" i="52"/>
  <c r="F37" i="52" s="1"/>
  <c r="H37" i="52" s="1"/>
  <c r="E37" i="57"/>
  <c r="F37" i="57" s="1"/>
  <c r="H37" i="57" s="1"/>
  <c r="E15" i="63"/>
  <c r="O22" i="56"/>
  <c r="G37" i="61"/>
  <c r="E38" i="61"/>
  <c r="G34" i="63"/>
  <c r="G48" i="53"/>
  <c r="F49" i="56"/>
  <c r="H49" i="56" s="1"/>
  <c r="F32" i="64"/>
  <c r="H32" i="64" s="1"/>
  <c r="F34" i="63"/>
  <c r="H34" i="63" s="1"/>
  <c r="G49" i="53"/>
  <c r="K30" i="55"/>
  <c r="F15" i="57"/>
  <c r="H15" i="57" s="1"/>
  <c r="E16" i="48"/>
  <c r="G16" i="48" s="1"/>
  <c r="E18" i="63"/>
  <c r="F18" i="63" s="1"/>
  <c r="H18" i="63" s="1"/>
  <c r="E23" i="64"/>
  <c r="F23" i="64" s="1"/>
  <c r="H23" i="64" s="1"/>
  <c r="K35" i="66"/>
  <c r="E22" i="51"/>
  <c r="G22" i="51" s="1"/>
  <c r="E17" i="52"/>
  <c r="F17" i="52" s="1"/>
  <c r="H17" i="52" s="1"/>
  <c r="E17" i="58"/>
  <c r="L37" i="62"/>
  <c r="G17" i="54"/>
  <c r="E20" i="62"/>
  <c r="G52" i="57"/>
  <c r="E20" i="60"/>
  <c r="F20" i="60" s="1"/>
  <c r="H20" i="60" s="1"/>
  <c r="E18" i="60"/>
  <c r="G19" i="60" s="1"/>
  <c r="E23" i="61"/>
  <c r="F23" i="61" s="1"/>
  <c r="H23" i="61" s="1"/>
  <c r="K17" i="1"/>
  <c r="M17" i="1" s="1"/>
  <c r="N17" i="1" s="1"/>
  <c r="E18" i="51"/>
  <c r="G19" i="51" s="1"/>
  <c r="E20" i="56"/>
  <c r="E15" i="56"/>
  <c r="E16" i="58"/>
  <c r="L34" i="48"/>
  <c r="L53" i="64"/>
  <c r="L37" i="61"/>
  <c r="K37" i="65"/>
  <c r="L33" i="63"/>
  <c r="L34" i="60"/>
  <c r="K22" i="55"/>
  <c r="M22" i="55" s="1"/>
  <c r="N22" i="55" s="1"/>
  <c r="L35" i="59"/>
  <c r="K32" i="59"/>
  <c r="E16" i="51"/>
  <c r="G16" i="51" s="1"/>
  <c r="E18" i="67"/>
  <c r="F19" i="67" s="1"/>
  <c r="H19" i="67" s="1"/>
  <c r="K35" i="62"/>
  <c r="L30" i="54"/>
  <c r="K20" i="59"/>
  <c r="M20" i="59" s="1"/>
  <c r="E20" i="1"/>
  <c r="G21" i="1" s="1"/>
  <c r="E17" i="49"/>
  <c r="E17" i="55"/>
  <c r="G17" i="55" s="1"/>
  <c r="K48" i="64"/>
  <c r="L31" i="60"/>
  <c r="K35" i="48"/>
  <c r="K38" i="57"/>
  <c r="K31" i="60"/>
  <c r="K15" i="64"/>
  <c r="M15" i="64" s="1"/>
  <c r="N15" i="64" s="1"/>
  <c r="L38" i="60"/>
  <c r="L30" i="64"/>
  <c r="E22" i="52"/>
  <c r="E17" i="53"/>
  <c r="G17" i="53" s="1"/>
  <c r="E20" i="55"/>
  <c r="F21" i="55" s="1"/>
  <c r="H21" i="55" s="1"/>
  <c r="E16" i="56"/>
  <c r="O16" i="56" s="1"/>
  <c r="K23" i="60"/>
  <c r="M23" i="60" s="1"/>
  <c r="N23" i="60" s="1"/>
  <c r="K17" i="48"/>
  <c r="M17" i="48" s="1"/>
  <c r="N17" i="48" s="1"/>
  <c r="K20" i="62"/>
  <c r="M20" i="62" s="1"/>
  <c r="N20" i="62" s="1"/>
  <c r="K15" i="54"/>
  <c r="M15" i="54" s="1"/>
  <c r="N15" i="54" s="1"/>
  <c r="L31" i="48"/>
  <c r="K35" i="55"/>
  <c r="L32" i="59"/>
  <c r="K32" i="62"/>
  <c r="E23" i="49"/>
  <c r="G23" i="49" s="1"/>
  <c r="E20" i="50"/>
  <c r="F20" i="50" s="1"/>
  <c r="H20" i="50" s="1"/>
  <c r="K17" i="50"/>
  <c r="M17" i="50" s="1"/>
  <c r="N17" i="50" s="1"/>
  <c r="K17" i="65"/>
  <c r="M17" i="65" s="1"/>
  <c r="N17" i="65" s="1"/>
  <c r="K33" i="55"/>
  <c r="E18" i="56"/>
  <c r="L34" i="64"/>
  <c r="K16" i="67"/>
  <c r="M16" i="67" s="1"/>
  <c r="N16" i="67" s="1"/>
  <c r="L38" i="56"/>
  <c r="L38" i="66"/>
  <c r="K20" i="48"/>
  <c r="M20" i="48" s="1"/>
  <c r="N20" i="48" s="1"/>
  <c r="L31" i="50"/>
  <c r="E15" i="51"/>
  <c r="F15" i="51" s="1"/>
  <c r="H15" i="51" s="1"/>
  <c r="K37" i="56"/>
  <c r="E16" i="55"/>
  <c r="F16" i="55" s="1"/>
  <c r="H16" i="55" s="1"/>
  <c r="E23" i="63"/>
  <c r="E18" i="64"/>
  <c r="G18" i="64" s="1"/>
  <c r="E16" i="66"/>
  <c r="F16" i="66" s="1"/>
  <c r="H16" i="66" s="1"/>
  <c r="E17" i="67"/>
  <c r="E18" i="52"/>
  <c r="E18" i="58"/>
  <c r="F19" i="58" s="1"/>
  <c r="H19" i="58" s="1"/>
  <c r="E20" i="59"/>
  <c r="F21" i="59" s="1"/>
  <c r="H21" i="59" s="1"/>
  <c r="K15" i="50"/>
  <c r="M15" i="50" s="1"/>
  <c r="N15" i="50" s="1"/>
  <c r="L37" i="50"/>
  <c r="K33" i="51"/>
  <c r="L35" i="55"/>
  <c r="K50" i="64"/>
  <c r="L33" i="54"/>
  <c r="L31" i="63"/>
  <c r="L30" i="48"/>
  <c r="K35" i="63"/>
  <c r="K22" i="59"/>
  <c r="M22" i="59" s="1"/>
  <c r="N22" i="59" s="1"/>
  <c r="L33" i="59"/>
  <c r="G17" i="60"/>
  <c r="K33" i="54"/>
  <c r="L30" i="63"/>
  <c r="L37" i="48"/>
  <c r="G23" i="56"/>
  <c r="E23" i="59"/>
  <c r="G52" i="64"/>
  <c r="F52" i="64"/>
  <c r="H52" i="64" s="1"/>
  <c r="F53" i="56"/>
  <c r="H53" i="56" s="1"/>
  <c r="G53" i="56"/>
  <c r="I52" i="58"/>
  <c r="J52" i="58" s="1"/>
  <c r="F51" i="58"/>
  <c r="H51" i="58" s="1"/>
  <c r="I51" i="58"/>
  <c r="G51" i="58"/>
  <c r="O46" i="58"/>
  <c r="G50" i="58"/>
  <c r="O53" i="58"/>
  <c r="S54" i="58"/>
  <c r="F50" i="58"/>
  <c r="H50" i="58" s="1"/>
  <c r="O50" i="58"/>
  <c r="O53" i="53"/>
  <c r="F53" i="53"/>
  <c r="H53" i="53" s="1"/>
  <c r="G53" i="53"/>
  <c r="F52" i="1"/>
  <c r="H52" i="1" s="1"/>
  <c r="G52" i="1"/>
  <c r="F45" i="61"/>
  <c r="H45" i="61" s="1"/>
  <c r="G45" i="61"/>
  <c r="I45" i="61" s="1"/>
  <c r="G50" i="64"/>
  <c r="F50" i="64"/>
  <c r="H50" i="64" s="1"/>
  <c r="G32" i="48"/>
  <c r="G22" i="56"/>
  <c r="G51" i="53"/>
  <c r="G38" i="67"/>
  <c r="E18" i="48"/>
  <c r="G19" i="48" s="1"/>
  <c r="E37" i="54"/>
  <c r="E32" i="60"/>
  <c r="F32" i="60" s="1"/>
  <c r="H32" i="60" s="1"/>
  <c r="Q54" i="60"/>
  <c r="F34" i="55"/>
  <c r="H34" i="55" s="1"/>
  <c r="F38" i="67"/>
  <c r="H38" i="67" s="1"/>
  <c r="E37" i="53"/>
  <c r="G37" i="53" s="1"/>
  <c r="R39" i="64"/>
  <c r="E35" i="64"/>
  <c r="F35" i="64" s="1"/>
  <c r="H35" i="64" s="1"/>
  <c r="E38" i="64"/>
  <c r="F38" i="64" s="1"/>
  <c r="H38" i="64" s="1"/>
  <c r="E35" i="65"/>
  <c r="F36" i="65" s="1"/>
  <c r="H36" i="65" s="1"/>
  <c r="E33" i="66"/>
  <c r="F34" i="66" s="1"/>
  <c r="H34" i="66" s="1"/>
  <c r="E35" i="67"/>
  <c r="F36" i="67" s="1"/>
  <c r="H36" i="67" s="1"/>
  <c r="M48" i="1"/>
  <c r="N48" i="1" s="1"/>
  <c r="E46" i="51"/>
  <c r="F46" i="51" s="1"/>
  <c r="H46" i="51" s="1"/>
  <c r="F15" i="58"/>
  <c r="H15" i="58" s="1"/>
  <c r="E31" i="55"/>
  <c r="E33" i="57"/>
  <c r="F34" i="57" s="1"/>
  <c r="H34" i="57" s="1"/>
  <c r="R39" i="59"/>
  <c r="E35" i="59"/>
  <c r="G33" i="55"/>
  <c r="F48" i="56"/>
  <c r="H48" i="56" s="1"/>
  <c r="E31" i="53"/>
  <c r="Q54" i="53"/>
  <c r="R54" i="58"/>
  <c r="E30" i="59"/>
  <c r="E33" i="48"/>
  <c r="F34" i="48" s="1"/>
  <c r="H34" i="48" s="1"/>
  <c r="R54" i="1"/>
  <c r="E32" i="49"/>
  <c r="O32" i="49" s="1"/>
  <c r="E32" i="50"/>
  <c r="F32" i="50" s="1"/>
  <c r="H32" i="50" s="1"/>
  <c r="E31" i="62"/>
  <c r="G31" i="62" s="1"/>
  <c r="E38" i="63"/>
  <c r="F38" i="63" s="1"/>
  <c r="H38" i="63" s="1"/>
  <c r="E30" i="64"/>
  <c r="G30" i="64" s="1"/>
  <c r="E22" i="66"/>
  <c r="G22" i="66" s="1"/>
  <c r="L31" i="65"/>
  <c r="F50" i="56"/>
  <c r="H50" i="56" s="1"/>
  <c r="E30" i="1"/>
  <c r="E37" i="1"/>
  <c r="K33" i="48"/>
  <c r="E33" i="67"/>
  <c r="E35" i="51"/>
  <c r="E16" i="54"/>
  <c r="G16" i="54" s="1"/>
  <c r="O46" i="53"/>
  <c r="E18" i="1"/>
  <c r="G18" i="1" s="1"/>
  <c r="E38" i="48"/>
  <c r="E30" i="49"/>
  <c r="E20" i="52"/>
  <c r="F21" i="52" s="1"/>
  <c r="H21" i="52" s="1"/>
  <c r="E38" i="59"/>
  <c r="E32" i="62"/>
  <c r="F32" i="62" s="1"/>
  <c r="H32" i="62" s="1"/>
  <c r="F16" i="61"/>
  <c r="H16" i="61" s="1"/>
  <c r="G46" i="53"/>
  <c r="E16" i="52"/>
  <c r="G16" i="52" s="1"/>
  <c r="E30" i="54"/>
  <c r="G34" i="61"/>
  <c r="F33" i="61"/>
  <c r="H33" i="61" s="1"/>
  <c r="O33" i="61"/>
  <c r="G33" i="61"/>
  <c r="F30" i="62"/>
  <c r="H30" i="62" s="1"/>
  <c r="G30" i="62"/>
  <c r="G33" i="62"/>
  <c r="F34" i="62"/>
  <c r="H34" i="62" s="1"/>
  <c r="F33" i="62"/>
  <c r="H33" i="62" s="1"/>
  <c r="G34" i="62"/>
  <c r="F31" i="67"/>
  <c r="H31" i="67" s="1"/>
  <c r="G31" i="67"/>
  <c r="F53" i="1"/>
  <c r="H53" i="1" s="1"/>
  <c r="G53" i="1"/>
  <c r="G36" i="59"/>
  <c r="G52" i="59"/>
  <c r="F52" i="59"/>
  <c r="H52" i="59" s="1"/>
  <c r="I45" i="59"/>
  <c r="J45" i="59" s="1"/>
  <c r="I50" i="59"/>
  <c r="O52" i="59"/>
  <c r="F46" i="61"/>
  <c r="H46" i="61" s="1"/>
  <c r="G46" i="61"/>
  <c r="I46" i="61" s="1"/>
  <c r="G53" i="59"/>
  <c r="I53" i="59" s="1"/>
  <c r="F53" i="59"/>
  <c r="H53" i="59" s="1"/>
  <c r="F38" i="54"/>
  <c r="H38" i="54" s="1"/>
  <c r="O38" i="54"/>
  <c r="G38" i="54"/>
  <c r="O53" i="64"/>
  <c r="F53" i="64"/>
  <c r="H53" i="64" s="1"/>
  <c r="G53" i="64"/>
  <c r="F22" i="48"/>
  <c r="H22" i="48" s="1"/>
  <c r="G22" i="48"/>
  <c r="G48" i="61"/>
  <c r="I48" i="61" s="1"/>
  <c r="I52" i="61"/>
  <c r="J52" i="61" s="1"/>
  <c r="I47" i="61"/>
  <c r="J47" i="61" s="1"/>
  <c r="P47" i="61" s="1"/>
  <c r="G49" i="61"/>
  <c r="I49" i="61" s="1"/>
  <c r="O48" i="61"/>
  <c r="F49" i="61"/>
  <c r="H49" i="61" s="1"/>
  <c r="S54" i="61"/>
  <c r="F48" i="61"/>
  <c r="H48" i="61" s="1"/>
  <c r="O46" i="60"/>
  <c r="O45" i="60"/>
  <c r="O53" i="60"/>
  <c r="I46" i="60"/>
  <c r="J46" i="60" s="1"/>
  <c r="P46" i="60" s="1"/>
  <c r="R46" i="60" s="1"/>
  <c r="O50" i="60"/>
  <c r="I52" i="60"/>
  <c r="J52" i="60" s="1"/>
  <c r="F47" i="60"/>
  <c r="H47" i="60" s="1"/>
  <c r="O52" i="60"/>
  <c r="O47" i="60"/>
  <c r="G47" i="60"/>
  <c r="I47" i="60" s="1"/>
  <c r="I51" i="60"/>
  <c r="F50" i="61"/>
  <c r="H50" i="61" s="1"/>
  <c r="G50" i="61"/>
  <c r="I50" i="61" s="1"/>
  <c r="O50" i="61"/>
  <c r="F51" i="61"/>
  <c r="H51" i="61" s="1"/>
  <c r="G51" i="61"/>
  <c r="I51" i="61" s="1"/>
  <c r="F49" i="60"/>
  <c r="H49" i="60" s="1"/>
  <c r="O48" i="60"/>
  <c r="G48" i="60"/>
  <c r="I48" i="60" s="1"/>
  <c r="F48" i="60"/>
  <c r="H48" i="60" s="1"/>
  <c r="G49" i="60"/>
  <c r="I49" i="60" s="1"/>
  <c r="F48" i="62"/>
  <c r="H48" i="62" s="1"/>
  <c r="F49" i="62"/>
  <c r="H49" i="62" s="1"/>
  <c r="I50" i="62"/>
  <c r="G49" i="62"/>
  <c r="I49" i="62" s="1"/>
  <c r="G48" i="62"/>
  <c r="G52" i="56"/>
  <c r="I52" i="56" s="1"/>
  <c r="F52" i="56"/>
  <c r="H52" i="56" s="1"/>
  <c r="I45" i="56"/>
  <c r="J45" i="56" s="1"/>
  <c r="I45" i="64"/>
  <c r="I53" i="64"/>
  <c r="G45" i="64"/>
  <c r="I48" i="64"/>
  <c r="I49" i="64"/>
  <c r="J49" i="64" s="1"/>
  <c r="P49" i="64" s="1"/>
  <c r="F45" i="64"/>
  <c r="H45" i="64" s="1"/>
  <c r="O52" i="64"/>
  <c r="S54" i="64"/>
  <c r="O45" i="64"/>
  <c r="O48" i="64"/>
  <c r="I47" i="64"/>
  <c r="J47" i="64" s="1"/>
  <c r="I51" i="64"/>
  <c r="I46" i="64"/>
  <c r="J46" i="64" s="1"/>
  <c r="O47" i="64"/>
  <c r="I52" i="64"/>
  <c r="I50" i="64"/>
  <c r="G37" i="49"/>
  <c r="F37" i="49"/>
  <c r="H37" i="49" s="1"/>
  <c r="O37" i="49"/>
  <c r="I48" i="59"/>
  <c r="J48" i="59" s="1"/>
  <c r="F21" i="53"/>
  <c r="H21" i="53" s="1"/>
  <c r="F30" i="48"/>
  <c r="H30" i="48" s="1"/>
  <c r="G34" i="60"/>
  <c r="F48" i="53"/>
  <c r="H48" i="53" s="1"/>
  <c r="G30" i="65"/>
  <c r="E16" i="1"/>
  <c r="O16" i="1" s="1"/>
  <c r="E37" i="48"/>
  <c r="E38" i="50"/>
  <c r="E38" i="55"/>
  <c r="I50" i="60"/>
  <c r="G35" i="50"/>
  <c r="O31" i="66"/>
  <c r="G37" i="65"/>
  <c r="I50" i="58"/>
  <c r="O45" i="56"/>
  <c r="R24" i="50"/>
  <c r="E23" i="54"/>
  <c r="F23" i="54" s="1"/>
  <c r="H23" i="54" s="1"/>
  <c r="E30" i="56"/>
  <c r="E33" i="59"/>
  <c r="G33" i="59" s="1"/>
  <c r="G31" i="56"/>
  <c r="I49" i="58"/>
  <c r="F33" i="63"/>
  <c r="H33" i="63" s="1"/>
  <c r="F30" i="61"/>
  <c r="H30" i="61" s="1"/>
  <c r="F31" i="56"/>
  <c r="H31" i="56" s="1"/>
  <c r="F20" i="53"/>
  <c r="H20" i="53" s="1"/>
  <c r="O31" i="51"/>
  <c r="F36" i="57"/>
  <c r="H36" i="57" s="1"/>
  <c r="F36" i="54"/>
  <c r="H36" i="54" s="1"/>
  <c r="O30" i="61"/>
  <c r="G34" i="65"/>
  <c r="F51" i="64"/>
  <c r="H51" i="64" s="1"/>
  <c r="I48" i="58"/>
  <c r="O45" i="58"/>
  <c r="F37" i="61"/>
  <c r="H37" i="61" s="1"/>
  <c r="F30" i="65"/>
  <c r="H30" i="65" s="1"/>
  <c r="E17" i="1"/>
  <c r="G17" i="1" s="1"/>
  <c r="E31" i="48"/>
  <c r="E16" i="49"/>
  <c r="F16" i="49" s="1"/>
  <c r="H16" i="49" s="1"/>
  <c r="E35" i="49"/>
  <c r="E35" i="52"/>
  <c r="O35" i="52" s="1"/>
  <c r="E38" i="52"/>
  <c r="E32" i="55"/>
  <c r="G30" i="48"/>
  <c r="G51" i="64"/>
  <c r="G33" i="63"/>
  <c r="F35" i="54"/>
  <c r="H35" i="54" s="1"/>
  <c r="O37" i="67"/>
  <c r="F34" i="65"/>
  <c r="H34" i="65" s="1"/>
  <c r="I49" i="59"/>
  <c r="J49" i="59" s="1"/>
  <c r="P49" i="59" s="1"/>
  <c r="O46" i="64"/>
  <c r="I47" i="58"/>
  <c r="J47" i="58" s="1"/>
  <c r="O47" i="56"/>
  <c r="F32" i="61"/>
  <c r="H32" i="61" s="1"/>
  <c r="F19" i="63"/>
  <c r="H19" i="63" s="1"/>
  <c r="E15" i="48"/>
  <c r="G15" i="48" s="1"/>
  <c r="R39" i="48"/>
  <c r="E32" i="52"/>
  <c r="E32" i="53"/>
  <c r="G32" i="53" s="1"/>
  <c r="R54" i="53"/>
  <c r="O35" i="54"/>
  <c r="G37" i="67"/>
  <c r="F31" i="51"/>
  <c r="H31" i="51" s="1"/>
  <c r="Q54" i="1"/>
  <c r="R39" i="54"/>
  <c r="Q54" i="56"/>
  <c r="R54" i="57"/>
  <c r="Q24" i="58"/>
  <c r="Q54" i="58"/>
  <c r="Q54" i="59"/>
  <c r="Q39" i="60"/>
  <c r="Q24" i="61"/>
  <c r="Q24" i="62"/>
  <c r="Q39" i="62"/>
  <c r="Q24" i="63"/>
  <c r="R24" i="63"/>
  <c r="Q39" i="63"/>
  <c r="R24" i="64"/>
  <c r="Q24" i="64"/>
  <c r="Q54" i="64"/>
  <c r="R39" i="65"/>
  <c r="Q24" i="66"/>
  <c r="Q24" i="67"/>
  <c r="Q39" i="67"/>
  <c r="I45" i="60"/>
  <c r="J45" i="60" s="1"/>
  <c r="G37" i="60"/>
  <c r="E30" i="50"/>
  <c r="Q39" i="52"/>
  <c r="E16" i="53"/>
  <c r="F16" i="53" s="1"/>
  <c r="H16" i="53" s="1"/>
  <c r="E30" i="55"/>
  <c r="Q39" i="55"/>
  <c r="E23" i="57"/>
  <c r="F23" i="57" s="1"/>
  <c r="H23" i="57" s="1"/>
  <c r="Q39" i="57"/>
  <c r="Q54" i="57"/>
  <c r="Q39" i="58"/>
  <c r="Q24" i="59"/>
  <c r="R24" i="59"/>
  <c r="Q39" i="59"/>
  <c r="R54" i="59"/>
  <c r="E15" i="61"/>
  <c r="G15" i="61" s="1"/>
  <c r="E20" i="61"/>
  <c r="F21" i="61" s="1"/>
  <c r="H21" i="61" s="1"/>
  <c r="R24" i="61"/>
  <c r="Q39" i="61"/>
  <c r="Q54" i="61"/>
  <c r="E15" i="62"/>
  <c r="R39" i="63"/>
  <c r="R54" i="64"/>
  <c r="E22" i="65"/>
  <c r="R54" i="65"/>
  <c r="I51" i="62"/>
  <c r="J51" i="62" s="1"/>
  <c r="P51" i="62" s="1"/>
  <c r="O32" i="66"/>
  <c r="R24" i="1"/>
  <c r="R24" i="48"/>
  <c r="Q39" i="48"/>
  <c r="Q39" i="53"/>
  <c r="E35" i="56"/>
  <c r="E35" i="61"/>
  <c r="I33" i="61" s="1"/>
  <c r="G36" i="54"/>
  <c r="I53" i="56"/>
  <c r="I46" i="58"/>
  <c r="I46" i="59"/>
  <c r="F33" i="65"/>
  <c r="H33" i="65" s="1"/>
  <c r="G20" i="65"/>
  <c r="G31" i="65"/>
  <c r="E35" i="60"/>
  <c r="G36" i="60" s="1"/>
  <c r="E35" i="62"/>
  <c r="E32" i="63"/>
  <c r="E37" i="64"/>
  <c r="I52" i="53"/>
  <c r="O50" i="64"/>
  <c r="I45" i="58"/>
  <c r="J45" i="58" s="1"/>
  <c r="E31" i="49"/>
  <c r="F31" i="49" s="1"/>
  <c r="H31" i="49" s="1"/>
  <c r="E33" i="52"/>
  <c r="G33" i="52" s="1"/>
  <c r="I53" i="60"/>
  <c r="J53" i="60" s="1"/>
  <c r="G15" i="58"/>
  <c r="G31" i="52"/>
  <c r="O52" i="58"/>
  <c r="F31" i="65"/>
  <c r="H31" i="65" s="1"/>
  <c r="E38" i="49"/>
  <c r="E31" i="50"/>
  <c r="F31" i="50" s="1"/>
  <c r="H31" i="50" s="1"/>
  <c r="E31" i="54"/>
  <c r="E33" i="54"/>
  <c r="F33" i="54" s="1"/>
  <c r="H33" i="54" s="1"/>
  <c r="E30" i="58"/>
  <c r="F30" i="58" s="1"/>
  <c r="H30" i="58" s="1"/>
  <c r="E33" i="58"/>
  <c r="F34" i="58" s="1"/>
  <c r="H34" i="58" s="1"/>
  <c r="E31" i="64"/>
  <c r="G31" i="64" s="1"/>
  <c r="E32" i="65"/>
  <c r="F32" i="65" s="1"/>
  <c r="H32" i="65" s="1"/>
  <c r="E30" i="67"/>
  <c r="R54" i="62"/>
  <c r="Q54" i="62"/>
  <c r="F23" i="55"/>
  <c r="H23" i="55" s="1"/>
  <c r="L35" i="65"/>
  <c r="K15" i="52"/>
  <c r="M15" i="52" s="1"/>
  <c r="N15" i="52" s="1"/>
  <c r="K47" i="64"/>
  <c r="K17" i="51"/>
  <c r="M17" i="51" s="1"/>
  <c r="N17" i="51" s="1"/>
  <c r="K17" i="64"/>
  <c r="M17" i="64" s="1"/>
  <c r="N17" i="64" s="1"/>
  <c r="L36" i="64"/>
  <c r="L33" i="58"/>
  <c r="L37" i="56"/>
  <c r="K16" i="62"/>
  <c r="M16" i="62" s="1"/>
  <c r="N16" i="62" s="1"/>
  <c r="K33" i="66"/>
  <c r="K38" i="1"/>
  <c r="G18" i="57"/>
  <c r="K31" i="55"/>
  <c r="K31" i="48"/>
  <c r="L37" i="64"/>
  <c r="K32" i="50"/>
  <c r="L37" i="57"/>
  <c r="K35" i="67"/>
  <c r="K35" i="52"/>
  <c r="L30" i="65"/>
  <c r="K23" i="63"/>
  <c r="M23" i="63" s="1"/>
  <c r="N23" i="63" s="1"/>
  <c r="K53" i="65"/>
  <c r="M53" i="65" s="1"/>
  <c r="N53" i="65" s="1"/>
  <c r="K18" i="57"/>
  <c r="M18" i="57" s="1"/>
  <c r="K32" i="54"/>
  <c r="K50" i="56"/>
  <c r="K22" i="58"/>
  <c r="M22" i="58" s="1"/>
  <c r="N22" i="58" s="1"/>
  <c r="L38" i="59"/>
  <c r="L31" i="51"/>
  <c r="K18" i="50"/>
  <c r="M18" i="50" s="1"/>
  <c r="N18" i="50" s="1"/>
  <c r="K16" i="65"/>
  <c r="M16" i="65" s="1"/>
  <c r="N16" i="65" s="1"/>
  <c r="G53" i="57"/>
  <c r="R24" i="49"/>
  <c r="L35" i="50"/>
  <c r="F19" i="57"/>
  <c r="H19" i="57" s="1"/>
  <c r="K30" i="62"/>
  <c r="K37" i="1"/>
  <c r="L52" i="64"/>
  <c r="K15" i="55"/>
  <c r="M15" i="55" s="1"/>
  <c r="N15" i="55" s="1"/>
  <c r="K16" i="56"/>
  <c r="M16" i="56" s="1"/>
  <c r="N16" i="56" s="1"/>
  <c r="L32" i="57"/>
  <c r="K22" i="48"/>
  <c r="M22" i="48" s="1"/>
  <c r="N22" i="48" s="1"/>
  <c r="L32" i="67"/>
  <c r="L38" i="55"/>
  <c r="L33" i="55"/>
  <c r="K20" i="53"/>
  <c r="M20" i="53" s="1"/>
  <c r="G21" i="65"/>
  <c r="L31" i="58"/>
  <c r="K35" i="64"/>
  <c r="L36" i="1"/>
  <c r="K32" i="48"/>
  <c r="K23" i="62"/>
  <c r="M23" i="62" s="1"/>
  <c r="N23" i="62" s="1"/>
  <c r="R24" i="51"/>
  <c r="Q24" i="53"/>
  <c r="R24" i="54"/>
  <c r="R24" i="55"/>
  <c r="E23" i="62"/>
  <c r="G23" i="62" s="1"/>
  <c r="L46" i="64"/>
  <c r="L36" i="57"/>
  <c r="K37" i="48"/>
  <c r="L38" i="64"/>
  <c r="K22" i="52"/>
  <c r="M22" i="52" s="1"/>
  <c r="N22" i="52" s="1"/>
  <c r="L34" i="61"/>
  <c r="K52" i="56"/>
  <c r="M52" i="56" s="1"/>
  <c r="N52" i="56" s="1"/>
  <c r="O52" i="56" s="1"/>
  <c r="L37" i="1"/>
  <c r="K47" i="61"/>
  <c r="M47" i="61" s="1"/>
  <c r="N47" i="61" s="1"/>
  <c r="K23" i="50"/>
  <c r="M23" i="50" s="1"/>
  <c r="N23" i="50" s="1"/>
  <c r="K30" i="60"/>
  <c r="L38" i="52"/>
  <c r="K33" i="60"/>
  <c r="L31" i="1"/>
  <c r="L51" i="56"/>
  <c r="K15" i="61"/>
  <c r="M15" i="61" s="1"/>
  <c r="N15" i="61" s="1"/>
  <c r="L36" i="66"/>
  <c r="K33" i="61"/>
  <c r="K33" i="53"/>
  <c r="L34" i="57"/>
  <c r="Q24" i="49"/>
  <c r="E20" i="49"/>
  <c r="F21" i="49" s="1"/>
  <c r="H21" i="49" s="1"/>
  <c r="E15" i="50"/>
  <c r="G15" i="50" s="1"/>
  <c r="E22" i="54"/>
  <c r="G22" i="54" s="1"/>
  <c r="L34" i="66"/>
  <c r="L37" i="67"/>
  <c r="K23" i="64"/>
  <c r="M23" i="64" s="1"/>
  <c r="N23" i="64" s="1"/>
  <c r="Q24" i="55"/>
  <c r="K17" i="53"/>
  <c r="M17" i="53" s="1"/>
  <c r="N17" i="53" s="1"/>
  <c r="K45" i="65"/>
  <c r="M45" i="65" s="1"/>
  <c r="N45" i="65" s="1"/>
  <c r="O45" i="65" s="1"/>
  <c r="P45" i="65" s="1"/>
  <c r="K38" i="56"/>
  <c r="L30" i="53"/>
  <c r="K17" i="49"/>
  <c r="M17" i="49" s="1"/>
  <c r="N17" i="49" s="1"/>
  <c r="K18" i="62"/>
  <c r="M18" i="62" s="1"/>
  <c r="G23" i="67"/>
  <c r="G20" i="53"/>
  <c r="L45" i="64"/>
  <c r="K15" i="48"/>
  <c r="M15" i="48" s="1"/>
  <c r="N15" i="48" s="1"/>
  <c r="K16" i="54"/>
  <c r="M16" i="54" s="1"/>
  <c r="N16" i="54" s="1"/>
  <c r="L34" i="56"/>
  <c r="L35" i="49"/>
  <c r="K37" i="50"/>
  <c r="M37" i="50" s="1"/>
  <c r="N37" i="50" s="1"/>
  <c r="L36" i="54"/>
  <c r="K23" i="52"/>
  <c r="M23" i="52" s="1"/>
  <c r="N23" i="52" s="1"/>
  <c r="K33" i="59"/>
  <c r="L36" i="48"/>
  <c r="L32" i="51"/>
  <c r="K15" i="66"/>
  <c r="M15" i="66" s="1"/>
  <c r="N15" i="66" s="1"/>
  <c r="L34" i="52"/>
  <c r="K17" i="54"/>
  <c r="M17" i="54" s="1"/>
  <c r="N17" i="54" s="1"/>
  <c r="K22" i="67"/>
  <c r="M22" i="67" s="1"/>
  <c r="N22" i="67" s="1"/>
  <c r="O22" i="67" s="1"/>
  <c r="K37" i="63"/>
  <c r="G21" i="66"/>
  <c r="L33" i="49"/>
  <c r="K46" i="62"/>
  <c r="M46" i="62" s="1"/>
  <c r="N46" i="62" s="1"/>
  <c r="O46" i="62" s="1"/>
  <c r="L36" i="49"/>
  <c r="L30" i="58"/>
  <c r="G22" i="55"/>
  <c r="E18" i="49"/>
  <c r="K50" i="57"/>
  <c r="M50" i="57" s="1"/>
  <c r="L33" i="62"/>
  <c r="K33" i="64"/>
  <c r="L36" i="62"/>
  <c r="K16" i="48"/>
  <c r="M16" i="48" s="1"/>
  <c r="N16" i="48" s="1"/>
  <c r="K16" i="60"/>
  <c r="M16" i="60" s="1"/>
  <c r="N16" i="60" s="1"/>
  <c r="K52" i="61"/>
  <c r="M52" i="61" s="1"/>
  <c r="N52" i="61" s="1"/>
  <c r="O52" i="61" s="1"/>
  <c r="P52" i="61" s="1"/>
  <c r="K46" i="64"/>
  <c r="L35" i="62"/>
  <c r="L37" i="65"/>
  <c r="M37" i="65" s="1"/>
  <c r="N37" i="65" s="1"/>
  <c r="K48" i="57"/>
  <c r="M48" i="57" s="1"/>
  <c r="K17" i="66"/>
  <c r="M17" i="66" s="1"/>
  <c r="N17" i="66" s="1"/>
  <c r="K37" i="51"/>
  <c r="L38" i="62"/>
  <c r="K35" i="58"/>
  <c r="L38" i="57"/>
  <c r="K46" i="57"/>
  <c r="M46" i="57" s="1"/>
  <c r="N46" i="57" s="1"/>
  <c r="K16" i="50"/>
  <c r="M16" i="50" s="1"/>
  <c r="N16" i="50" s="1"/>
  <c r="K47" i="59"/>
  <c r="M47" i="59" s="1"/>
  <c r="N47" i="59" s="1"/>
  <c r="O47" i="59" s="1"/>
  <c r="L31" i="59"/>
  <c r="L31" i="49"/>
  <c r="K30" i="59"/>
  <c r="K30" i="51"/>
  <c r="K23" i="65"/>
  <c r="M23" i="65" s="1"/>
  <c r="N23" i="65" s="1"/>
  <c r="L31" i="64"/>
  <c r="K20" i="64"/>
  <c r="M20" i="64" s="1"/>
  <c r="G49" i="57"/>
  <c r="F49" i="57"/>
  <c r="H49" i="57" s="1"/>
  <c r="E17" i="48"/>
  <c r="K35" i="59"/>
  <c r="K48" i="62"/>
  <c r="M48" i="62" s="1"/>
  <c r="L33" i="53"/>
  <c r="K37" i="53"/>
  <c r="K38" i="61"/>
  <c r="L32" i="58"/>
  <c r="L38" i="48"/>
  <c r="K23" i="54"/>
  <c r="M23" i="54" s="1"/>
  <c r="N23" i="54" s="1"/>
  <c r="K15" i="1"/>
  <c r="M15" i="1" s="1"/>
  <c r="N15" i="1" s="1"/>
  <c r="G23" i="66"/>
  <c r="K50" i="62"/>
  <c r="M50" i="62" s="1"/>
  <c r="K16" i="61"/>
  <c r="M16" i="61" s="1"/>
  <c r="N16" i="61" s="1"/>
  <c r="L31" i="66"/>
  <c r="E20" i="51"/>
  <c r="G22" i="67"/>
  <c r="L37" i="53"/>
  <c r="K37" i="64"/>
  <c r="K31" i="67"/>
  <c r="K31" i="58"/>
  <c r="L37" i="52"/>
  <c r="L31" i="56"/>
  <c r="L34" i="1"/>
  <c r="L36" i="55"/>
  <c r="K33" i="49"/>
  <c r="K17" i="57"/>
  <c r="M17" i="57" s="1"/>
  <c r="N17" i="57" s="1"/>
  <c r="K20" i="51"/>
  <c r="M20" i="51" s="1"/>
  <c r="L35" i="61"/>
  <c r="K33" i="65"/>
  <c r="K38" i="67"/>
  <c r="K31" i="62"/>
  <c r="K22" i="60"/>
  <c r="M22" i="60" s="1"/>
  <c r="N22" i="60" s="1"/>
  <c r="K15" i="60"/>
  <c r="M15" i="60" s="1"/>
  <c r="N15" i="60" s="1"/>
  <c r="K23" i="53"/>
  <c r="M23" i="53" s="1"/>
  <c r="N23" i="53" s="1"/>
  <c r="K31" i="56"/>
  <c r="K32" i="58"/>
  <c r="L33" i="61"/>
  <c r="K15" i="59"/>
  <c r="M15" i="59" s="1"/>
  <c r="N15" i="59" s="1"/>
  <c r="L32" i="1"/>
  <c r="F17" i="63"/>
  <c r="H17" i="63" s="1"/>
  <c r="E16" i="50"/>
  <c r="G16" i="50" s="1"/>
  <c r="E23" i="60"/>
  <c r="F23" i="60" s="1"/>
  <c r="H23" i="60" s="1"/>
  <c r="L35" i="56"/>
  <c r="K18" i="1"/>
  <c r="M18" i="1" s="1"/>
  <c r="K47" i="57"/>
  <c r="M47" i="57" s="1"/>
  <c r="N47" i="57" s="1"/>
  <c r="K22" i="57"/>
  <c r="M22" i="57" s="1"/>
  <c r="N22" i="57" s="1"/>
  <c r="K23" i="1"/>
  <c r="M23" i="1" s="1"/>
  <c r="N23" i="1" s="1"/>
  <c r="G16" i="67"/>
  <c r="F17" i="64"/>
  <c r="H17" i="64" s="1"/>
  <c r="G17" i="64"/>
  <c r="O17" i="64"/>
  <c r="F15" i="52"/>
  <c r="H15" i="52" s="1"/>
  <c r="F17" i="56"/>
  <c r="H17" i="56" s="1"/>
  <c r="O17" i="56"/>
  <c r="H53" i="57"/>
  <c r="K46" i="61"/>
  <c r="M46" i="61" s="1"/>
  <c r="N46" i="61" s="1"/>
  <c r="O46" i="61" s="1"/>
  <c r="K17" i="62"/>
  <c r="M17" i="62" s="1"/>
  <c r="N17" i="62" s="1"/>
  <c r="L30" i="67"/>
  <c r="K52" i="62"/>
  <c r="M52" i="62" s="1"/>
  <c r="N52" i="62" s="1"/>
  <c r="O52" i="62" s="1"/>
  <c r="L36" i="56"/>
  <c r="K16" i="49"/>
  <c r="M16" i="49" s="1"/>
  <c r="N16" i="49" s="1"/>
  <c r="K37" i="49"/>
  <c r="N19" i="50"/>
  <c r="F50" i="57"/>
  <c r="H50" i="57" s="1"/>
  <c r="G50" i="57"/>
  <c r="F51" i="57"/>
  <c r="H51" i="57" s="1"/>
  <c r="G51" i="57"/>
  <c r="G15" i="56"/>
  <c r="O15" i="56"/>
  <c r="F15" i="56"/>
  <c r="H15" i="56" s="1"/>
  <c r="Q39" i="1"/>
  <c r="I45" i="57"/>
  <c r="J45" i="57" s="1"/>
  <c r="F22" i="63"/>
  <c r="H22" i="63" s="1"/>
  <c r="G22" i="63"/>
  <c r="K52" i="64"/>
  <c r="L47" i="64"/>
  <c r="L36" i="52"/>
  <c r="L30" i="61"/>
  <c r="K31" i="53"/>
  <c r="L37" i="60"/>
  <c r="K37" i="57"/>
  <c r="M37" i="57" s="1"/>
  <c r="N37" i="57" s="1"/>
  <c r="L32" i="53"/>
  <c r="K48" i="59"/>
  <c r="M48" i="59" s="1"/>
  <c r="L35" i="51"/>
  <c r="K48" i="65"/>
  <c r="M48" i="65" s="1"/>
  <c r="K35" i="50"/>
  <c r="K53" i="59"/>
  <c r="M53" i="59" s="1"/>
  <c r="N53" i="59" s="1"/>
  <c r="O53" i="59" s="1"/>
  <c r="K32" i="67"/>
  <c r="M32" i="67" s="1"/>
  <c r="N32" i="67" s="1"/>
  <c r="K16" i="1"/>
  <c r="M16" i="1" s="1"/>
  <c r="N16" i="1" s="1"/>
  <c r="K23" i="55"/>
  <c r="M23" i="55" s="1"/>
  <c r="N23" i="55" s="1"/>
  <c r="K37" i="61"/>
  <c r="K45" i="49"/>
  <c r="M45" i="49" s="1"/>
  <c r="N45" i="49" s="1"/>
  <c r="O45" i="49" s="1"/>
  <c r="P45" i="49" s="1"/>
  <c r="P54" i="49" s="1"/>
  <c r="S54" i="49" s="1"/>
  <c r="T45" i="49" s="1"/>
  <c r="K20" i="65"/>
  <c r="M20" i="65" s="1"/>
  <c r="L32" i="61"/>
  <c r="K38" i="53"/>
  <c r="L49" i="56"/>
  <c r="K18" i="58"/>
  <c r="M18" i="58" s="1"/>
  <c r="L30" i="50"/>
  <c r="K35" i="1"/>
  <c r="K30" i="56"/>
  <c r="K20" i="58"/>
  <c r="M20" i="58" s="1"/>
  <c r="K52" i="57"/>
  <c r="M52" i="57" s="1"/>
  <c r="N52" i="57" s="1"/>
  <c r="K38" i="54"/>
  <c r="K30" i="49"/>
  <c r="K31" i="49"/>
  <c r="L33" i="50"/>
  <c r="K37" i="62"/>
  <c r="K16" i="51"/>
  <c r="M16" i="51" s="1"/>
  <c r="N16" i="51" s="1"/>
  <c r="L38" i="61"/>
  <c r="L34" i="63"/>
  <c r="L30" i="1"/>
  <c r="K15" i="51"/>
  <c r="M15" i="51" s="1"/>
  <c r="N15" i="51" s="1"/>
  <c r="R39" i="50"/>
  <c r="E23" i="58"/>
  <c r="F23" i="58" s="1"/>
  <c r="H23" i="58" s="1"/>
  <c r="E20" i="63"/>
  <c r="F20" i="63" s="1"/>
  <c r="H20" i="63" s="1"/>
  <c r="R39" i="49"/>
  <c r="Q24" i="56"/>
  <c r="L35" i="48"/>
  <c r="M35" i="48" s="1"/>
  <c r="K37" i="58"/>
  <c r="K16" i="55"/>
  <c r="M16" i="55" s="1"/>
  <c r="N16" i="55" s="1"/>
  <c r="K16" i="63"/>
  <c r="M16" i="63" s="1"/>
  <c r="N16" i="63" s="1"/>
  <c r="K16" i="57"/>
  <c r="M16" i="57" s="1"/>
  <c r="N16" i="57" s="1"/>
  <c r="K38" i="65"/>
  <c r="K35" i="57"/>
  <c r="K31" i="64"/>
  <c r="L34" i="55"/>
  <c r="K33" i="1"/>
  <c r="K45" i="64"/>
  <c r="M45" i="64" s="1"/>
  <c r="N45" i="64" s="1"/>
  <c r="K37" i="66"/>
  <c r="L38" i="65"/>
  <c r="K20" i="54"/>
  <c r="M20" i="54" s="1"/>
  <c r="N20" i="54" s="1"/>
  <c r="L33" i="57"/>
  <c r="L32" i="55"/>
  <c r="L36" i="51"/>
  <c r="L32" i="54"/>
  <c r="L37" i="55"/>
  <c r="L31" i="54"/>
  <c r="K17" i="60"/>
  <c r="M17" i="60" s="1"/>
  <c r="N17" i="60" s="1"/>
  <c r="K18" i="66"/>
  <c r="M18" i="66" s="1"/>
  <c r="K20" i="55"/>
  <c r="M20" i="55" s="1"/>
  <c r="L30" i="60"/>
  <c r="K15" i="56"/>
  <c r="M15" i="56" s="1"/>
  <c r="N15" i="56" s="1"/>
  <c r="L35" i="54"/>
  <c r="L30" i="55"/>
  <c r="K46" i="59"/>
  <c r="M46" i="59" s="1"/>
  <c r="N46" i="59" s="1"/>
  <c r="O46" i="59" s="1"/>
  <c r="Q54" i="51"/>
  <c r="Q24" i="54"/>
  <c r="R39" i="61"/>
  <c r="R54" i="61"/>
  <c r="R24" i="62"/>
  <c r="R39" i="62"/>
  <c r="K45" i="62"/>
  <c r="M45" i="62" s="1"/>
  <c r="N45" i="62" s="1"/>
  <c r="O45" i="62" s="1"/>
  <c r="K38" i="59"/>
  <c r="K18" i="52"/>
  <c r="M18" i="52" s="1"/>
  <c r="K22" i="1"/>
  <c r="M22" i="1" s="1"/>
  <c r="N22" i="1" s="1"/>
  <c r="K16" i="53"/>
  <c r="M16" i="53" s="1"/>
  <c r="N16" i="53" s="1"/>
  <c r="L32" i="56"/>
  <c r="L35" i="63"/>
  <c r="L34" i="53"/>
  <c r="K16" i="59"/>
  <c r="M16" i="59" s="1"/>
  <c r="N16" i="59" s="1"/>
  <c r="L38" i="53"/>
  <c r="L35" i="66"/>
  <c r="L33" i="52"/>
  <c r="K32" i="65"/>
  <c r="K23" i="66"/>
  <c r="M23" i="66" s="1"/>
  <c r="N23" i="66" s="1"/>
  <c r="K22" i="56"/>
  <c r="M22" i="56" s="1"/>
  <c r="N22" i="56" s="1"/>
  <c r="L31" i="62"/>
  <c r="K31" i="59"/>
  <c r="L37" i="63"/>
  <c r="M37" i="63" s="1"/>
  <c r="N37" i="63" s="1"/>
  <c r="K30" i="50"/>
  <c r="L30" i="66"/>
  <c r="K30" i="61"/>
  <c r="K31" i="1"/>
  <c r="L30" i="49"/>
  <c r="K53" i="57"/>
  <c r="M53" i="57" s="1"/>
  <c r="N53" i="57" s="1"/>
  <c r="K38" i="66"/>
  <c r="L34" i="65"/>
  <c r="K18" i="64"/>
  <c r="M18" i="64" s="1"/>
  <c r="L31" i="53"/>
  <c r="K35" i="60"/>
  <c r="L37" i="51"/>
  <c r="K31" i="65"/>
  <c r="M31" i="65" s="1"/>
  <c r="N31" i="65" s="1"/>
  <c r="K33" i="50"/>
  <c r="K17" i="59"/>
  <c r="M17" i="59" s="1"/>
  <c r="N17" i="59" s="1"/>
  <c r="L32" i="63"/>
  <c r="K23" i="57"/>
  <c r="M23" i="57" s="1"/>
  <c r="N23" i="57" s="1"/>
  <c r="K22" i="51"/>
  <c r="M22" i="51" s="1"/>
  <c r="N22" i="51" s="1"/>
  <c r="K48" i="61"/>
  <c r="M48" i="61" s="1"/>
  <c r="O46" i="51"/>
  <c r="E18" i="50"/>
  <c r="G19" i="50" s="1"/>
  <c r="E23" i="50"/>
  <c r="E17" i="51"/>
  <c r="G17" i="51" s="1"/>
  <c r="R24" i="53"/>
  <c r="E15" i="54"/>
  <c r="E15" i="55"/>
  <c r="G15" i="55" s="1"/>
  <c r="E18" i="61"/>
  <c r="L50" i="64"/>
  <c r="K18" i="63"/>
  <c r="M18" i="63" s="1"/>
  <c r="K18" i="49"/>
  <c r="M18" i="49" s="1"/>
  <c r="K37" i="52"/>
  <c r="K23" i="58"/>
  <c r="M23" i="58" s="1"/>
  <c r="N23" i="58" s="1"/>
  <c r="L35" i="52"/>
  <c r="M35" i="52" s="1"/>
  <c r="N36" i="52" s="1"/>
  <c r="K18" i="48"/>
  <c r="M18" i="48" s="1"/>
  <c r="K23" i="48"/>
  <c r="M23" i="48" s="1"/>
  <c r="N23" i="48" s="1"/>
  <c r="K20" i="67"/>
  <c r="M20" i="67" s="1"/>
  <c r="K35" i="65"/>
  <c r="K20" i="66"/>
  <c r="M20" i="66" s="1"/>
  <c r="L30" i="62"/>
  <c r="K45" i="61"/>
  <c r="M45" i="61" s="1"/>
  <c r="N45" i="61" s="1"/>
  <c r="O45" i="61" s="1"/>
  <c r="K32" i="52"/>
  <c r="K38" i="55"/>
  <c r="K35" i="61"/>
  <c r="K33" i="57"/>
  <c r="K20" i="63"/>
  <c r="M20" i="63" s="1"/>
  <c r="K38" i="63"/>
  <c r="L38" i="51"/>
  <c r="K45" i="59"/>
  <c r="M45" i="59" s="1"/>
  <c r="N45" i="59" s="1"/>
  <c r="O45" i="59" s="1"/>
  <c r="K53" i="56"/>
  <c r="M53" i="56" s="1"/>
  <c r="N53" i="56" s="1"/>
  <c r="O53" i="56" s="1"/>
  <c r="K35" i="53"/>
  <c r="K37" i="54"/>
  <c r="K52" i="65"/>
  <c r="M52" i="65" s="1"/>
  <c r="N52" i="65" s="1"/>
  <c r="O52" i="65" s="1"/>
  <c r="P52" i="65" s="1"/>
  <c r="Q52" i="65" s="1"/>
  <c r="Q54" i="65" s="1"/>
  <c r="K32" i="53"/>
  <c r="K18" i="54"/>
  <c r="M18" i="54" s="1"/>
  <c r="K37" i="59"/>
  <c r="K30" i="64"/>
  <c r="M30" i="64" s="1"/>
  <c r="N30" i="64" s="1"/>
  <c r="K35" i="54"/>
  <c r="K38" i="51"/>
  <c r="L36" i="63"/>
  <c r="L30" i="51"/>
  <c r="K30" i="48"/>
  <c r="K17" i="56"/>
  <c r="M17" i="56" s="1"/>
  <c r="N17" i="56" s="1"/>
  <c r="L34" i="50"/>
  <c r="K32" i="51"/>
  <c r="K15" i="63"/>
  <c r="M15" i="63" s="1"/>
  <c r="N15" i="63" s="1"/>
  <c r="L35" i="60"/>
  <c r="L30" i="52"/>
  <c r="L33" i="48"/>
  <c r="M33" i="48" s="1"/>
  <c r="K33" i="62"/>
  <c r="L30" i="57"/>
  <c r="K35" i="56"/>
  <c r="L31" i="52"/>
  <c r="K31" i="63"/>
  <c r="M31" i="63" s="1"/>
  <c r="N31" i="63" s="1"/>
  <c r="K18" i="59"/>
  <c r="M18" i="59" s="1"/>
  <c r="K38" i="52"/>
  <c r="K32" i="56"/>
  <c r="G22" i="61"/>
  <c r="K38" i="62"/>
  <c r="M38" i="62" s="1"/>
  <c r="N38" i="62" s="1"/>
  <c r="G17" i="52"/>
  <c r="F15" i="66"/>
  <c r="H15" i="66" s="1"/>
  <c r="E20" i="48"/>
  <c r="E15" i="53"/>
  <c r="E20" i="54"/>
  <c r="G21" i="54" s="1"/>
  <c r="E15" i="65"/>
  <c r="E23" i="65"/>
  <c r="K18" i="53"/>
  <c r="M18" i="53" s="1"/>
  <c r="L35" i="67"/>
  <c r="K16" i="64"/>
  <c r="M16" i="64" s="1"/>
  <c r="N16" i="64" s="1"/>
  <c r="L32" i="48"/>
  <c r="K32" i="57"/>
  <c r="M32" i="57" s="1"/>
  <c r="N32" i="57" s="1"/>
  <c r="K20" i="1"/>
  <c r="M20" i="1" s="1"/>
  <c r="L36" i="60"/>
  <c r="K50" i="65"/>
  <c r="M50" i="65" s="1"/>
  <c r="N51" i="65" s="1"/>
  <c r="L31" i="55"/>
  <c r="L31" i="67"/>
  <c r="L30" i="56"/>
  <c r="K32" i="64"/>
  <c r="K50" i="61"/>
  <c r="M50" i="61" s="1"/>
  <c r="K22" i="63"/>
  <c r="M22" i="63" s="1"/>
  <c r="N22" i="63" s="1"/>
  <c r="K30" i="1"/>
  <c r="L36" i="65"/>
  <c r="K22" i="61"/>
  <c r="M22" i="61" s="1"/>
  <c r="N22" i="61" s="1"/>
  <c r="L37" i="54"/>
  <c r="K33" i="67"/>
  <c r="K20" i="56"/>
  <c r="M20" i="56" s="1"/>
  <c r="R39" i="66"/>
  <c r="K30" i="67"/>
  <c r="K30" i="53"/>
  <c r="K17" i="55"/>
  <c r="M17" i="55" s="1"/>
  <c r="N17" i="55" s="1"/>
  <c r="K20" i="60"/>
  <c r="M20" i="60" s="1"/>
  <c r="K53" i="62"/>
  <c r="M53" i="62" s="1"/>
  <c r="N53" i="62" s="1"/>
  <c r="O53" i="62" s="1"/>
  <c r="K32" i="1"/>
  <c r="K32" i="61"/>
  <c r="K17" i="58"/>
  <c r="M17" i="58" s="1"/>
  <c r="N17" i="58" s="1"/>
  <c r="K37" i="60"/>
  <c r="K20" i="50"/>
  <c r="M20" i="50" s="1"/>
  <c r="K23" i="49"/>
  <c r="M23" i="49" s="1"/>
  <c r="N23" i="49" s="1"/>
  <c r="L34" i="49"/>
  <c r="K23" i="51"/>
  <c r="M23" i="51" s="1"/>
  <c r="N23" i="51" s="1"/>
  <c r="K33" i="52"/>
  <c r="K18" i="61"/>
  <c r="M18" i="61" s="1"/>
  <c r="K53" i="61"/>
  <c r="M53" i="61" s="1"/>
  <c r="N53" i="61" s="1"/>
  <c r="O53" i="61" s="1"/>
  <c r="L48" i="56"/>
  <c r="K17" i="63"/>
  <c r="M17" i="63" s="1"/>
  <c r="N17" i="63" s="1"/>
  <c r="K22" i="62"/>
  <c r="M22" i="62" s="1"/>
  <c r="N22" i="62" s="1"/>
  <c r="L32" i="52"/>
  <c r="K52" i="59"/>
  <c r="M52" i="59" s="1"/>
  <c r="N52" i="59" s="1"/>
  <c r="K22" i="54"/>
  <c r="M22" i="54" s="1"/>
  <c r="N22" i="54" s="1"/>
  <c r="K31" i="66"/>
  <c r="L32" i="50"/>
  <c r="M32" i="50" s="1"/>
  <c r="N32" i="50" s="1"/>
  <c r="L32" i="66"/>
  <c r="K31" i="54"/>
  <c r="K15" i="67"/>
  <c r="M15" i="67" s="1"/>
  <c r="N15" i="67" s="1"/>
  <c r="K37" i="67"/>
  <c r="K38" i="60"/>
  <c r="K35" i="51"/>
  <c r="K45" i="57"/>
  <c r="M45" i="57" s="1"/>
  <c r="N45" i="57" s="1"/>
  <c r="L34" i="59"/>
  <c r="E23" i="48"/>
  <c r="G23" i="48" s="1"/>
  <c r="E23" i="53"/>
  <c r="E22" i="57"/>
  <c r="E22" i="58"/>
  <c r="G22" i="58" s="1"/>
  <c r="E16" i="60"/>
  <c r="G16" i="60" s="1"/>
  <c r="E18" i="65"/>
  <c r="F19" i="65" s="1"/>
  <c r="H19" i="65" s="1"/>
  <c r="K38" i="48"/>
  <c r="M38" i="48" s="1"/>
  <c r="N38" i="48" s="1"/>
  <c r="K23" i="61"/>
  <c r="M23" i="61" s="1"/>
  <c r="N23" i="61" s="1"/>
  <c r="K15" i="53"/>
  <c r="M15" i="53" s="1"/>
  <c r="N15" i="53" s="1"/>
  <c r="L32" i="62"/>
  <c r="L33" i="67"/>
  <c r="L33" i="60"/>
  <c r="L35" i="53"/>
  <c r="L32" i="65"/>
  <c r="K18" i="51"/>
  <c r="M18" i="51" s="1"/>
  <c r="K50" i="59"/>
  <c r="M50" i="59" s="1"/>
  <c r="L33" i="65"/>
  <c r="L38" i="54"/>
  <c r="M38" i="54" s="1"/>
  <c r="N38" i="54" s="1"/>
  <c r="L48" i="64"/>
  <c r="M48" i="64" s="1"/>
  <c r="N48" i="64" s="1"/>
  <c r="K32" i="55"/>
  <c r="L36" i="59"/>
  <c r="L33" i="66"/>
  <c r="K30" i="66"/>
  <c r="K31" i="57"/>
  <c r="L36" i="50"/>
  <c r="K16" i="66"/>
  <c r="M16" i="66" s="1"/>
  <c r="N16" i="66" s="1"/>
  <c r="K22" i="53"/>
  <c r="M22" i="53" s="1"/>
  <c r="N22" i="53" s="1"/>
  <c r="L33" i="64"/>
  <c r="M33" i="64" s="1"/>
  <c r="L33" i="51"/>
  <c r="L37" i="58"/>
  <c r="L34" i="62"/>
  <c r="L38" i="1"/>
  <c r="K37" i="55"/>
  <c r="K38" i="58"/>
  <c r="K32" i="63"/>
  <c r="M32" i="63" s="1"/>
  <c r="N32" i="63" s="1"/>
  <c r="L31" i="61"/>
  <c r="K38" i="50"/>
  <c r="K31" i="51"/>
  <c r="G48" i="57"/>
  <c r="E23" i="51"/>
  <c r="Q24" i="52"/>
  <c r="E23" i="52"/>
  <c r="F23" i="52" s="1"/>
  <c r="H23" i="52" s="1"/>
  <c r="E18" i="53"/>
  <c r="G19" i="53" s="1"/>
  <c r="E18" i="54"/>
  <c r="F18" i="54" s="1"/>
  <c r="H18" i="54" s="1"/>
  <c r="E18" i="55"/>
  <c r="E17" i="57"/>
  <c r="R39" i="58"/>
  <c r="R39" i="53"/>
  <c r="Q39" i="56"/>
  <c r="R39" i="57"/>
  <c r="K35" i="49"/>
  <c r="K32" i="66"/>
  <c r="K47" i="65"/>
  <c r="M47" i="65" s="1"/>
  <c r="N47" i="65" s="1"/>
  <c r="O47" i="65" s="1"/>
  <c r="P47" i="65" s="1"/>
  <c r="L35" i="1"/>
  <c r="K15" i="62"/>
  <c r="M15" i="62" s="1"/>
  <c r="N15" i="62" s="1"/>
  <c r="L36" i="61"/>
  <c r="K47" i="62"/>
  <c r="M47" i="62" s="1"/>
  <c r="N47" i="62" s="1"/>
  <c r="O47" i="62" s="1"/>
  <c r="K15" i="58"/>
  <c r="M15" i="58" s="1"/>
  <c r="N15" i="58" s="1"/>
  <c r="L35" i="64"/>
  <c r="L32" i="60"/>
  <c r="L37" i="59"/>
  <c r="L35" i="57"/>
  <c r="L36" i="67"/>
  <c r="L34" i="51"/>
  <c r="L32" i="49"/>
  <c r="L33" i="56"/>
  <c r="M33" i="56" s="1"/>
  <c r="L30" i="59"/>
  <c r="K16" i="58"/>
  <c r="M16" i="58" s="1"/>
  <c r="N16" i="58" s="1"/>
  <c r="K32" i="60"/>
  <c r="K20" i="49"/>
  <c r="M20" i="49" s="1"/>
  <c r="K18" i="65"/>
  <c r="M18" i="65" s="1"/>
  <c r="K18" i="60"/>
  <c r="M18" i="60" s="1"/>
  <c r="K33" i="58"/>
  <c r="L35" i="58"/>
  <c r="K23" i="59"/>
  <c r="M23" i="59" s="1"/>
  <c r="N23" i="59" s="1"/>
  <c r="K32" i="49"/>
  <c r="K20" i="52"/>
  <c r="M20" i="52" s="1"/>
  <c r="L34" i="58"/>
  <c r="K22" i="50"/>
  <c r="M22" i="50" s="1"/>
  <c r="N22" i="50" s="1"/>
  <c r="K30" i="63"/>
  <c r="K33" i="63"/>
  <c r="K30" i="58"/>
  <c r="E18" i="66"/>
  <c r="F18" i="66" s="1"/>
  <c r="H18" i="66" s="1"/>
  <c r="Q39" i="66"/>
  <c r="K53" i="64"/>
  <c r="L37" i="49"/>
  <c r="L38" i="49"/>
  <c r="K31" i="61"/>
  <c r="K20" i="61"/>
  <c r="M20" i="61" s="1"/>
  <c r="K15" i="49"/>
  <c r="M15" i="49" s="1"/>
  <c r="N15" i="49" s="1"/>
  <c r="K31" i="52"/>
  <c r="K18" i="55"/>
  <c r="M18" i="55" s="1"/>
  <c r="K17" i="61"/>
  <c r="M17" i="61" s="1"/>
  <c r="N17" i="61" s="1"/>
  <c r="L38" i="58"/>
  <c r="L38" i="67"/>
  <c r="K16" i="52"/>
  <c r="M16" i="52" s="1"/>
  <c r="N16" i="52" s="1"/>
  <c r="K22" i="66"/>
  <c r="M22" i="66" s="1"/>
  <c r="N22" i="66" s="1"/>
  <c r="K30" i="54"/>
  <c r="M30" i="54" s="1"/>
  <c r="N30" i="54" s="1"/>
  <c r="K46" i="65"/>
  <c r="M46" i="65" s="1"/>
  <c r="N46" i="65" s="1"/>
  <c r="O46" i="65" s="1"/>
  <c r="P46" i="65" s="1"/>
  <c r="K17" i="52"/>
  <c r="M17" i="52" s="1"/>
  <c r="N17" i="52" s="1"/>
  <c r="K23" i="67"/>
  <c r="M23" i="67" s="1"/>
  <c r="N23" i="67" s="1"/>
  <c r="L38" i="63"/>
  <c r="L38" i="50"/>
  <c r="L34" i="54"/>
  <c r="K38" i="64"/>
  <c r="K22" i="64"/>
  <c r="M22" i="64" s="1"/>
  <c r="N22" i="64" s="1"/>
  <c r="K30" i="52"/>
  <c r="K18" i="56"/>
  <c r="M18" i="56" s="1"/>
  <c r="L36" i="53"/>
  <c r="L34" i="67"/>
  <c r="K15" i="65"/>
  <c r="M15" i="65" s="1"/>
  <c r="N15" i="65" s="1"/>
  <c r="K38" i="49"/>
  <c r="K18" i="67"/>
  <c r="M18" i="67" s="1"/>
  <c r="L36" i="58"/>
  <c r="K22" i="49"/>
  <c r="M22" i="49" s="1"/>
  <c r="N22" i="49" s="1"/>
  <c r="O22" i="49" s="1"/>
  <c r="K22" i="65"/>
  <c r="M22" i="65" s="1"/>
  <c r="N22" i="65" s="1"/>
  <c r="L33" i="1"/>
  <c r="L37" i="66"/>
  <c r="K20" i="57"/>
  <c r="M20" i="57" s="1"/>
  <c r="K30" i="65"/>
  <c r="L32" i="64"/>
  <c r="M32" i="64" s="1"/>
  <c r="N32" i="64" s="1"/>
  <c r="K31" i="50"/>
  <c r="M31" i="50" s="1"/>
  <c r="N31" i="50" s="1"/>
  <c r="K15" i="57"/>
  <c r="M15" i="57" s="1"/>
  <c r="N15" i="57" s="1"/>
  <c r="K23" i="56"/>
  <c r="M23" i="56" s="1"/>
  <c r="N23" i="56" s="1"/>
  <c r="K30" i="57"/>
  <c r="L31" i="57"/>
  <c r="Q39" i="49"/>
  <c r="E17" i="50"/>
  <c r="Q24" i="50"/>
  <c r="E22" i="50"/>
  <c r="G22" i="50" s="1"/>
  <c r="Q39" i="51"/>
  <c r="E17" i="59"/>
  <c r="O22" i="59" s="1"/>
  <c r="E17" i="62"/>
  <c r="F18" i="62"/>
  <c r="H18" i="62" s="1"/>
  <c r="G19" i="62"/>
  <c r="F19" i="62"/>
  <c r="H19" i="62" s="1"/>
  <c r="G18" i="62"/>
  <c r="G36" i="50"/>
  <c r="G23" i="61"/>
  <c r="O23" i="61"/>
  <c r="O38" i="61"/>
  <c r="G38" i="61"/>
  <c r="F38" i="61"/>
  <c r="H38" i="61" s="1"/>
  <c r="F35" i="50"/>
  <c r="H35" i="50" s="1"/>
  <c r="F33" i="55"/>
  <c r="H33" i="55" s="1"/>
  <c r="O52" i="53"/>
  <c r="G52" i="53"/>
  <c r="I49" i="53"/>
  <c r="J49" i="53" s="1"/>
  <c r="P49" i="53" s="1"/>
  <c r="F52" i="53"/>
  <c r="H52" i="53" s="1"/>
  <c r="J52" i="53" s="1"/>
  <c r="I51" i="53"/>
  <c r="I47" i="53"/>
  <c r="G37" i="59"/>
  <c r="I37" i="59" s="1"/>
  <c r="F37" i="59"/>
  <c r="H37" i="59" s="1"/>
  <c r="I33" i="59"/>
  <c r="G32" i="1"/>
  <c r="G32" i="51"/>
  <c r="F32" i="51"/>
  <c r="H32" i="51" s="1"/>
  <c r="O32" i="51"/>
  <c r="G36" i="51"/>
  <c r="O38" i="64"/>
  <c r="G38" i="64"/>
  <c r="G30" i="1"/>
  <c r="I31" i="61"/>
  <c r="J31" i="61" s="1"/>
  <c r="P31" i="61" s="1"/>
  <c r="G21" i="64"/>
  <c r="G18" i="48"/>
  <c r="F19" i="48"/>
  <c r="H19" i="48" s="1"/>
  <c r="F18" i="48"/>
  <c r="H18" i="48" s="1"/>
  <c r="I53" i="53"/>
  <c r="J53" i="53" s="1"/>
  <c r="I45" i="53"/>
  <c r="F47" i="53"/>
  <c r="H47" i="53" s="1"/>
  <c r="G30" i="55"/>
  <c r="I30" i="55" s="1"/>
  <c r="O30" i="55"/>
  <c r="F30" i="55"/>
  <c r="H30" i="55" s="1"/>
  <c r="G23" i="58"/>
  <c r="O23" i="58"/>
  <c r="F49" i="58"/>
  <c r="H49" i="58" s="1"/>
  <c r="J49" i="58" s="1"/>
  <c r="P49" i="58" s="1"/>
  <c r="O48" i="58"/>
  <c r="G48" i="58"/>
  <c r="F48" i="58"/>
  <c r="H48" i="58" s="1"/>
  <c r="J48" i="58" s="1"/>
  <c r="F17" i="1"/>
  <c r="H17" i="1" s="1"/>
  <c r="G15" i="1"/>
  <c r="F15" i="1"/>
  <c r="H15" i="1" s="1"/>
  <c r="F17" i="58"/>
  <c r="H17" i="58" s="1"/>
  <c r="G17" i="58"/>
  <c r="E30" i="52"/>
  <c r="F34" i="52"/>
  <c r="H34" i="52" s="1"/>
  <c r="G34" i="52"/>
  <c r="F15" i="59"/>
  <c r="H15" i="59" s="1"/>
  <c r="G15" i="59"/>
  <c r="G21" i="59"/>
  <c r="F20" i="59"/>
  <c r="H20" i="59" s="1"/>
  <c r="G20" i="59"/>
  <c r="G21" i="62"/>
  <c r="G20" i="62"/>
  <c r="F31" i="62"/>
  <c r="H31" i="62" s="1"/>
  <c r="F45" i="1"/>
  <c r="H45" i="1" s="1"/>
  <c r="G18" i="51"/>
  <c r="J50" i="62"/>
  <c r="O17" i="58"/>
  <c r="N21" i="64"/>
  <c r="N20" i="64"/>
  <c r="G16" i="59"/>
  <c r="F16" i="59"/>
  <c r="H16" i="59" s="1"/>
  <c r="Q39" i="50"/>
  <c r="R24" i="52"/>
  <c r="R24" i="57"/>
  <c r="R24" i="58"/>
  <c r="F20" i="67"/>
  <c r="H20" i="67" s="1"/>
  <c r="G21" i="67"/>
  <c r="F21" i="67"/>
  <c r="H21" i="67" s="1"/>
  <c r="G20" i="67"/>
  <c r="G33" i="67"/>
  <c r="G34" i="67"/>
  <c r="F33" i="67"/>
  <c r="H33" i="67" s="1"/>
  <c r="O33" i="67"/>
  <c r="F47" i="51"/>
  <c r="H47" i="51" s="1"/>
  <c r="G47" i="51"/>
  <c r="I34" i="61"/>
  <c r="G23" i="59"/>
  <c r="F34" i="67"/>
  <c r="H34" i="67" s="1"/>
  <c r="O31" i="53"/>
  <c r="F31" i="53"/>
  <c r="H31" i="53" s="1"/>
  <c r="G31" i="53"/>
  <c r="G15" i="54"/>
  <c r="F15" i="54"/>
  <c r="H15" i="54" s="1"/>
  <c r="F34" i="54"/>
  <c r="H34" i="54" s="1"/>
  <c r="G34" i="54"/>
  <c r="G33" i="54"/>
  <c r="O33" i="54"/>
  <c r="G18" i="61"/>
  <c r="F18" i="61"/>
  <c r="H18" i="61" s="1"/>
  <c r="G35" i="62"/>
  <c r="I35" i="62" s="1"/>
  <c r="G36" i="62"/>
  <c r="F35" i="62"/>
  <c r="H35" i="62" s="1"/>
  <c r="F36" i="62"/>
  <c r="H36" i="62" s="1"/>
  <c r="J51" i="58"/>
  <c r="P51" i="58" s="1"/>
  <c r="R24" i="66"/>
  <c r="G35" i="49"/>
  <c r="G21" i="50"/>
  <c r="R39" i="52"/>
  <c r="F32" i="59"/>
  <c r="H32" i="59" s="1"/>
  <c r="G32" i="59"/>
  <c r="G35" i="59"/>
  <c r="F35" i="59"/>
  <c r="H35" i="59" s="1"/>
  <c r="F36" i="59"/>
  <c r="H36" i="59" s="1"/>
  <c r="G32" i="62"/>
  <c r="G15" i="65"/>
  <c r="G45" i="1"/>
  <c r="E38" i="1"/>
  <c r="F33" i="58"/>
  <c r="H33" i="58" s="1"/>
  <c r="I52" i="59"/>
  <c r="I47" i="59"/>
  <c r="J47" i="59" s="1"/>
  <c r="F21" i="57"/>
  <c r="H21" i="57" s="1"/>
  <c r="F33" i="52"/>
  <c r="H33" i="52" s="1"/>
  <c r="G30" i="51"/>
  <c r="F30" i="51"/>
  <c r="H30" i="51" s="1"/>
  <c r="O15" i="54"/>
  <c r="G30" i="49"/>
  <c r="F30" i="49"/>
  <c r="H30" i="49" s="1"/>
  <c r="E33" i="49"/>
  <c r="R54" i="51"/>
  <c r="F36" i="52"/>
  <c r="H36" i="52" s="1"/>
  <c r="R39" i="55"/>
  <c r="F51" i="59"/>
  <c r="H51" i="59" s="1"/>
  <c r="G51" i="59"/>
  <c r="I51" i="59" s="1"/>
  <c r="G15" i="62"/>
  <c r="F15" i="62"/>
  <c r="H15" i="62" s="1"/>
  <c r="Q24" i="51"/>
  <c r="E37" i="58"/>
  <c r="G47" i="62"/>
  <c r="I47" i="62" s="1"/>
  <c r="I53" i="62"/>
  <c r="J53" i="62" s="1"/>
  <c r="I52" i="62"/>
  <c r="J52" i="62" s="1"/>
  <c r="I45" i="62"/>
  <c r="J45" i="62" s="1"/>
  <c r="I46" i="62"/>
  <c r="J46" i="62" s="1"/>
  <c r="P46" i="62" s="1"/>
  <c r="F47" i="62"/>
  <c r="H47" i="62" s="1"/>
  <c r="O16" i="48"/>
  <c r="F16" i="48"/>
  <c r="H16" i="48" s="1"/>
  <c r="F30" i="50"/>
  <c r="H30" i="50" s="1"/>
  <c r="G30" i="50"/>
  <c r="Q24" i="60"/>
  <c r="F46" i="58"/>
  <c r="H46" i="58" s="1"/>
  <c r="I53" i="58"/>
  <c r="I16" i="64"/>
  <c r="F30" i="1"/>
  <c r="H30" i="1" s="1"/>
  <c r="G21" i="57"/>
  <c r="F17" i="53"/>
  <c r="H17" i="53" s="1"/>
  <c r="O16" i="49"/>
  <c r="G17" i="61"/>
  <c r="F17" i="61"/>
  <c r="H17" i="61" s="1"/>
  <c r="F22" i="53"/>
  <c r="H22" i="53" s="1"/>
  <c r="G22" i="53"/>
  <c r="G50" i="1"/>
  <c r="F50" i="1"/>
  <c r="H50" i="1" s="1"/>
  <c r="G51" i="1"/>
  <c r="F51" i="1"/>
  <c r="H51" i="1" s="1"/>
  <c r="R39" i="51"/>
  <c r="G34" i="59"/>
  <c r="F33" i="59"/>
  <c r="H33" i="59" s="1"/>
  <c r="F34" i="59"/>
  <c r="H34" i="59" s="1"/>
  <c r="F22" i="51"/>
  <c r="H22" i="51" s="1"/>
  <c r="E33" i="50"/>
  <c r="E35" i="63"/>
  <c r="F35" i="63" s="1"/>
  <c r="H35" i="63" s="1"/>
  <c r="E48" i="1"/>
  <c r="E35" i="1"/>
  <c r="E32" i="67"/>
  <c r="G32" i="67" s="1"/>
  <c r="G36" i="58"/>
  <c r="E35" i="48"/>
  <c r="Q39" i="54"/>
  <c r="Q39" i="64"/>
  <c r="E37" i="66"/>
  <c r="Q24" i="48"/>
  <c r="E35" i="53"/>
  <c r="E32" i="56"/>
  <c r="Q24" i="1"/>
  <c r="E32" i="54"/>
  <c r="E38" i="51"/>
  <c r="E33" i="53"/>
  <c r="G34" i="53" s="1"/>
  <c r="E30" i="57"/>
  <c r="O32" i="57" s="1"/>
  <c r="R24" i="65"/>
  <c r="E38" i="66"/>
  <c r="F33" i="60"/>
  <c r="H33" i="60" s="1"/>
  <c r="R39" i="1"/>
  <c r="E33" i="56"/>
  <c r="F33" i="56" s="1"/>
  <c r="H33" i="56" s="1"/>
  <c r="Q24" i="57"/>
  <c r="I48" i="62"/>
  <c r="J48" i="62" s="1"/>
  <c r="O17" i="54"/>
  <c r="E37" i="50"/>
  <c r="E33" i="64"/>
  <c r="E35" i="66"/>
  <c r="F36" i="66" s="1"/>
  <c r="H36" i="66" s="1"/>
  <c r="G35" i="55"/>
  <c r="F36" i="55"/>
  <c r="H36" i="55" s="1"/>
  <c r="F35" i="55"/>
  <c r="H35" i="55" s="1"/>
  <c r="F31" i="58"/>
  <c r="H31" i="58" s="1"/>
  <c r="O31" i="58"/>
  <c r="G31" i="58"/>
  <c r="O15" i="64"/>
  <c r="G53" i="58"/>
  <c r="F53" i="58"/>
  <c r="H53" i="58" s="1"/>
  <c r="N50" i="1"/>
  <c r="O50" i="1" s="1"/>
  <c r="N51" i="1"/>
  <c r="O31" i="54"/>
  <c r="F31" i="54"/>
  <c r="H31" i="54" s="1"/>
  <c r="G31" i="54"/>
  <c r="F37" i="54"/>
  <c r="H37" i="54" s="1"/>
  <c r="O37" i="54"/>
  <c r="O30" i="59"/>
  <c r="G30" i="59"/>
  <c r="I30" i="59" s="1"/>
  <c r="F30" i="59"/>
  <c r="H30" i="59" s="1"/>
  <c r="F32" i="63"/>
  <c r="H32" i="63" s="1"/>
  <c r="F20" i="56"/>
  <c r="H20" i="56" s="1"/>
  <c r="O20" i="56"/>
  <c r="G20" i="56"/>
  <c r="F21" i="56"/>
  <c r="H21" i="56" s="1"/>
  <c r="G21" i="56"/>
  <c r="F34" i="51"/>
  <c r="H34" i="51" s="1"/>
  <c r="O37" i="60"/>
  <c r="G37" i="54"/>
  <c r="F22" i="61"/>
  <c r="H22" i="61" s="1"/>
  <c r="G15" i="64"/>
  <c r="F46" i="57"/>
  <c r="H46" i="57" s="1"/>
  <c r="G32" i="50"/>
  <c r="F37" i="55"/>
  <c r="H37" i="55" s="1"/>
  <c r="G35" i="58"/>
  <c r="F36" i="58"/>
  <c r="H36" i="58" s="1"/>
  <c r="O35" i="58"/>
  <c r="G23" i="60"/>
  <c r="O23" i="60"/>
  <c r="O31" i="64"/>
  <c r="F31" i="64"/>
  <c r="H31" i="64" s="1"/>
  <c r="O37" i="64"/>
  <c r="F15" i="64"/>
  <c r="H15" i="64" s="1"/>
  <c r="F22" i="49"/>
  <c r="H22" i="49" s="1"/>
  <c r="G22" i="49"/>
  <c r="F20" i="51"/>
  <c r="H20" i="51" s="1"/>
  <c r="G21" i="51"/>
  <c r="G19" i="65"/>
  <c r="G18" i="65"/>
  <c r="F18" i="65"/>
  <c r="H18" i="65" s="1"/>
  <c r="F48" i="64"/>
  <c r="H48" i="64" s="1"/>
  <c r="J48" i="64" s="1"/>
  <c r="G49" i="64"/>
  <c r="G48" i="64"/>
  <c r="F53" i="61"/>
  <c r="H53" i="61" s="1"/>
  <c r="G53" i="61"/>
  <c r="I53" i="61" s="1"/>
  <c r="I51" i="56"/>
  <c r="I49" i="56"/>
  <c r="O46" i="56"/>
  <c r="F47" i="56"/>
  <c r="H47" i="56" s="1"/>
  <c r="I46" i="56"/>
  <c r="J46" i="56" s="1"/>
  <c r="G47" i="56"/>
  <c r="I47" i="56" s="1"/>
  <c r="G32" i="63"/>
  <c r="G38" i="65"/>
  <c r="F38" i="65"/>
  <c r="H38" i="65" s="1"/>
  <c r="E31" i="1"/>
  <c r="S54" i="59"/>
  <c r="F22" i="62"/>
  <c r="H22" i="62" s="1"/>
  <c r="F50" i="60"/>
  <c r="H50" i="60" s="1"/>
  <c r="J50" i="60" s="1"/>
  <c r="F51" i="60"/>
  <c r="H51" i="60" s="1"/>
  <c r="J51" i="60" s="1"/>
  <c r="P51" i="60" s="1"/>
  <c r="R51" i="60" s="1"/>
  <c r="G30" i="60"/>
  <c r="F19" i="52"/>
  <c r="H19" i="52" s="1"/>
  <c r="F18" i="52"/>
  <c r="H18" i="52" s="1"/>
  <c r="G18" i="52"/>
  <c r="G19" i="52"/>
  <c r="F18" i="60"/>
  <c r="H18" i="60" s="1"/>
  <c r="F19" i="60"/>
  <c r="H19" i="60" s="1"/>
  <c r="O47" i="53"/>
  <c r="G30" i="54"/>
  <c r="F30" i="54"/>
  <c r="H30" i="54" s="1"/>
  <c r="O30" i="54"/>
  <c r="F46" i="1"/>
  <c r="H46" i="1" s="1"/>
  <c r="O46" i="1"/>
  <c r="F51" i="53"/>
  <c r="H51" i="53" s="1"/>
  <c r="O50" i="53"/>
  <c r="F50" i="53"/>
  <c r="H50" i="53" s="1"/>
  <c r="I50" i="53"/>
  <c r="F45" i="53"/>
  <c r="H45" i="53" s="1"/>
  <c r="O45" i="53"/>
  <c r="I46" i="53"/>
  <c r="J46" i="53" s="1"/>
  <c r="S54" i="53"/>
  <c r="O48" i="53"/>
  <c r="I48" i="53"/>
  <c r="F53" i="51"/>
  <c r="H53" i="51" s="1"/>
  <c r="G50" i="56"/>
  <c r="I50" i="56" s="1"/>
  <c r="J50" i="56" s="1"/>
  <c r="G17" i="56"/>
  <c r="F34" i="60"/>
  <c r="H34" i="60" s="1"/>
  <c r="F32" i="66"/>
  <c r="H32" i="66" s="1"/>
  <c r="G38" i="63"/>
  <c r="F51" i="56"/>
  <c r="H51" i="56" s="1"/>
  <c r="G47" i="53"/>
  <c r="O15" i="58" l="1"/>
  <c r="O16" i="59"/>
  <c r="O15" i="59"/>
  <c r="O23" i="56"/>
  <c r="M37" i="61"/>
  <c r="N37" i="61" s="1"/>
  <c r="O16" i="64"/>
  <c r="O16" i="63"/>
  <c r="O17" i="49"/>
  <c r="F21" i="65"/>
  <c r="H21" i="65" s="1"/>
  <c r="F18" i="57"/>
  <c r="H18" i="57" s="1"/>
  <c r="O15" i="63"/>
  <c r="G22" i="59"/>
  <c r="O38" i="56"/>
  <c r="F38" i="56"/>
  <c r="H38" i="56" s="1"/>
  <c r="M30" i="56"/>
  <c r="N30" i="56" s="1"/>
  <c r="F34" i="1"/>
  <c r="H34" i="1" s="1"/>
  <c r="F31" i="52"/>
  <c r="H31" i="52" s="1"/>
  <c r="O32" i="58"/>
  <c r="M30" i="55"/>
  <c r="N30" i="55" s="1"/>
  <c r="G32" i="60"/>
  <c r="G35" i="52"/>
  <c r="G33" i="1"/>
  <c r="G37" i="57"/>
  <c r="O37" i="51"/>
  <c r="O30" i="63"/>
  <c r="G37" i="56"/>
  <c r="G46" i="51"/>
  <c r="I46" i="51" s="1"/>
  <c r="J46" i="51" s="1"/>
  <c r="P46" i="51" s="1"/>
  <c r="F21" i="58"/>
  <c r="H21" i="58" s="1"/>
  <c r="J50" i="59"/>
  <c r="J48" i="56"/>
  <c r="J48" i="53"/>
  <c r="F36" i="60"/>
  <c r="H36" i="60" s="1"/>
  <c r="F37" i="56"/>
  <c r="H37" i="56" s="1"/>
  <c r="F35" i="60"/>
  <c r="H35" i="60" s="1"/>
  <c r="F18" i="58"/>
  <c r="H18" i="58" s="1"/>
  <c r="M31" i="58"/>
  <c r="N31" i="58" s="1"/>
  <c r="G20" i="58"/>
  <c r="G19" i="58"/>
  <c r="M48" i="56"/>
  <c r="N48" i="56" s="1"/>
  <c r="O48" i="56" s="1"/>
  <c r="P48" i="56" s="1"/>
  <c r="G18" i="58"/>
  <c r="G21" i="58"/>
  <c r="P50" i="60"/>
  <c r="R50" i="60" s="1"/>
  <c r="G30" i="63"/>
  <c r="F35" i="52"/>
  <c r="H35" i="52" s="1"/>
  <c r="G31" i="60"/>
  <c r="F34" i="53"/>
  <c r="H34" i="53" s="1"/>
  <c r="F33" i="53"/>
  <c r="H33" i="53" s="1"/>
  <c r="G36" i="52"/>
  <c r="M38" i="56"/>
  <c r="N38" i="56" s="1"/>
  <c r="I31" i="62"/>
  <c r="F33" i="1"/>
  <c r="H33" i="1" s="1"/>
  <c r="M31" i="48"/>
  <c r="N31" i="48" s="1"/>
  <c r="I15" i="67"/>
  <c r="S54" i="63"/>
  <c r="T45" i="63" s="1"/>
  <c r="M31" i="55"/>
  <c r="N31" i="55" s="1"/>
  <c r="O31" i="55" s="1"/>
  <c r="M37" i="62"/>
  <c r="N37" i="62" s="1"/>
  <c r="I20" i="67"/>
  <c r="M38" i="66"/>
  <c r="N38" i="66" s="1"/>
  <c r="O18" i="67"/>
  <c r="G18" i="67"/>
  <c r="I21" i="67"/>
  <c r="M38" i="67"/>
  <c r="N38" i="67" s="1"/>
  <c r="M38" i="55"/>
  <c r="N38" i="55" s="1"/>
  <c r="O38" i="55" s="1"/>
  <c r="F18" i="67"/>
  <c r="H18" i="67" s="1"/>
  <c r="G23" i="1"/>
  <c r="I18" i="64"/>
  <c r="F22" i="64"/>
  <c r="H22" i="64" s="1"/>
  <c r="I22" i="64"/>
  <c r="G19" i="67"/>
  <c r="O16" i="50"/>
  <c r="G16" i="65"/>
  <c r="O16" i="52"/>
  <c r="F16" i="52"/>
  <c r="H16" i="52" s="1"/>
  <c r="O20" i="64"/>
  <c r="F16" i="50"/>
  <c r="H16" i="50" s="1"/>
  <c r="M38" i="60"/>
  <c r="N38" i="60" s="1"/>
  <c r="M38" i="52"/>
  <c r="N38" i="52" s="1"/>
  <c r="I16" i="67"/>
  <c r="J16" i="67" s="1"/>
  <c r="F15" i="63"/>
  <c r="H15" i="63" s="1"/>
  <c r="G15" i="63"/>
  <c r="F16" i="57"/>
  <c r="H16" i="57" s="1"/>
  <c r="F21" i="64"/>
  <c r="H21" i="64" s="1"/>
  <c r="O22" i="54"/>
  <c r="F16" i="1"/>
  <c r="H16" i="1" s="1"/>
  <c r="I17" i="64"/>
  <c r="J17" i="64" s="1"/>
  <c r="P17" i="64" s="1"/>
  <c r="F22" i="54"/>
  <c r="H22" i="54" s="1"/>
  <c r="F20" i="64"/>
  <c r="H20" i="64" s="1"/>
  <c r="S24" i="64"/>
  <c r="O15" i="1"/>
  <c r="M31" i="67"/>
  <c r="N31" i="67" s="1"/>
  <c r="G16" i="1"/>
  <c r="F15" i="48"/>
  <c r="H15" i="48" s="1"/>
  <c r="G17" i="65"/>
  <c r="M37" i="49"/>
  <c r="N37" i="49" s="1"/>
  <c r="O17" i="66"/>
  <c r="M52" i="51"/>
  <c r="N52" i="51" s="1"/>
  <c r="O52" i="51" s="1"/>
  <c r="F19" i="53"/>
  <c r="H19" i="53" s="1"/>
  <c r="O22" i="65"/>
  <c r="F22" i="60"/>
  <c r="H22" i="60" s="1"/>
  <c r="O22" i="64"/>
  <c r="M31" i="1"/>
  <c r="N31" i="1" s="1"/>
  <c r="M31" i="64"/>
  <c r="N31" i="64" s="1"/>
  <c r="O22" i="60"/>
  <c r="M37" i="51"/>
  <c r="N37" i="51" s="1"/>
  <c r="O38" i="62"/>
  <c r="I51" i="51"/>
  <c r="J51" i="51" s="1"/>
  <c r="P51" i="51" s="1"/>
  <c r="G32" i="65"/>
  <c r="G34" i="58"/>
  <c r="I36" i="62"/>
  <c r="G37" i="51"/>
  <c r="M35" i="49"/>
  <c r="N36" i="49" s="1"/>
  <c r="I48" i="57"/>
  <c r="J48" i="57" s="1"/>
  <c r="M33" i="49"/>
  <c r="G16" i="63"/>
  <c r="O32" i="50"/>
  <c r="O23" i="62"/>
  <c r="O17" i="52"/>
  <c r="J46" i="59"/>
  <c r="P45" i="60"/>
  <c r="R45" i="60" s="1"/>
  <c r="O35" i="67"/>
  <c r="P46" i="53"/>
  <c r="J16" i="64"/>
  <c r="I50" i="51"/>
  <c r="J50" i="51" s="1"/>
  <c r="N21" i="54"/>
  <c r="M37" i="66"/>
  <c r="N37" i="66" s="1"/>
  <c r="M32" i="62"/>
  <c r="N32" i="62" s="1"/>
  <c r="O32" i="62" s="1"/>
  <c r="G19" i="59"/>
  <c r="F30" i="66"/>
  <c r="H30" i="66" s="1"/>
  <c r="I53" i="51"/>
  <c r="J53" i="51" s="1"/>
  <c r="O30" i="64"/>
  <c r="O52" i="57"/>
  <c r="G18" i="59"/>
  <c r="F20" i="66"/>
  <c r="H20" i="66" s="1"/>
  <c r="J33" i="61"/>
  <c r="P33" i="61" s="1"/>
  <c r="F45" i="51"/>
  <c r="H45" i="51" s="1"/>
  <c r="I38" i="65"/>
  <c r="J38" i="65" s="1"/>
  <c r="F31" i="63"/>
  <c r="H31" i="63" s="1"/>
  <c r="I47" i="1"/>
  <c r="J47" i="1" s="1"/>
  <c r="J46" i="58"/>
  <c r="P46" i="58" s="1"/>
  <c r="F21" i="1"/>
  <c r="H21" i="1" s="1"/>
  <c r="M30" i="63"/>
  <c r="N30" i="63" s="1"/>
  <c r="M35" i="61"/>
  <c r="N36" i="61" s="1"/>
  <c r="F18" i="59"/>
  <c r="H18" i="59" s="1"/>
  <c r="M50" i="56"/>
  <c r="N50" i="56" s="1"/>
  <c r="O50" i="56" s="1"/>
  <c r="P50" i="56" s="1"/>
  <c r="M37" i="48"/>
  <c r="N37" i="48" s="1"/>
  <c r="G20" i="1"/>
  <c r="G45" i="51"/>
  <c r="I45" i="51" s="1"/>
  <c r="J45" i="51" s="1"/>
  <c r="G35" i="64"/>
  <c r="I35" i="64" s="1"/>
  <c r="J35" i="64" s="1"/>
  <c r="I32" i="62"/>
  <c r="J32" i="62" s="1"/>
  <c r="F20" i="1"/>
  <c r="H20" i="1" s="1"/>
  <c r="M47" i="64"/>
  <c r="N47" i="64" s="1"/>
  <c r="G31" i="49"/>
  <c r="G22" i="1"/>
  <c r="F30" i="64"/>
  <c r="H30" i="64" s="1"/>
  <c r="G31" i="63"/>
  <c r="P46" i="59"/>
  <c r="J30" i="59"/>
  <c r="P30" i="59" s="1"/>
  <c r="F37" i="53"/>
  <c r="H37" i="53" s="1"/>
  <c r="O17" i="53"/>
  <c r="O16" i="55"/>
  <c r="I49" i="51"/>
  <c r="J49" i="51" s="1"/>
  <c r="P49" i="51" s="1"/>
  <c r="M37" i="58"/>
  <c r="N37" i="58" s="1"/>
  <c r="I48" i="51"/>
  <c r="J48" i="51" s="1"/>
  <c r="O31" i="49"/>
  <c r="M30" i="53"/>
  <c r="N30" i="53" s="1"/>
  <c r="F16" i="62"/>
  <c r="H16" i="62" s="1"/>
  <c r="O37" i="53"/>
  <c r="I47" i="51"/>
  <c r="J47" i="51" s="1"/>
  <c r="G18" i="60"/>
  <c r="J49" i="56"/>
  <c r="P49" i="56" s="1"/>
  <c r="F16" i="63"/>
  <c r="H16" i="63" s="1"/>
  <c r="P47" i="58"/>
  <c r="O37" i="65"/>
  <c r="G31" i="55"/>
  <c r="F37" i="63"/>
  <c r="H37" i="63" s="1"/>
  <c r="G20" i="66"/>
  <c r="J53" i="58"/>
  <c r="P53" i="58" s="1"/>
  <c r="G30" i="57"/>
  <c r="I30" i="57" s="1"/>
  <c r="O18" i="54"/>
  <c r="F35" i="67"/>
  <c r="H35" i="67" s="1"/>
  <c r="I31" i="59"/>
  <c r="J31" i="59" s="1"/>
  <c r="P31" i="59" s="1"/>
  <c r="F19" i="64"/>
  <c r="H19" i="64" s="1"/>
  <c r="O15" i="61"/>
  <c r="J50" i="61"/>
  <c r="P50" i="61" s="1"/>
  <c r="F47" i="57"/>
  <c r="H47" i="57" s="1"/>
  <c r="O45" i="57"/>
  <c r="P45" i="57" s="1"/>
  <c r="O23" i="65"/>
  <c r="I51" i="1"/>
  <c r="J45" i="64"/>
  <c r="G20" i="57"/>
  <c r="M31" i="49"/>
  <c r="N31" i="49" s="1"/>
  <c r="I21" i="64"/>
  <c r="F18" i="64"/>
  <c r="H18" i="64" s="1"/>
  <c r="S24" i="67"/>
  <c r="G19" i="64"/>
  <c r="I19" i="64" s="1"/>
  <c r="F23" i="56"/>
  <c r="H23" i="56" s="1"/>
  <c r="S24" i="54"/>
  <c r="G20" i="50"/>
  <c r="I46" i="57"/>
  <c r="J46" i="57" s="1"/>
  <c r="O16" i="67"/>
  <c r="O16" i="61"/>
  <c r="F21" i="50"/>
  <c r="H21" i="50" s="1"/>
  <c r="I22" i="67"/>
  <c r="J22" i="67" s="1"/>
  <c r="P22" i="67" s="1"/>
  <c r="R22" i="67" s="1"/>
  <c r="F15" i="49"/>
  <c r="H15" i="49" s="1"/>
  <c r="O47" i="57"/>
  <c r="M35" i="55"/>
  <c r="N36" i="55" s="1"/>
  <c r="I23" i="67"/>
  <c r="J23" i="67" s="1"/>
  <c r="I15" i="56"/>
  <c r="J15" i="56" s="1"/>
  <c r="P15" i="56" s="1"/>
  <c r="R15" i="56" s="1"/>
  <c r="R24" i="56" s="1"/>
  <c r="F22" i="66"/>
  <c r="H22" i="66" s="1"/>
  <c r="I49" i="57"/>
  <c r="J49" i="57" s="1"/>
  <c r="P49" i="57" s="1"/>
  <c r="F16" i="56"/>
  <c r="H16" i="56" s="1"/>
  <c r="O46" i="57"/>
  <c r="O53" i="57"/>
  <c r="I53" i="57"/>
  <c r="J53" i="57" s="1"/>
  <c r="G16" i="56"/>
  <c r="F17" i="66"/>
  <c r="H17" i="66" s="1"/>
  <c r="F15" i="60"/>
  <c r="H15" i="60" s="1"/>
  <c r="G15" i="60"/>
  <c r="I15" i="60" s="1"/>
  <c r="O23" i="67"/>
  <c r="F17" i="55"/>
  <c r="H17" i="55" s="1"/>
  <c r="I51" i="57"/>
  <c r="J51" i="57" s="1"/>
  <c r="P51" i="57" s="1"/>
  <c r="I52" i="57"/>
  <c r="J52" i="57" s="1"/>
  <c r="O15" i="67"/>
  <c r="I50" i="57"/>
  <c r="J50" i="57" s="1"/>
  <c r="G47" i="57"/>
  <c r="I47" i="57" s="1"/>
  <c r="F15" i="67"/>
  <c r="H15" i="67" s="1"/>
  <c r="M31" i="51"/>
  <c r="N31" i="51" s="1"/>
  <c r="I18" i="1"/>
  <c r="I31" i="49"/>
  <c r="J31" i="49" s="1"/>
  <c r="F18" i="53"/>
  <c r="H18" i="53" s="1"/>
  <c r="J52" i="59"/>
  <c r="P52" i="59" s="1"/>
  <c r="M33" i="55"/>
  <c r="N34" i="55" s="1"/>
  <c r="I15" i="64"/>
  <c r="J15" i="64" s="1"/>
  <c r="P15" i="64" s="1"/>
  <c r="J50" i="58"/>
  <c r="O30" i="66"/>
  <c r="O35" i="63"/>
  <c r="P45" i="59"/>
  <c r="O23" i="64"/>
  <c r="P45" i="58"/>
  <c r="G36" i="64"/>
  <c r="J45" i="53"/>
  <c r="P45" i="53" s="1"/>
  <c r="G37" i="52"/>
  <c r="I21" i="57"/>
  <c r="J21" i="57" s="1"/>
  <c r="P21" i="57" s="1"/>
  <c r="G16" i="49"/>
  <c r="I16" i="49" s="1"/>
  <c r="I20" i="64"/>
  <c r="M37" i="1"/>
  <c r="N37" i="1" s="1"/>
  <c r="O37" i="1" s="1"/>
  <c r="I18" i="58"/>
  <c r="I23" i="48"/>
  <c r="G21" i="49"/>
  <c r="I21" i="49" s="1"/>
  <c r="J21" i="49" s="1"/>
  <c r="P21" i="49" s="1"/>
  <c r="J53" i="59"/>
  <c r="G34" i="51"/>
  <c r="I34" i="51" s="1"/>
  <c r="J34" i="51" s="1"/>
  <c r="P34" i="51" s="1"/>
  <c r="F23" i="62"/>
  <c r="H23" i="62" s="1"/>
  <c r="M38" i="1"/>
  <c r="N38" i="1" s="1"/>
  <c r="F33" i="51"/>
  <c r="H33" i="51" s="1"/>
  <c r="J49" i="62"/>
  <c r="P49" i="62" s="1"/>
  <c r="I34" i="59"/>
  <c r="J34" i="59" s="1"/>
  <c r="P34" i="59" s="1"/>
  <c r="M30" i="60"/>
  <c r="N30" i="60" s="1"/>
  <c r="O30" i="60" s="1"/>
  <c r="I19" i="56"/>
  <c r="M50" i="64"/>
  <c r="N50" i="64" s="1"/>
  <c r="O31" i="67"/>
  <c r="I46" i="1"/>
  <c r="G16" i="55"/>
  <c r="I16" i="55" s="1"/>
  <c r="J16" i="55" s="1"/>
  <c r="O52" i="1"/>
  <c r="G23" i="64"/>
  <c r="I23" i="64" s="1"/>
  <c r="J23" i="64" s="1"/>
  <c r="P53" i="60"/>
  <c r="R53" i="60" s="1"/>
  <c r="G20" i="52"/>
  <c r="I20" i="52" s="1"/>
  <c r="M53" i="64"/>
  <c r="N53" i="64" s="1"/>
  <c r="M30" i="48"/>
  <c r="N30" i="48" s="1"/>
  <c r="O30" i="48" s="1"/>
  <c r="I23" i="56"/>
  <c r="M38" i="57"/>
  <c r="N38" i="57" s="1"/>
  <c r="G31" i="50"/>
  <c r="J51" i="1"/>
  <c r="P51" i="1" s="1"/>
  <c r="F15" i="55"/>
  <c r="H15" i="55" s="1"/>
  <c r="G21" i="63"/>
  <c r="F19" i="56"/>
  <c r="H19" i="56" s="1"/>
  <c r="O31" i="50"/>
  <c r="I21" i="62"/>
  <c r="G21" i="52"/>
  <c r="I21" i="52" s="1"/>
  <c r="J21" i="52" s="1"/>
  <c r="P21" i="52" s="1"/>
  <c r="M37" i="59"/>
  <c r="N37" i="59" s="1"/>
  <c r="I20" i="56"/>
  <c r="J20" i="56" s="1"/>
  <c r="P20" i="56" s="1"/>
  <c r="P47" i="64"/>
  <c r="G36" i="65"/>
  <c r="I17" i="63"/>
  <c r="J17" i="63" s="1"/>
  <c r="M31" i="60"/>
  <c r="N31" i="60" s="1"/>
  <c r="O31" i="60" s="1"/>
  <c r="I22" i="62"/>
  <c r="I20" i="59"/>
  <c r="J20" i="59" s="1"/>
  <c r="F20" i="52"/>
  <c r="H20" i="52" s="1"/>
  <c r="I16" i="48"/>
  <c r="J16" i="48" s="1"/>
  <c r="P16" i="48" s="1"/>
  <c r="M32" i="54"/>
  <c r="N32" i="54" s="1"/>
  <c r="I22" i="56"/>
  <c r="J22" i="56" s="1"/>
  <c r="P22" i="56" s="1"/>
  <c r="F16" i="51"/>
  <c r="H16" i="51" s="1"/>
  <c r="G20" i="63"/>
  <c r="G19" i="56"/>
  <c r="F18" i="56"/>
  <c r="H18" i="56" s="1"/>
  <c r="O38" i="66"/>
  <c r="P45" i="62"/>
  <c r="F15" i="50"/>
  <c r="H15" i="50" s="1"/>
  <c r="M30" i="58"/>
  <c r="N30" i="58" s="1"/>
  <c r="M33" i="60"/>
  <c r="N33" i="60" s="1"/>
  <c r="O33" i="60" s="1"/>
  <c r="F20" i="49"/>
  <c r="H20" i="49" s="1"/>
  <c r="I16" i="56"/>
  <c r="I34" i="62"/>
  <c r="J34" i="62" s="1"/>
  <c r="P34" i="62" s="1"/>
  <c r="G35" i="67"/>
  <c r="O35" i="64"/>
  <c r="J50" i="64"/>
  <c r="O15" i="55"/>
  <c r="I16" i="57"/>
  <c r="J16" i="57" s="1"/>
  <c r="S24" i="56"/>
  <c r="I36" i="60"/>
  <c r="I18" i="56"/>
  <c r="F32" i="49"/>
  <c r="H32" i="49" s="1"/>
  <c r="G34" i="48"/>
  <c r="O32" i="67"/>
  <c r="I35" i="57"/>
  <c r="J35" i="57" s="1"/>
  <c r="F22" i="58"/>
  <c r="H22" i="58" s="1"/>
  <c r="G16" i="66"/>
  <c r="O22" i="55"/>
  <c r="M33" i="59"/>
  <c r="N33" i="59" s="1"/>
  <c r="O33" i="59" s="1"/>
  <c r="M37" i="54"/>
  <c r="N37" i="54" s="1"/>
  <c r="G20" i="49"/>
  <c r="I20" i="49" s="1"/>
  <c r="I17" i="56"/>
  <c r="J17" i="56" s="1"/>
  <c r="P17" i="56" s="1"/>
  <c r="I31" i="65"/>
  <c r="J31" i="65" s="1"/>
  <c r="I37" i="62"/>
  <c r="J37" i="62" s="1"/>
  <c r="G32" i="49"/>
  <c r="F33" i="48"/>
  <c r="H33" i="48" s="1"/>
  <c r="J45" i="61"/>
  <c r="P45" i="61" s="1"/>
  <c r="O38" i="67"/>
  <c r="I21" i="56"/>
  <c r="J21" i="56" s="1"/>
  <c r="P21" i="56" s="1"/>
  <c r="O16" i="51"/>
  <c r="G33" i="48"/>
  <c r="G23" i="65"/>
  <c r="I23" i="65" s="1"/>
  <c r="F32" i="53"/>
  <c r="H32" i="53" s="1"/>
  <c r="P48" i="58"/>
  <c r="F30" i="57"/>
  <c r="H30" i="57" s="1"/>
  <c r="F23" i="65"/>
  <c r="H23" i="65" s="1"/>
  <c r="P53" i="53"/>
  <c r="N21" i="62"/>
  <c r="G21" i="60"/>
  <c r="I21" i="60" s="1"/>
  <c r="P46" i="64"/>
  <c r="F31" i="55"/>
  <c r="H31" i="55" s="1"/>
  <c r="G34" i="66"/>
  <c r="F21" i="60"/>
  <c r="H21" i="60" s="1"/>
  <c r="G33" i="66"/>
  <c r="M30" i="49"/>
  <c r="N30" i="49" s="1"/>
  <c r="O30" i="49" s="1"/>
  <c r="G20" i="60"/>
  <c r="P50" i="58"/>
  <c r="F33" i="66"/>
  <c r="H33" i="66" s="1"/>
  <c r="J34" i="61"/>
  <c r="P34" i="61" s="1"/>
  <c r="M33" i="65"/>
  <c r="N34" i="65" s="1"/>
  <c r="M30" i="62"/>
  <c r="N30" i="62" s="1"/>
  <c r="O30" i="62" s="1"/>
  <c r="J53" i="56"/>
  <c r="P53" i="56" s="1"/>
  <c r="J49" i="60"/>
  <c r="P49" i="60" s="1"/>
  <c r="R49" i="60" s="1"/>
  <c r="N49" i="1"/>
  <c r="I21" i="61"/>
  <c r="J21" i="61" s="1"/>
  <c r="P21" i="61" s="1"/>
  <c r="M35" i="64"/>
  <c r="I19" i="53"/>
  <c r="I17" i="51"/>
  <c r="G16" i="53"/>
  <c r="I16" i="53" s="1"/>
  <c r="J16" i="53" s="1"/>
  <c r="M33" i="66"/>
  <c r="N33" i="66" s="1"/>
  <c r="O33" i="66" s="1"/>
  <c r="O16" i="53"/>
  <c r="O16" i="58"/>
  <c r="G16" i="58"/>
  <c r="F16" i="58"/>
  <c r="H16" i="58" s="1"/>
  <c r="M33" i="54"/>
  <c r="N34" i="54" s="1"/>
  <c r="G20" i="61"/>
  <c r="I23" i="49"/>
  <c r="M32" i="60"/>
  <c r="N32" i="60" s="1"/>
  <c r="O32" i="60" s="1"/>
  <c r="P48" i="64"/>
  <c r="F20" i="54"/>
  <c r="H20" i="54" s="1"/>
  <c r="F22" i="50"/>
  <c r="H22" i="50" s="1"/>
  <c r="F20" i="62"/>
  <c r="H20" i="62" s="1"/>
  <c r="I22" i="61"/>
  <c r="J22" i="61" s="1"/>
  <c r="P22" i="61" s="1"/>
  <c r="M31" i="57"/>
  <c r="N31" i="57" s="1"/>
  <c r="O31" i="57" s="1"/>
  <c r="M35" i="59"/>
  <c r="N36" i="59" s="1"/>
  <c r="O22" i="1"/>
  <c r="M52" i="64"/>
  <c r="N52" i="64" s="1"/>
  <c r="O22" i="66"/>
  <c r="F20" i="61"/>
  <c r="H20" i="61" s="1"/>
  <c r="O16" i="54"/>
  <c r="O20" i="54"/>
  <c r="F21" i="62"/>
  <c r="H21" i="62" s="1"/>
  <c r="I17" i="61"/>
  <c r="J17" i="61" s="1"/>
  <c r="I20" i="1"/>
  <c r="O20" i="61"/>
  <c r="F16" i="54"/>
  <c r="H16" i="54" s="1"/>
  <c r="G18" i="63"/>
  <c r="F19" i="51"/>
  <c r="H19" i="51" s="1"/>
  <c r="F18" i="51"/>
  <c r="H18" i="51" s="1"/>
  <c r="I15" i="61"/>
  <c r="M38" i="59"/>
  <c r="N38" i="59" s="1"/>
  <c r="G21" i="61"/>
  <c r="G20" i="54"/>
  <c r="S24" i="61"/>
  <c r="M32" i="51"/>
  <c r="N32" i="51" s="1"/>
  <c r="F18" i="1"/>
  <c r="H18" i="1" s="1"/>
  <c r="G19" i="63"/>
  <c r="F21" i="54"/>
  <c r="H21" i="54" s="1"/>
  <c r="S24" i="63"/>
  <c r="O23" i="1"/>
  <c r="G23" i="63"/>
  <c r="I19" i="62"/>
  <c r="J19" i="62" s="1"/>
  <c r="P19" i="62" s="1"/>
  <c r="O17" i="1"/>
  <c r="M32" i="66"/>
  <c r="N32" i="66" s="1"/>
  <c r="M37" i="56"/>
  <c r="N37" i="56" s="1"/>
  <c r="G19" i="1"/>
  <c r="I19" i="1" s="1"/>
  <c r="F15" i="61"/>
  <c r="H15" i="61" s="1"/>
  <c r="I15" i="1"/>
  <c r="J15" i="1" s="1"/>
  <c r="P15" i="1" s="1"/>
  <c r="G18" i="66"/>
  <c r="I18" i="66" s="1"/>
  <c r="J18" i="66" s="1"/>
  <c r="I20" i="61"/>
  <c r="I16" i="1"/>
  <c r="F19" i="1"/>
  <c r="H19" i="1" s="1"/>
  <c r="I18" i="67"/>
  <c r="O15" i="66"/>
  <c r="I17" i="1"/>
  <c r="J17" i="1" s="1"/>
  <c r="F23" i="63"/>
  <c r="H23" i="63" s="1"/>
  <c r="I22" i="1"/>
  <c r="J22" i="1" s="1"/>
  <c r="I16" i="62"/>
  <c r="J16" i="62" s="1"/>
  <c r="I15" i="62"/>
  <c r="J15" i="62" s="1"/>
  <c r="O23" i="55"/>
  <c r="I22" i="63"/>
  <c r="J22" i="63" s="1"/>
  <c r="I21" i="1"/>
  <c r="F17" i="67"/>
  <c r="H17" i="67" s="1"/>
  <c r="M38" i="64"/>
  <c r="N38" i="64" s="1"/>
  <c r="O23" i="49"/>
  <c r="M31" i="59"/>
  <c r="N31" i="59" s="1"/>
  <c r="F22" i="52"/>
  <c r="H22" i="52" s="1"/>
  <c r="G22" i="52"/>
  <c r="I22" i="52" s="1"/>
  <c r="O22" i="52"/>
  <c r="N21" i="59"/>
  <c r="N20" i="59"/>
  <c r="O20" i="59" s="1"/>
  <c r="M30" i="59"/>
  <c r="N30" i="59" s="1"/>
  <c r="F22" i="65"/>
  <c r="H22" i="65" s="1"/>
  <c r="O15" i="49"/>
  <c r="F23" i="49"/>
  <c r="H23" i="49" s="1"/>
  <c r="N21" i="48"/>
  <c r="M32" i="48"/>
  <c r="N32" i="48" s="1"/>
  <c r="O17" i="67"/>
  <c r="G15" i="51"/>
  <c r="I15" i="51" s="1"/>
  <c r="J15" i="51" s="1"/>
  <c r="I16" i="51"/>
  <c r="M37" i="67"/>
  <c r="N37" i="67" s="1"/>
  <c r="M35" i="66"/>
  <c r="N35" i="66" s="1"/>
  <c r="O35" i="66" s="1"/>
  <c r="F20" i="55"/>
  <c r="H20" i="55" s="1"/>
  <c r="G17" i="67"/>
  <c r="I17" i="67" s="1"/>
  <c r="O18" i="56"/>
  <c r="G18" i="56"/>
  <c r="F17" i="51"/>
  <c r="H17" i="51" s="1"/>
  <c r="J17" i="51" s="1"/>
  <c r="G17" i="49"/>
  <c r="I17" i="49" s="1"/>
  <c r="I22" i="55"/>
  <c r="J22" i="55" s="1"/>
  <c r="O16" i="62"/>
  <c r="G21" i="55"/>
  <c r="I21" i="55" s="1"/>
  <c r="J21" i="55" s="1"/>
  <c r="P21" i="55" s="1"/>
  <c r="G23" i="52"/>
  <c r="I23" i="52" s="1"/>
  <c r="J23" i="52" s="1"/>
  <c r="I22" i="53"/>
  <c r="J22" i="53" s="1"/>
  <c r="F17" i="49"/>
  <c r="H17" i="49" s="1"/>
  <c r="M35" i="57"/>
  <c r="N36" i="57" s="1"/>
  <c r="I19" i="67"/>
  <c r="J19" i="67" s="1"/>
  <c r="P19" i="67" s="1"/>
  <c r="R19" i="67" s="1"/>
  <c r="M32" i="59"/>
  <c r="N32" i="59" s="1"/>
  <c r="O32" i="59" s="1"/>
  <c r="I22" i="49"/>
  <c r="J22" i="49" s="1"/>
  <c r="P22" i="49" s="1"/>
  <c r="G20" i="55"/>
  <c r="I20" i="55" s="1"/>
  <c r="F23" i="59"/>
  <c r="H23" i="59" s="1"/>
  <c r="O23" i="59"/>
  <c r="O22" i="51"/>
  <c r="G18" i="53"/>
  <c r="I18" i="53" s="1"/>
  <c r="M48" i="51"/>
  <c r="N48" i="51" s="1"/>
  <c r="O48" i="51" s="1"/>
  <c r="P48" i="51" s="1"/>
  <c r="F32" i="67"/>
  <c r="H32" i="67" s="1"/>
  <c r="J47" i="60"/>
  <c r="P47" i="60" s="1"/>
  <c r="R47" i="60" s="1"/>
  <c r="G34" i="57"/>
  <c r="G36" i="67"/>
  <c r="I36" i="67" s="1"/>
  <c r="J36" i="67" s="1"/>
  <c r="P36" i="67" s="1"/>
  <c r="R36" i="67" s="1"/>
  <c r="G35" i="65"/>
  <c r="P52" i="58"/>
  <c r="G33" i="57"/>
  <c r="I33" i="57" s="1"/>
  <c r="F35" i="65"/>
  <c r="H35" i="65" s="1"/>
  <c r="M38" i="61"/>
  <c r="N38" i="61" s="1"/>
  <c r="O38" i="63"/>
  <c r="G48" i="1"/>
  <c r="I48" i="1" s="1"/>
  <c r="S24" i="49"/>
  <c r="G23" i="57"/>
  <c r="I23" i="57" s="1"/>
  <c r="J23" i="57" s="1"/>
  <c r="G38" i="59"/>
  <c r="I38" i="59" s="1"/>
  <c r="F38" i="59"/>
  <c r="H38" i="59" s="1"/>
  <c r="O38" i="59"/>
  <c r="G37" i="1"/>
  <c r="F37" i="1"/>
  <c r="H37" i="1" s="1"/>
  <c r="M35" i="65"/>
  <c r="N35" i="65" s="1"/>
  <c r="O35" i="65" s="1"/>
  <c r="M38" i="65"/>
  <c r="N38" i="65" s="1"/>
  <c r="O38" i="65" s="1"/>
  <c r="M35" i="62"/>
  <c r="O23" i="54"/>
  <c r="O47" i="1"/>
  <c r="P47" i="1" s="1"/>
  <c r="G34" i="56"/>
  <c r="O17" i="55"/>
  <c r="I17" i="55"/>
  <c r="M31" i="61"/>
  <c r="N31" i="61" s="1"/>
  <c r="G23" i="54"/>
  <c r="I35" i="59"/>
  <c r="J35" i="59" s="1"/>
  <c r="F36" i="64"/>
  <c r="H36" i="64" s="1"/>
  <c r="O37" i="57"/>
  <c r="M46" i="51"/>
  <c r="N46" i="51" s="1"/>
  <c r="I32" i="59"/>
  <c r="J32" i="59" s="1"/>
  <c r="F38" i="48"/>
  <c r="H38" i="48" s="1"/>
  <c r="G38" i="48"/>
  <c r="G35" i="66"/>
  <c r="J51" i="53"/>
  <c r="P51" i="53" s="1"/>
  <c r="J52" i="64"/>
  <c r="P52" i="64" s="1"/>
  <c r="F38" i="66"/>
  <c r="H38" i="66" s="1"/>
  <c r="I35" i="50"/>
  <c r="J35" i="50" s="1"/>
  <c r="I15" i="55"/>
  <c r="N35" i="52"/>
  <c r="I36" i="59"/>
  <c r="J36" i="59" s="1"/>
  <c r="P36" i="59" s="1"/>
  <c r="F33" i="57"/>
  <c r="H33" i="57" s="1"/>
  <c r="J46" i="1"/>
  <c r="P46" i="1" s="1"/>
  <c r="P48" i="53"/>
  <c r="P50" i="64"/>
  <c r="S39" i="59"/>
  <c r="J51" i="61"/>
  <c r="P51" i="61" s="1"/>
  <c r="I23" i="1"/>
  <c r="J23" i="1" s="1"/>
  <c r="G35" i="51"/>
  <c r="F35" i="51"/>
  <c r="H35" i="51" s="1"/>
  <c r="F36" i="51"/>
  <c r="H36" i="51" s="1"/>
  <c r="G38" i="52"/>
  <c r="O38" i="52"/>
  <c r="J49" i="61"/>
  <c r="P49" i="61" s="1"/>
  <c r="J33" i="59"/>
  <c r="G19" i="54"/>
  <c r="F36" i="61"/>
  <c r="H36" i="61" s="1"/>
  <c r="I21" i="59"/>
  <c r="J21" i="59" s="1"/>
  <c r="P21" i="59" s="1"/>
  <c r="M33" i="58"/>
  <c r="N34" i="58" s="1"/>
  <c r="M37" i="52"/>
  <c r="N37" i="52" s="1"/>
  <c r="O37" i="52" s="1"/>
  <c r="M35" i="54"/>
  <c r="N36" i="54" s="1"/>
  <c r="I37" i="60"/>
  <c r="J37" i="60" s="1"/>
  <c r="P37" i="60" s="1"/>
  <c r="R37" i="60" s="1"/>
  <c r="O35" i="56"/>
  <c r="F36" i="56"/>
  <c r="H36" i="56" s="1"/>
  <c r="G35" i="56"/>
  <c r="F35" i="56"/>
  <c r="H35" i="56" s="1"/>
  <c r="G36" i="56"/>
  <c r="I30" i="60"/>
  <c r="J30" i="60" s="1"/>
  <c r="J52" i="56"/>
  <c r="P52" i="56" s="1"/>
  <c r="P52" i="60"/>
  <c r="R52" i="60" s="1"/>
  <c r="I38" i="62"/>
  <c r="J38" i="62" s="1"/>
  <c r="P38" i="62" s="1"/>
  <c r="G36" i="61"/>
  <c r="G35" i="61"/>
  <c r="G22" i="65"/>
  <c r="I22" i="65" s="1"/>
  <c r="F19" i="50"/>
  <c r="H19" i="50" s="1"/>
  <c r="G35" i="63"/>
  <c r="I34" i="53"/>
  <c r="J34" i="53" s="1"/>
  <c r="P34" i="53" s="1"/>
  <c r="F19" i="54"/>
  <c r="H19" i="54" s="1"/>
  <c r="O35" i="61"/>
  <c r="J47" i="53"/>
  <c r="P47" i="53" s="1"/>
  <c r="M32" i="49"/>
  <c r="N32" i="49" s="1"/>
  <c r="M35" i="1"/>
  <c r="N36" i="1" s="1"/>
  <c r="O38" i="48"/>
  <c r="O22" i="62"/>
  <c r="G30" i="67"/>
  <c r="I30" i="67" s="1"/>
  <c r="F30" i="67"/>
  <c r="H30" i="67" s="1"/>
  <c r="I33" i="60"/>
  <c r="J33" i="60" s="1"/>
  <c r="F35" i="49"/>
  <c r="H35" i="49" s="1"/>
  <c r="G36" i="49"/>
  <c r="I36" i="49" s="1"/>
  <c r="F36" i="49"/>
  <c r="H36" i="49" s="1"/>
  <c r="J36" i="60"/>
  <c r="P36" i="60" s="1"/>
  <c r="R36" i="60" s="1"/>
  <c r="S39" i="61"/>
  <c r="M32" i="1"/>
  <c r="N32" i="1" s="1"/>
  <c r="O32" i="1" s="1"/>
  <c r="M32" i="65"/>
  <c r="N32" i="65" s="1"/>
  <c r="O32" i="65" s="1"/>
  <c r="M50" i="51"/>
  <c r="N51" i="51" s="1"/>
  <c r="I36" i="65"/>
  <c r="J36" i="65" s="1"/>
  <c r="P36" i="65" s="1"/>
  <c r="I33" i="65"/>
  <c r="J33" i="65" s="1"/>
  <c r="I32" i="65"/>
  <c r="J32" i="65" s="1"/>
  <c r="I30" i="65"/>
  <c r="J30" i="65" s="1"/>
  <c r="I37" i="65"/>
  <c r="J37" i="65" s="1"/>
  <c r="I35" i="65"/>
  <c r="S39" i="60"/>
  <c r="O32" i="52"/>
  <c r="F32" i="52"/>
  <c r="H32" i="52" s="1"/>
  <c r="G32" i="52"/>
  <c r="I34" i="65"/>
  <c r="J34" i="65" s="1"/>
  <c r="P34" i="65" s="1"/>
  <c r="I33" i="62"/>
  <c r="I37" i="61"/>
  <c r="J37" i="61" s="1"/>
  <c r="P37" i="61" s="1"/>
  <c r="F31" i="48"/>
  <c r="H31" i="48" s="1"/>
  <c r="O31" i="48"/>
  <c r="G31" i="48"/>
  <c r="I31" i="48" s="1"/>
  <c r="F38" i="55"/>
  <c r="H38" i="55" s="1"/>
  <c r="G38" i="55"/>
  <c r="I38" i="55" s="1"/>
  <c r="J53" i="64"/>
  <c r="P53" i="64" s="1"/>
  <c r="O37" i="62"/>
  <c r="P52" i="62"/>
  <c r="I36" i="61"/>
  <c r="O33" i="58"/>
  <c r="G33" i="58"/>
  <c r="I34" i="60"/>
  <c r="J34" i="60" s="1"/>
  <c r="P34" i="60" s="1"/>
  <c r="R34" i="60" s="1"/>
  <c r="I32" i="60"/>
  <c r="J32" i="60" s="1"/>
  <c r="G38" i="50"/>
  <c r="I38" i="50" s="1"/>
  <c r="F38" i="50"/>
  <c r="H38" i="50" s="1"/>
  <c r="J46" i="61"/>
  <c r="P46" i="61" s="1"/>
  <c r="I30" i="62"/>
  <c r="J30" i="62" s="1"/>
  <c r="O32" i="63"/>
  <c r="I22" i="50"/>
  <c r="I18" i="65"/>
  <c r="J18" i="65" s="1"/>
  <c r="I15" i="65"/>
  <c r="M30" i="65"/>
  <c r="N30" i="65" s="1"/>
  <c r="O30" i="65" s="1"/>
  <c r="M31" i="56"/>
  <c r="N31" i="56" s="1"/>
  <c r="O30" i="58"/>
  <c r="G30" i="58"/>
  <c r="I35" i="61"/>
  <c r="O31" i="65"/>
  <c r="I36" i="55"/>
  <c r="J36" i="55" s="1"/>
  <c r="P36" i="55" s="1"/>
  <c r="I37" i="55"/>
  <c r="J37" i="55" s="1"/>
  <c r="I31" i="55"/>
  <c r="I34" i="55"/>
  <c r="J34" i="55" s="1"/>
  <c r="P34" i="55" s="1"/>
  <c r="I35" i="55"/>
  <c r="J35" i="55" s="1"/>
  <c r="I33" i="55"/>
  <c r="J33" i="55" s="1"/>
  <c r="P33" i="55" s="1"/>
  <c r="S39" i="55"/>
  <c r="I31" i="60"/>
  <c r="J31" i="60" s="1"/>
  <c r="G30" i="56"/>
  <c r="O30" i="56"/>
  <c r="F30" i="56"/>
  <c r="H30" i="56" s="1"/>
  <c r="O37" i="48"/>
  <c r="G37" i="48"/>
  <c r="F37" i="48"/>
  <c r="H37" i="48" s="1"/>
  <c r="I32" i="61"/>
  <c r="J32" i="61" s="1"/>
  <c r="G33" i="50"/>
  <c r="P53" i="59"/>
  <c r="O33" i="56"/>
  <c r="O17" i="62"/>
  <c r="I19" i="65"/>
  <c r="I36" i="63"/>
  <c r="F38" i="52"/>
  <c r="H38" i="52" s="1"/>
  <c r="I20" i="62"/>
  <c r="P52" i="53"/>
  <c r="O23" i="53"/>
  <c r="I16" i="65"/>
  <c r="J16" i="65" s="1"/>
  <c r="I15" i="49"/>
  <c r="J15" i="49" s="1"/>
  <c r="I30" i="61"/>
  <c r="J30" i="61" s="1"/>
  <c r="P30" i="61" s="1"/>
  <c r="J33" i="62"/>
  <c r="G18" i="54"/>
  <c r="F35" i="66"/>
  <c r="H35" i="66" s="1"/>
  <c r="O37" i="50"/>
  <c r="I23" i="63"/>
  <c r="G37" i="64"/>
  <c r="F37" i="64"/>
  <c r="H37" i="64" s="1"/>
  <c r="P45" i="64"/>
  <c r="J48" i="61"/>
  <c r="P48" i="61" s="1"/>
  <c r="F34" i="50"/>
  <c r="H34" i="50" s="1"/>
  <c r="J35" i="62"/>
  <c r="J30" i="55"/>
  <c r="P30" i="55" s="1"/>
  <c r="M31" i="66"/>
  <c r="N31" i="66" s="1"/>
  <c r="J51" i="64"/>
  <c r="P51" i="64" s="1"/>
  <c r="G38" i="49"/>
  <c r="I38" i="49" s="1"/>
  <c r="F38" i="49"/>
  <c r="H38" i="49" s="1"/>
  <c r="O38" i="49"/>
  <c r="I38" i="61"/>
  <c r="J38" i="61" s="1"/>
  <c r="O32" i="61"/>
  <c r="P45" i="56"/>
  <c r="R45" i="56" s="1"/>
  <c r="R54" i="56" s="1"/>
  <c r="P47" i="59"/>
  <c r="F35" i="61"/>
  <c r="H35" i="61" s="1"/>
  <c r="M47" i="51"/>
  <c r="N47" i="51" s="1"/>
  <c r="O47" i="51" s="1"/>
  <c r="G35" i="60"/>
  <c r="I35" i="60" s="1"/>
  <c r="J35" i="60" s="1"/>
  <c r="I38" i="60"/>
  <c r="J38" i="60" s="1"/>
  <c r="P38" i="60" s="1"/>
  <c r="R38" i="60" s="1"/>
  <c r="F32" i="55"/>
  <c r="H32" i="55" s="1"/>
  <c r="G32" i="55"/>
  <c r="I32" i="55" s="1"/>
  <c r="J48" i="60"/>
  <c r="P48" i="60" s="1"/>
  <c r="R48" i="60" s="1"/>
  <c r="P53" i="62"/>
  <c r="I23" i="61"/>
  <c r="J23" i="61" s="1"/>
  <c r="P23" i="61" s="1"/>
  <c r="N19" i="1"/>
  <c r="N18" i="1"/>
  <c r="O18" i="1" s="1"/>
  <c r="N20" i="51"/>
  <c r="O20" i="51" s="1"/>
  <c r="N21" i="51"/>
  <c r="M35" i="50"/>
  <c r="N36" i="50" s="1"/>
  <c r="G19" i="61"/>
  <c r="O17" i="61"/>
  <c r="M35" i="56"/>
  <c r="N36" i="56" s="1"/>
  <c r="M30" i="51"/>
  <c r="N30" i="51" s="1"/>
  <c r="O30" i="51" s="1"/>
  <c r="M33" i="61"/>
  <c r="N51" i="62"/>
  <c r="N50" i="62"/>
  <c r="O50" i="62" s="1"/>
  <c r="P50" i="62" s="1"/>
  <c r="F17" i="48"/>
  <c r="H17" i="48" s="1"/>
  <c r="G17" i="48"/>
  <c r="I17" i="48" s="1"/>
  <c r="N19" i="62"/>
  <c r="N18" i="62"/>
  <c r="O18" i="62" s="1"/>
  <c r="I17" i="53"/>
  <c r="J17" i="53" s="1"/>
  <c r="I16" i="52"/>
  <c r="I18" i="62"/>
  <c r="J18" i="62" s="1"/>
  <c r="M30" i="66"/>
  <c r="N30" i="66" s="1"/>
  <c r="M33" i="53"/>
  <c r="N33" i="53" s="1"/>
  <c r="O33" i="53" s="1"/>
  <c r="M38" i="49"/>
  <c r="N38" i="49" s="1"/>
  <c r="O15" i="53"/>
  <c r="I21" i="50"/>
  <c r="J21" i="50" s="1"/>
  <c r="P21" i="50" s="1"/>
  <c r="M33" i="67"/>
  <c r="N34" i="67" s="1"/>
  <c r="O15" i="48"/>
  <c r="M35" i="63"/>
  <c r="N35" i="63" s="1"/>
  <c r="M37" i="53"/>
  <c r="N37" i="53" s="1"/>
  <c r="M46" i="64"/>
  <c r="N46" i="64" s="1"/>
  <c r="F15" i="65"/>
  <c r="H15" i="65" s="1"/>
  <c r="N49" i="64"/>
  <c r="M37" i="64"/>
  <c r="N37" i="64" s="1"/>
  <c r="M38" i="50"/>
  <c r="N38" i="50" s="1"/>
  <c r="O38" i="50" s="1"/>
  <c r="O23" i="50"/>
  <c r="I21" i="51"/>
  <c r="M31" i="62"/>
  <c r="N31" i="62" s="1"/>
  <c r="O31" i="62" s="1"/>
  <c r="O22" i="63"/>
  <c r="M32" i="58"/>
  <c r="N32" i="58" s="1"/>
  <c r="N21" i="53"/>
  <c r="N20" i="53"/>
  <c r="O20" i="53" s="1"/>
  <c r="M33" i="51"/>
  <c r="N34" i="51" s="1"/>
  <c r="N48" i="57"/>
  <c r="O48" i="57" s="1"/>
  <c r="N49" i="57"/>
  <c r="N19" i="57"/>
  <c r="N18" i="57"/>
  <c r="O18" i="57" s="1"/>
  <c r="F21" i="51"/>
  <c r="H21" i="51" s="1"/>
  <c r="G20" i="51"/>
  <c r="I20" i="51" s="1"/>
  <c r="J20" i="51" s="1"/>
  <c r="N50" i="57"/>
  <c r="O50" i="57" s="1"/>
  <c r="N51" i="57"/>
  <c r="I19" i="52"/>
  <c r="J19" i="52" s="1"/>
  <c r="P19" i="52" s="1"/>
  <c r="F16" i="60"/>
  <c r="H16" i="60" s="1"/>
  <c r="N49" i="62"/>
  <c r="N48" i="62"/>
  <c r="O48" i="62" s="1"/>
  <c r="P48" i="62" s="1"/>
  <c r="F18" i="49"/>
  <c r="H18" i="49" s="1"/>
  <c r="G19" i="49"/>
  <c r="I19" i="49" s="1"/>
  <c r="G18" i="49"/>
  <c r="I18" i="49" s="1"/>
  <c r="F19" i="49"/>
  <c r="H19" i="49" s="1"/>
  <c r="N33" i="64"/>
  <c r="O33" i="64" s="1"/>
  <c r="N34" i="64"/>
  <c r="F17" i="57"/>
  <c r="H17" i="57" s="1"/>
  <c r="G17" i="50"/>
  <c r="I17" i="50" s="1"/>
  <c r="G17" i="57"/>
  <c r="I17" i="57" s="1"/>
  <c r="J22" i="62"/>
  <c r="I19" i="50"/>
  <c r="I16" i="59"/>
  <c r="J16" i="59" s="1"/>
  <c r="P16" i="59" s="1"/>
  <c r="N20" i="61"/>
  <c r="N21" i="61"/>
  <c r="N20" i="52"/>
  <c r="O20" i="52" s="1"/>
  <c r="N21" i="52"/>
  <c r="O23" i="52"/>
  <c r="I18" i="52"/>
  <c r="J18" i="52" s="1"/>
  <c r="I15" i="52"/>
  <c r="J15" i="52" s="1"/>
  <c r="N18" i="54"/>
  <c r="N19" i="54"/>
  <c r="N18" i="49"/>
  <c r="O18" i="49" s="1"/>
  <c r="N19" i="49"/>
  <c r="M32" i="55"/>
  <c r="N32" i="55" s="1"/>
  <c r="O32" i="55" s="1"/>
  <c r="O16" i="57"/>
  <c r="P16" i="57" s="1"/>
  <c r="M33" i="63"/>
  <c r="O17" i="48"/>
  <c r="M32" i="52"/>
  <c r="N32" i="52" s="1"/>
  <c r="N18" i="63"/>
  <c r="N19" i="63"/>
  <c r="N19" i="64"/>
  <c r="N18" i="64"/>
  <c r="O18" i="64" s="1"/>
  <c r="M33" i="57"/>
  <c r="M30" i="50"/>
  <c r="N30" i="50" s="1"/>
  <c r="O30" i="50" s="1"/>
  <c r="I15" i="63"/>
  <c r="J15" i="63" s="1"/>
  <c r="P15" i="63" s="1"/>
  <c r="F23" i="51"/>
  <c r="H23" i="51" s="1"/>
  <c r="G23" i="51"/>
  <c r="I23" i="51" s="1"/>
  <c r="O15" i="60"/>
  <c r="I18" i="60"/>
  <c r="J18" i="60" s="1"/>
  <c r="S24" i="60"/>
  <c r="O17" i="60"/>
  <c r="I22" i="60"/>
  <c r="I23" i="60"/>
  <c r="J23" i="60" s="1"/>
  <c r="P23" i="60" s="1"/>
  <c r="R23" i="60" s="1"/>
  <c r="I16" i="60"/>
  <c r="O16" i="60"/>
  <c r="I20" i="60"/>
  <c r="J20" i="60" s="1"/>
  <c r="I19" i="60"/>
  <c r="J19" i="60" s="1"/>
  <c r="P19" i="60" s="1"/>
  <c r="R19" i="60" s="1"/>
  <c r="I17" i="60"/>
  <c r="J17" i="60" s="1"/>
  <c r="M35" i="67"/>
  <c r="N19" i="52"/>
  <c r="N18" i="52"/>
  <c r="O18" i="52" s="1"/>
  <c r="M45" i="51"/>
  <c r="N45" i="51" s="1"/>
  <c r="O45" i="51" s="1"/>
  <c r="N19" i="58"/>
  <c r="N18" i="58"/>
  <c r="O18" i="58" s="1"/>
  <c r="N48" i="65"/>
  <c r="O48" i="65" s="1"/>
  <c r="P48" i="65" s="1"/>
  <c r="P54" i="65" s="1"/>
  <c r="T45" i="65" s="1"/>
  <c r="U45" i="65" s="1"/>
  <c r="N49" i="65"/>
  <c r="O15" i="57"/>
  <c r="P52" i="51"/>
  <c r="G17" i="62"/>
  <c r="I17" i="62" s="1"/>
  <c r="F17" i="62"/>
  <c r="H17" i="62" s="1"/>
  <c r="M35" i="58"/>
  <c r="N50" i="59"/>
  <c r="O50" i="59" s="1"/>
  <c r="P50" i="59" s="1"/>
  <c r="N51" i="59"/>
  <c r="O22" i="58"/>
  <c r="I17" i="58"/>
  <c r="J17" i="58" s="1"/>
  <c r="P17" i="58" s="1"/>
  <c r="I22" i="58"/>
  <c r="J22" i="58" s="1"/>
  <c r="I19" i="58"/>
  <c r="J19" i="58" s="1"/>
  <c r="P19" i="58" s="1"/>
  <c r="I20" i="58"/>
  <c r="J20" i="58" s="1"/>
  <c r="I21" i="58"/>
  <c r="I23" i="58"/>
  <c r="J23" i="58" s="1"/>
  <c r="P23" i="58" s="1"/>
  <c r="I16" i="58"/>
  <c r="N21" i="60"/>
  <c r="N20" i="60"/>
  <c r="O20" i="60" s="1"/>
  <c r="N50" i="61"/>
  <c r="N51" i="61"/>
  <c r="N18" i="53"/>
  <c r="O18" i="53" s="1"/>
  <c r="N19" i="53"/>
  <c r="N19" i="59"/>
  <c r="N18" i="59"/>
  <c r="O18" i="59" s="1"/>
  <c r="N48" i="61"/>
  <c r="N49" i="61"/>
  <c r="M35" i="51"/>
  <c r="I15" i="48"/>
  <c r="J15" i="48" s="1"/>
  <c r="I18" i="59"/>
  <c r="O17" i="59"/>
  <c r="I22" i="59"/>
  <c r="J22" i="59" s="1"/>
  <c r="P22" i="59" s="1"/>
  <c r="S24" i="59"/>
  <c r="F17" i="59"/>
  <c r="H17" i="59" s="1"/>
  <c r="G17" i="59"/>
  <c r="I17" i="59" s="1"/>
  <c r="I19" i="59"/>
  <c r="J19" i="59" s="1"/>
  <c r="P19" i="59" s="1"/>
  <c r="N18" i="56"/>
  <c r="N19" i="56"/>
  <c r="N18" i="51"/>
  <c r="O18" i="51" s="1"/>
  <c r="N19" i="51"/>
  <c r="G22" i="57"/>
  <c r="I22" i="57" s="1"/>
  <c r="F22" i="57"/>
  <c r="H22" i="57" s="1"/>
  <c r="N18" i="61"/>
  <c r="N19" i="61"/>
  <c r="N21" i="66"/>
  <c r="N20" i="66"/>
  <c r="O20" i="66" s="1"/>
  <c r="M33" i="52"/>
  <c r="N36" i="48"/>
  <c r="N35" i="48"/>
  <c r="N48" i="59"/>
  <c r="O48" i="59" s="1"/>
  <c r="P48" i="59" s="1"/>
  <c r="N49" i="59"/>
  <c r="I16" i="50"/>
  <c r="N50" i="65"/>
  <c r="I19" i="51"/>
  <c r="I18" i="48"/>
  <c r="J18" i="48" s="1"/>
  <c r="N20" i="57"/>
  <c r="O20" i="57" s="1"/>
  <c r="N21" i="57"/>
  <c r="N19" i="60"/>
  <c r="N18" i="60"/>
  <c r="O18" i="60" s="1"/>
  <c r="G23" i="53"/>
  <c r="I23" i="53" s="1"/>
  <c r="F23" i="53"/>
  <c r="H23" i="53" s="1"/>
  <c r="O16" i="65"/>
  <c r="O15" i="65"/>
  <c r="I21" i="65"/>
  <c r="J21" i="65" s="1"/>
  <c r="P21" i="65" s="1"/>
  <c r="I20" i="65"/>
  <c r="J20" i="65" s="1"/>
  <c r="O17" i="65"/>
  <c r="M31" i="52"/>
  <c r="N31" i="52" s="1"/>
  <c r="F19" i="61"/>
  <c r="H19" i="61" s="1"/>
  <c r="I19" i="61"/>
  <c r="I18" i="61"/>
  <c r="J18" i="61" s="1"/>
  <c r="O18" i="61"/>
  <c r="I16" i="61"/>
  <c r="J16" i="61" s="1"/>
  <c r="P16" i="61" s="1"/>
  <c r="N20" i="55"/>
  <c r="O20" i="55" s="1"/>
  <c r="N21" i="55"/>
  <c r="M33" i="50"/>
  <c r="M32" i="61"/>
  <c r="N32" i="61" s="1"/>
  <c r="I21" i="63"/>
  <c r="O15" i="52"/>
  <c r="O22" i="57"/>
  <c r="O15" i="51"/>
  <c r="I23" i="62"/>
  <c r="J23" i="62" s="1"/>
  <c r="P23" i="62" s="1"/>
  <c r="O22" i="50"/>
  <c r="G19" i="66"/>
  <c r="I19" i="66" s="1"/>
  <c r="F19" i="66"/>
  <c r="H19" i="66" s="1"/>
  <c r="O23" i="66"/>
  <c r="I15" i="66"/>
  <c r="J15" i="66" s="1"/>
  <c r="I16" i="66"/>
  <c r="J16" i="66" s="1"/>
  <c r="S24" i="66"/>
  <c r="I17" i="66"/>
  <c r="J17" i="66" s="1"/>
  <c r="P17" i="66" s="1"/>
  <c r="I20" i="66"/>
  <c r="J20" i="66" s="1"/>
  <c r="O16" i="66"/>
  <c r="I21" i="66"/>
  <c r="J21" i="66" s="1"/>
  <c r="P21" i="66" s="1"/>
  <c r="I23" i="66"/>
  <c r="J23" i="66" s="1"/>
  <c r="I22" i="66"/>
  <c r="J22" i="66" s="1"/>
  <c r="N19" i="65"/>
  <c r="N18" i="65"/>
  <c r="O18" i="65" s="1"/>
  <c r="M35" i="53"/>
  <c r="F23" i="48"/>
  <c r="H23" i="48" s="1"/>
  <c r="J23" i="48" s="1"/>
  <c r="O23" i="48"/>
  <c r="N20" i="67"/>
  <c r="O20" i="67" s="1"/>
  <c r="N21" i="67"/>
  <c r="I23" i="55"/>
  <c r="J23" i="55" s="1"/>
  <c r="S24" i="55"/>
  <c r="M38" i="53"/>
  <c r="N38" i="53" s="1"/>
  <c r="O38" i="53" s="1"/>
  <c r="N19" i="66"/>
  <c r="N18" i="66"/>
  <c r="O18" i="66" s="1"/>
  <c r="M33" i="1"/>
  <c r="N21" i="65"/>
  <c r="N20" i="65"/>
  <c r="O20" i="65" s="1"/>
  <c r="M32" i="53"/>
  <c r="N32" i="53" s="1"/>
  <c r="O32" i="53" s="1"/>
  <c r="I20" i="57"/>
  <c r="J20" i="57" s="1"/>
  <c r="I16" i="63"/>
  <c r="O23" i="57"/>
  <c r="I20" i="50"/>
  <c r="J20" i="50" s="1"/>
  <c r="M38" i="58"/>
  <c r="N38" i="58" s="1"/>
  <c r="N21" i="49"/>
  <c r="N20" i="49"/>
  <c r="O20" i="49" s="1"/>
  <c r="N36" i="64"/>
  <c r="N35" i="64"/>
  <c r="N33" i="49"/>
  <c r="O33" i="49" s="1"/>
  <c r="N34" i="49"/>
  <c r="O22" i="53"/>
  <c r="G15" i="53"/>
  <c r="I15" i="53" s="1"/>
  <c r="F15" i="53"/>
  <c r="H15" i="53" s="1"/>
  <c r="I21" i="53"/>
  <c r="J21" i="53" s="1"/>
  <c r="P21" i="53" s="1"/>
  <c r="I20" i="53"/>
  <c r="J20" i="53" s="1"/>
  <c r="M30" i="57"/>
  <c r="N30" i="57" s="1"/>
  <c r="O30" i="57" s="1"/>
  <c r="M38" i="51"/>
  <c r="N38" i="51" s="1"/>
  <c r="I19" i="54"/>
  <c r="I18" i="54"/>
  <c r="J18" i="54" s="1"/>
  <c r="P18" i="54" s="1"/>
  <c r="I17" i="54"/>
  <c r="J17" i="54" s="1"/>
  <c r="P17" i="54" s="1"/>
  <c r="I21" i="54"/>
  <c r="J21" i="54" s="1"/>
  <c r="P21" i="54" s="1"/>
  <c r="I16" i="54"/>
  <c r="I15" i="54"/>
  <c r="J15" i="54" s="1"/>
  <c r="P15" i="54" s="1"/>
  <c r="I22" i="54"/>
  <c r="I23" i="54"/>
  <c r="J23" i="54" s="1"/>
  <c r="I20" i="54"/>
  <c r="M53" i="51"/>
  <c r="N53" i="51" s="1"/>
  <c r="O53" i="51" s="1"/>
  <c r="F21" i="63"/>
  <c r="H21" i="63" s="1"/>
  <c r="O20" i="63"/>
  <c r="O18" i="63"/>
  <c r="O23" i="63"/>
  <c r="I20" i="63"/>
  <c r="J20" i="63" s="1"/>
  <c r="M30" i="67"/>
  <c r="N30" i="67" s="1"/>
  <c r="O30" i="67" s="1"/>
  <c r="I18" i="63"/>
  <c r="J18" i="63" s="1"/>
  <c r="N21" i="56"/>
  <c r="N20" i="56"/>
  <c r="F20" i="48"/>
  <c r="H20" i="48" s="1"/>
  <c r="G20" i="48"/>
  <c r="I20" i="48" s="1"/>
  <c r="O20" i="48"/>
  <c r="I22" i="48"/>
  <c r="J22" i="48" s="1"/>
  <c r="I19" i="48"/>
  <c r="J19" i="48" s="1"/>
  <c r="P19" i="48" s="1"/>
  <c r="O22" i="48"/>
  <c r="F21" i="48"/>
  <c r="H21" i="48" s="1"/>
  <c r="G21" i="48"/>
  <c r="I21" i="48" s="1"/>
  <c r="N19" i="48"/>
  <c r="N18" i="48"/>
  <c r="O18" i="48" s="1"/>
  <c r="M31" i="54"/>
  <c r="N31" i="54" s="1"/>
  <c r="N33" i="55"/>
  <c r="M37" i="60"/>
  <c r="N37" i="60" s="1"/>
  <c r="O17" i="63"/>
  <c r="F17" i="50"/>
  <c r="H17" i="50" s="1"/>
  <c r="O23" i="51"/>
  <c r="I18" i="51"/>
  <c r="J18" i="51" s="1"/>
  <c r="N33" i="54"/>
  <c r="N18" i="55"/>
  <c r="O18" i="55" s="1"/>
  <c r="N19" i="55"/>
  <c r="F19" i="55"/>
  <c r="H19" i="55" s="1"/>
  <c r="G19" i="55"/>
  <c r="I19" i="55" s="1"/>
  <c r="G18" i="55"/>
  <c r="I18" i="55" s="1"/>
  <c r="F18" i="55"/>
  <c r="H18" i="55" s="1"/>
  <c r="N20" i="50"/>
  <c r="O20" i="50" s="1"/>
  <c r="N21" i="50"/>
  <c r="N34" i="48"/>
  <c r="N33" i="48"/>
  <c r="O33" i="48" s="1"/>
  <c r="N21" i="63"/>
  <c r="N20" i="63"/>
  <c r="O17" i="51"/>
  <c r="I22" i="51"/>
  <c r="J22" i="51" s="1"/>
  <c r="M37" i="55"/>
  <c r="N37" i="55" s="1"/>
  <c r="O37" i="55" s="1"/>
  <c r="M31" i="53"/>
  <c r="N31" i="53" s="1"/>
  <c r="I17" i="52"/>
  <c r="J17" i="52" s="1"/>
  <c r="P17" i="52" s="1"/>
  <c r="I17" i="65"/>
  <c r="J17" i="65" s="1"/>
  <c r="I15" i="58"/>
  <c r="J15" i="58" s="1"/>
  <c r="P15" i="58" s="1"/>
  <c r="O17" i="50"/>
  <c r="O17" i="57"/>
  <c r="I15" i="57"/>
  <c r="J15" i="57" s="1"/>
  <c r="I15" i="50"/>
  <c r="N35" i="61"/>
  <c r="N20" i="1"/>
  <c r="O20" i="1" s="1"/>
  <c r="N21" i="1"/>
  <c r="M30" i="52"/>
  <c r="N30" i="52" s="1"/>
  <c r="O30" i="52" s="1"/>
  <c r="F23" i="50"/>
  <c r="H23" i="50" s="1"/>
  <c r="G23" i="50"/>
  <c r="I23" i="50" s="1"/>
  <c r="M32" i="56"/>
  <c r="N32" i="56" s="1"/>
  <c r="N21" i="58"/>
  <c r="N20" i="58"/>
  <c r="O20" i="58" s="1"/>
  <c r="M30" i="61"/>
  <c r="N30" i="61" s="1"/>
  <c r="I19" i="57"/>
  <c r="J19" i="57" s="1"/>
  <c r="P19" i="57" s="1"/>
  <c r="O20" i="62"/>
  <c r="I18" i="57"/>
  <c r="J18" i="57" s="1"/>
  <c r="I23" i="59"/>
  <c r="J21" i="67"/>
  <c r="P21" i="67" s="1"/>
  <c r="R21" i="67" s="1"/>
  <c r="I15" i="59"/>
  <c r="J15" i="59" s="1"/>
  <c r="P15" i="59" s="1"/>
  <c r="O15" i="50"/>
  <c r="N19" i="67"/>
  <c r="N18" i="67"/>
  <c r="M38" i="63"/>
  <c r="N38" i="63" s="1"/>
  <c r="N33" i="56"/>
  <c r="N34" i="56"/>
  <c r="O15" i="62"/>
  <c r="M33" i="62"/>
  <c r="M35" i="60"/>
  <c r="G18" i="50"/>
  <c r="I18" i="50" s="1"/>
  <c r="F18" i="50"/>
  <c r="H18" i="50" s="1"/>
  <c r="O18" i="50"/>
  <c r="M30" i="1"/>
  <c r="N30" i="1" s="1"/>
  <c r="O30" i="1" s="1"/>
  <c r="I19" i="63"/>
  <c r="J19" i="63" s="1"/>
  <c r="P19" i="63" s="1"/>
  <c r="G34" i="64"/>
  <c r="I34" i="64" s="1"/>
  <c r="G33" i="64"/>
  <c r="S39" i="64"/>
  <c r="I31" i="64"/>
  <c r="J31" i="64" s="1"/>
  <c r="P31" i="64" s="1"/>
  <c r="I36" i="64"/>
  <c r="J36" i="64" s="1"/>
  <c r="P36" i="64" s="1"/>
  <c r="I38" i="64"/>
  <c r="J38" i="64" s="1"/>
  <c r="P38" i="64" s="1"/>
  <c r="I30" i="64"/>
  <c r="J30" i="64" s="1"/>
  <c r="P30" i="64" s="1"/>
  <c r="I33" i="64"/>
  <c r="I37" i="64"/>
  <c r="J37" i="64" s="1"/>
  <c r="P37" i="64" s="1"/>
  <c r="I32" i="64"/>
  <c r="J32" i="64" s="1"/>
  <c r="P32" i="64" s="1"/>
  <c r="G32" i="54"/>
  <c r="O32" i="54"/>
  <c r="F32" i="54"/>
  <c r="H32" i="54" s="1"/>
  <c r="S39" i="54"/>
  <c r="I35" i="54"/>
  <c r="J35" i="54" s="1"/>
  <c r="P35" i="54" s="1"/>
  <c r="I31" i="54"/>
  <c r="J31" i="54" s="1"/>
  <c r="P31" i="54" s="1"/>
  <c r="I33" i="54"/>
  <c r="J33" i="54" s="1"/>
  <c r="P33" i="54" s="1"/>
  <c r="I38" i="54"/>
  <c r="J38" i="54" s="1"/>
  <c r="P38" i="54" s="1"/>
  <c r="I34" i="54"/>
  <c r="J34" i="54" s="1"/>
  <c r="P34" i="54" s="1"/>
  <c r="I36" i="54"/>
  <c r="J36" i="54" s="1"/>
  <c r="P36" i="54" s="1"/>
  <c r="I37" i="54"/>
  <c r="J37" i="54" s="1"/>
  <c r="P37" i="54" s="1"/>
  <c r="I30" i="54"/>
  <c r="J30" i="54" s="1"/>
  <c r="P30" i="54" s="1"/>
  <c r="I32" i="54"/>
  <c r="P38" i="61"/>
  <c r="J20" i="67"/>
  <c r="I32" i="1"/>
  <c r="J32" i="1" s="1"/>
  <c r="G38" i="51"/>
  <c r="I38" i="51" s="1"/>
  <c r="O38" i="51"/>
  <c r="F38" i="51"/>
  <c r="H38" i="51" s="1"/>
  <c r="I36" i="51"/>
  <c r="J36" i="51" s="1"/>
  <c r="P36" i="51" s="1"/>
  <c r="I30" i="51"/>
  <c r="J30" i="51" s="1"/>
  <c r="P30" i="51" s="1"/>
  <c r="S39" i="51"/>
  <c r="I33" i="51"/>
  <c r="J33" i="51" s="1"/>
  <c r="I31" i="51"/>
  <c r="J31" i="51" s="1"/>
  <c r="P31" i="51" s="1"/>
  <c r="I37" i="51"/>
  <c r="J37" i="51" s="1"/>
  <c r="P37" i="51" s="1"/>
  <c r="I32" i="51"/>
  <c r="J32" i="51" s="1"/>
  <c r="P32" i="51" s="1"/>
  <c r="O35" i="48"/>
  <c r="F35" i="48"/>
  <c r="H35" i="48" s="1"/>
  <c r="F36" i="48"/>
  <c r="H36" i="48" s="1"/>
  <c r="I34" i="48"/>
  <c r="J34" i="48" s="1"/>
  <c r="P34" i="48" s="1"/>
  <c r="G35" i="48"/>
  <c r="I35" i="48" s="1"/>
  <c r="I30" i="48"/>
  <c r="J30" i="48" s="1"/>
  <c r="I38" i="48"/>
  <c r="G36" i="48"/>
  <c r="I36" i="48" s="1"/>
  <c r="S39" i="48"/>
  <c r="I33" i="48"/>
  <c r="G38" i="66"/>
  <c r="I38" i="66" s="1"/>
  <c r="J38" i="66" s="1"/>
  <c r="I30" i="53"/>
  <c r="J30" i="53" s="1"/>
  <c r="P30" i="53" s="1"/>
  <c r="J51" i="59"/>
  <c r="P51" i="59" s="1"/>
  <c r="G34" i="49"/>
  <c r="I34" i="49" s="1"/>
  <c r="F33" i="49"/>
  <c r="H33" i="49" s="1"/>
  <c r="I37" i="49"/>
  <c r="J37" i="49" s="1"/>
  <c r="P37" i="49" s="1"/>
  <c r="I30" i="49"/>
  <c r="J30" i="49" s="1"/>
  <c r="I32" i="49"/>
  <c r="F34" i="49"/>
  <c r="H34" i="49" s="1"/>
  <c r="G33" i="49"/>
  <c r="I33" i="49" s="1"/>
  <c r="I35" i="49"/>
  <c r="J35" i="49" s="1"/>
  <c r="S39" i="49"/>
  <c r="P32" i="62"/>
  <c r="J36" i="62"/>
  <c r="P36" i="62" s="1"/>
  <c r="F30" i="52"/>
  <c r="H30" i="52" s="1"/>
  <c r="I38" i="52"/>
  <c r="I34" i="52"/>
  <c r="J34" i="52" s="1"/>
  <c r="P34" i="52" s="1"/>
  <c r="G30" i="52"/>
  <c r="I30" i="52" s="1"/>
  <c r="S39" i="52"/>
  <c r="I31" i="52"/>
  <c r="J31" i="52" s="1"/>
  <c r="P31" i="52" s="1"/>
  <c r="I32" i="52"/>
  <c r="I35" i="52"/>
  <c r="J35" i="52" s="1"/>
  <c r="P35" i="52" s="1"/>
  <c r="I33" i="52"/>
  <c r="J33" i="52" s="1"/>
  <c r="I37" i="52"/>
  <c r="J37" i="52" s="1"/>
  <c r="I36" i="52"/>
  <c r="J36" i="52" s="1"/>
  <c r="P36" i="52" s="1"/>
  <c r="O38" i="57"/>
  <c r="I37" i="53"/>
  <c r="F49" i="1"/>
  <c r="H49" i="1" s="1"/>
  <c r="G49" i="1"/>
  <c r="I49" i="1" s="1"/>
  <c r="F48" i="1"/>
  <c r="H48" i="1" s="1"/>
  <c r="O45" i="1"/>
  <c r="O53" i="1"/>
  <c r="N35" i="55"/>
  <c r="O35" i="55" s="1"/>
  <c r="F33" i="64"/>
  <c r="H33" i="64" s="1"/>
  <c r="F36" i="63"/>
  <c r="H36" i="63" s="1"/>
  <c r="I37" i="63"/>
  <c r="J37" i="63" s="1"/>
  <c r="P37" i="63" s="1"/>
  <c r="I33" i="63"/>
  <c r="J33" i="63" s="1"/>
  <c r="P33" i="63" s="1"/>
  <c r="I32" i="63"/>
  <c r="J32" i="63" s="1"/>
  <c r="P32" i="63" s="1"/>
  <c r="I31" i="63"/>
  <c r="J31" i="63" s="1"/>
  <c r="P31" i="63" s="1"/>
  <c r="S39" i="63"/>
  <c r="I35" i="63"/>
  <c r="J35" i="63" s="1"/>
  <c r="P35" i="63" s="1"/>
  <c r="I34" i="63"/>
  <c r="J34" i="63" s="1"/>
  <c r="P34" i="63" s="1"/>
  <c r="I38" i="63"/>
  <c r="J38" i="63" s="1"/>
  <c r="I30" i="63"/>
  <c r="J30" i="63" s="1"/>
  <c r="P30" i="63" s="1"/>
  <c r="F34" i="64"/>
  <c r="H34" i="64" s="1"/>
  <c r="G33" i="56"/>
  <c r="F33" i="50"/>
  <c r="H33" i="50" s="1"/>
  <c r="G34" i="50"/>
  <c r="I34" i="50" s="1"/>
  <c r="I30" i="50"/>
  <c r="J30" i="50" s="1"/>
  <c r="S39" i="50"/>
  <c r="J19" i="53"/>
  <c r="P19" i="53" s="1"/>
  <c r="G38" i="1"/>
  <c r="I38" i="1" s="1"/>
  <c r="F38" i="1"/>
  <c r="H38" i="1" s="1"/>
  <c r="O38" i="1"/>
  <c r="I53" i="1"/>
  <c r="J53" i="1" s="1"/>
  <c r="I30" i="1"/>
  <c r="J30" i="1" s="1"/>
  <c r="F34" i="56"/>
  <c r="H34" i="56" s="1"/>
  <c r="I31" i="50"/>
  <c r="J31" i="50" s="1"/>
  <c r="G36" i="63"/>
  <c r="I38" i="57"/>
  <c r="J38" i="57" s="1"/>
  <c r="I36" i="57"/>
  <c r="J36" i="57" s="1"/>
  <c r="P36" i="57" s="1"/>
  <c r="I31" i="57"/>
  <c r="J31" i="57" s="1"/>
  <c r="I37" i="57"/>
  <c r="J37" i="57" s="1"/>
  <c r="I32" i="57"/>
  <c r="J32" i="57" s="1"/>
  <c r="P32" i="57" s="1"/>
  <c r="O32" i="56"/>
  <c r="F32" i="56"/>
  <c r="H32" i="56" s="1"/>
  <c r="I37" i="56"/>
  <c r="J37" i="56" s="1"/>
  <c r="P37" i="56" s="1"/>
  <c r="I32" i="56"/>
  <c r="I38" i="56"/>
  <c r="J38" i="56" s="1"/>
  <c r="S39" i="56"/>
  <c r="I31" i="56"/>
  <c r="J31" i="56" s="1"/>
  <c r="P31" i="56" s="1"/>
  <c r="I35" i="56"/>
  <c r="G32" i="56"/>
  <c r="I34" i="56"/>
  <c r="I30" i="56"/>
  <c r="I33" i="56"/>
  <c r="J33" i="56" s="1"/>
  <c r="I36" i="56"/>
  <c r="S39" i="67"/>
  <c r="I32" i="67"/>
  <c r="I34" i="67"/>
  <c r="J34" i="67" s="1"/>
  <c r="P34" i="67" s="1"/>
  <c r="R34" i="67" s="1"/>
  <c r="I37" i="67"/>
  <c r="J37" i="67" s="1"/>
  <c r="P37" i="67" s="1"/>
  <c r="R37" i="67" s="1"/>
  <c r="I35" i="67"/>
  <c r="J35" i="67" s="1"/>
  <c r="P35" i="67" s="1"/>
  <c r="R35" i="67" s="1"/>
  <c r="I38" i="67"/>
  <c r="J38" i="67" s="1"/>
  <c r="P38" i="67" s="1"/>
  <c r="R38" i="67" s="1"/>
  <c r="I33" i="67"/>
  <c r="J33" i="67" s="1"/>
  <c r="P33" i="67" s="1"/>
  <c r="R33" i="67" s="1"/>
  <c r="I31" i="67"/>
  <c r="J31" i="67" s="1"/>
  <c r="P31" i="67" s="1"/>
  <c r="R31" i="67" s="1"/>
  <c r="J47" i="62"/>
  <c r="P47" i="62" s="1"/>
  <c r="I52" i="1"/>
  <c r="J52" i="1" s="1"/>
  <c r="G36" i="66"/>
  <c r="I36" i="66" s="1"/>
  <c r="J36" i="66" s="1"/>
  <c r="P36" i="66" s="1"/>
  <c r="I31" i="66"/>
  <c r="J31" i="66" s="1"/>
  <c r="P31" i="66" s="1"/>
  <c r="I33" i="66"/>
  <c r="I35" i="66"/>
  <c r="J35" i="66" s="1"/>
  <c r="S39" i="66"/>
  <c r="I32" i="66"/>
  <c r="J32" i="66" s="1"/>
  <c r="P32" i="66" s="1"/>
  <c r="I34" i="66"/>
  <c r="J34" i="66" s="1"/>
  <c r="P34" i="66" s="1"/>
  <c r="I30" i="66"/>
  <c r="J30" i="66" s="1"/>
  <c r="G33" i="53"/>
  <c r="I33" i="53" s="1"/>
  <c r="J33" i="53" s="1"/>
  <c r="I31" i="53"/>
  <c r="J31" i="53" s="1"/>
  <c r="P31" i="53" s="1"/>
  <c r="S39" i="53"/>
  <c r="F35" i="53"/>
  <c r="H35" i="53" s="1"/>
  <c r="G36" i="53"/>
  <c r="I36" i="53" s="1"/>
  <c r="F36" i="53"/>
  <c r="H36" i="53" s="1"/>
  <c r="O35" i="53"/>
  <c r="G35" i="53"/>
  <c r="I35" i="53" s="1"/>
  <c r="G35" i="1"/>
  <c r="I35" i="1" s="1"/>
  <c r="G36" i="1"/>
  <c r="I36" i="1" s="1"/>
  <c r="I37" i="1"/>
  <c r="J37" i="1" s="1"/>
  <c r="I50" i="1"/>
  <c r="J50" i="1" s="1"/>
  <c r="P50" i="1" s="1"/>
  <c r="J37" i="59"/>
  <c r="P37" i="59" s="1"/>
  <c r="I34" i="57"/>
  <c r="J34" i="57" s="1"/>
  <c r="P34" i="57" s="1"/>
  <c r="J19" i="65"/>
  <c r="P19" i="65" s="1"/>
  <c r="G37" i="50"/>
  <c r="I37" i="50" s="1"/>
  <c r="F37" i="50"/>
  <c r="H37" i="50" s="1"/>
  <c r="I32" i="53"/>
  <c r="J32" i="53" s="1"/>
  <c r="I36" i="50"/>
  <c r="J36" i="50" s="1"/>
  <c r="P36" i="50" s="1"/>
  <c r="F35" i="1"/>
  <c r="H35" i="1" s="1"/>
  <c r="G37" i="66"/>
  <c r="I37" i="66" s="1"/>
  <c r="F37" i="66"/>
  <c r="H37" i="66" s="1"/>
  <c r="O37" i="66"/>
  <c r="O48" i="1"/>
  <c r="O37" i="58"/>
  <c r="G37" i="58"/>
  <c r="I31" i="58"/>
  <c r="J31" i="58" s="1"/>
  <c r="P31" i="58" s="1"/>
  <c r="F37" i="58"/>
  <c r="H37" i="58" s="1"/>
  <c r="I33" i="58"/>
  <c r="J33" i="58" s="1"/>
  <c r="I36" i="58"/>
  <c r="J36" i="58" s="1"/>
  <c r="P36" i="58" s="1"/>
  <c r="S39" i="58"/>
  <c r="I32" i="58"/>
  <c r="J32" i="58" s="1"/>
  <c r="P32" i="58" s="1"/>
  <c r="I30" i="58"/>
  <c r="J30" i="58" s="1"/>
  <c r="P30" i="58" s="1"/>
  <c r="I35" i="58"/>
  <c r="J35" i="58" s="1"/>
  <c r="P35" i="58" s="1"/>
  <c r="I38" i="58"/>
  <c r="J38" i="58" s="1"/>
  <c r="P38" i="58" s="1"/>
  <c r="I34" i="58"/>
  <c r="J34" i="58" s="1"/>
  <c r="P34" i="58" s="1"/>
  <c r="I37" i="58"/>
  <c r="I45" i="1"/>
  <c r="J45" i="1" s="1"/>
  <c r="I37" i="48"/>
  <c r="I32" i="48"/>
  <c r="J32" i="48" s="1"/>
  <c r="P32" i="48" s="1"/>
  <c r="I34" i="1"/>
  <c r="J34" i="1" s="1"/>
  <c r="P34" i="1" s="1"/>
  <c r="I32" i="50"/>
  <c r="J32" i="50" s="1"/>
  <c r="P32" i="50" s="1"/>
  <c r="F36" i="1"/>
  <c r="H36" i="1" s="1"/>
  <c r="I33" i="50"/>
  <c r="I38" i="53"/>
  <c r="J38" i="53" s="1"/>
  <c r="I33" i="1"/>
  <c r="J33" i="1" s="1"/>
  <c r="J16" i="49"/>
  <c r="P16" i="49" s="1"/>
  <c r="J31" i="62"/>
  <c r="I35" i="51"/>
  <c r="J35" i="51" s="1"/>
  <c r="P46" i="56"/>
  <c r="J47" i="56"/>
  <c r="P47" i="56" s="1"/>
  <c r="J51" i="56"/>
  <c r="P51" i="56" s="1"/>
  <c r="J50" i="53"/>
  <c r="P50" i="53" s="1"/>
  <c r="J30" i="57"/>
  <c r="O31" i="1"/>
  <c r="F31" i="1"/>
  <c r="H31" i="1" s="1"/>
  <c r="G31" i="1"/>
  <c r="I31" i="1" s="1"/>
  <c r="J53" i="61"/>
  <c r="P53" i="61" s="1"/>
  <c r="J21" i="64" l="1"/>
  <c r="P21" i="64" s="1"/>
  <c r="J16" i="52"/>
  <c r="P16" i="52" s="1"/>
  <c r="P30" i="60"/>
  <c r="R30" i="60" s="1"/>
  <c r="P17" i="1"/>
  <c r="P20" i="58"/>
  <c r="P38" i="63"/>
  <c r="P30" i="49"/>
  <c r="P52" i="57"/>
  <c r="J15" i="67"/>
  <c r="P15" i="67" s="1"/>
  <c r="R15" i="67" s="1"/>
  <c r="J22" i="64"/>
  <c r="P22" i="64" s="1"/>
  <c r="J19" i="54"/>
  <c r="P19" i="54" s="1"/>
  <c r="J15" i="50"/>
  <c r="P15" i="50" s="1"/>
  <c r="J21" i="1"/>
  <c r="P21" i="1" s="1"/>
  <c r="P16" i="64"/>
  <c r="P38" i="56"/>
  <c r="J22" i="65"/>
  <c r="P22" i="65" s="1"/>
  <c r="Q22" i="65" s="1"/>
  <c r="Q24" i="65" s="1"/>
  <c r="N36" i="65"/>
  <c r="P17" i="63"/>
  <c r="N51" i="64"/>
  <c r="P17" i="53"/>
  <c r="P16" i="53"/>
  <c r="N35" i="49"/>
  <c r="O35" i="49" s="1"/>
  <c r="P35" i="49" s="1"/>
  <c r="N51" i="56"/>
  <c r="P31" i="60"/>
  <c r="R31" i="60" s="1"/>
  <c r="J17" i="49"/>
  <c r="P17" i="49" s="1"/>
  <c r="J22" i="60"/>
  <c r="P22" i="60" s="1"/>
  <c r="R22" i="60" s="1"/>
  <c r="J16" i="63"/>
  <c r="P16" i="63" s="1"/>
  <c r="J16" i="50"/>
  <c r="P16" i="50" s="1"/>
  <c r="N33" i="65"/>
  <c r="O33" i="65" s="1"/>
  <c r="P33" i="65" s="1"/>
  <c r="J18" i="53"/>
  <c r="P18" i="53" s="1"/>
  <c r="J16" i="54"/>
  <c r="P16" i="54" s="1"/>
  <c r="P33" i="59"/>
  <c r="J20" i="64"/>
  <c r="P20" i="64" s="1"/>
  <c r="P47" i="51"/>
  <c r="P33" i="58"/>
  <c r="N36" i="66"/>
  <c r="J47" i="57"/>
  <c r="P47" i="57" s="1"/>
  <c r="J22" i="50"/>
  <c r="P22" i="50" s="1"/>
  <c r="P52" i="1"/>
  <c r="J48" i="1"/>
  <c r="J18" i="58"/>
  <c r="P18" i="58" s="1"/>
  <c r="P31" i="62"/>
  <c r="J36" i="49"/>
  <c r="P36" i="49" s="1"/>
  <c r="J18" i="59"/>
  <c r="P18" i="59" s="1"/>
  <c r="J16" i="1"/>
  <c r="P16" i="1" s="1"/>
  <c r="P31" i="49"/>
  <c r="J34" i="50"/>
  <c r="P34" i="50" s="1"/>
  <c r="J37" i="53"/>
  <c r="P37" i="53" s="1"/>
  <c r="J23" i="65"/>
  <c r="P23" i="65" s="1"/>
  <c r="J33" i="66"/>
  <c r="J32" i="52"/>
  <c r="J20" i="62"/>
  <c r="N34" i="66"/>
  <c r="J22" i="54"/>
  <c r="P22" i="54" s="1"/>
  <c r="N49" i="56"/>
  <c r="J38" i="49"/>
  <c r="P38" i="49" s="1"/>
  <c r="J23" i="63"/>
  <c r="P23" i="63" s="1"/>
  <c r="J32" i="67"/>
  <c r="P32" i="67" s="1"/>
  <c r="R32" i="67" s="1"/>
  <c r="P32" i="60"/>
  <c r="R32" i="60" s="1"/>
  <c r="J21" i="58"/>
  <c r="P21" i="58" s="1"/>
  <c r="P31" i="50"/>
  <c r="J20" i="52"/>
  <c r="P20" i="52" s="1"/>
  <c r="J18" i="1"/>
  <c r="P18" i="1" s="1"/>
  <c r="J20" i="1"/>
  <c r="P20" i="1" s="1"/>
  <c r="P23" i="64"/>
  <c r="J18" i="64"/>
  <c r="P18" i="64" s="1"/>
  <c r="P48" i="57"/>
  <c r="P30" i="62"/>
  <c r="P30" i="50"/>
  <c r="P16" i="67"/>
  <c r="R16" i="67" s="1"/>
  <c r="N35" i="57"/>
  <c r="O35" i="57" s="1"/>
  <c r="P35" i="57" s="1"/>
  <c r="N35" i="1"/>
  <c r="O35" i="1" s="1"/>
  <c r="J16" i="56"/>
  <c r="P16" i="56" s="1"/>
  <c r="J18" i="67"/>
  <c r="P18" i="67" s="1"/>
  <c r="R18" i="67" s="1"/>
  <c r="P37" i="52"/>
  <c r="P37" i="1"/>
  <c r="P16" i="62"/>
  <c r="N36" i="63"/>
  <c r="P23" i="54"/>
  <c r="P17" i="61"/>
  <c r="J30" i="56"/>
  <c r="P30" i="56" s="1"/>
  <c r="R30" i="56" s="1"/>
  <c r="R39" i="56" s="1"/>
  <c r="J32" i="49"/>
  <c r="P32" i="49" s="1"/>
  <c r="J38" i="48"/>
  <c r="P37" i="65"/>
  <c r="Q37" i="65" s="1"/>
  <c r="Q39" i="65" s="1"/>
  <c r="J19" i="64"/>
  <c r="P19" i="64" s="1"/>
  <c r="P53" i="51"/>
  <c r="J22" i="52"/>
  <c r="P22" i="52" s="1"/>
  <c r="J20" i="54"/>
  <c r="P20" i="54" s="1"/>
  <c r="N49" i="51"/>
  <c r="P16" i="55"/>
  <c r="P53" i="57"/>
  <c r="J36" i="63"/>
  <c r="P36" i="63" s="1"/>
  <c r="J15" i="60"/>
  <c r="P15" i="60" s="1"/>
  <c r="J17" i="55"/>
  <c r="P17" i="55" s="1"/>
  <c r="P45" i="51"/>
  <c r="J33" i="48"/>
  <c r="P33" i="48" s="1"/>
  <c r="J23" i="56"/>
  <c r="P23" i="56" s="1"/>
  <c r="J36" i="56"/>
  <c r="P36" i="56" s="1"/>
  <c r="J38" i="52"/>
  <c r="P38" i="52" s="1"/>
  <c r="P37" i="55"/>
  <c r="J19" i="1"/>
  <c r="P19" i="1" s="1"/>
  <c r="P30" i="1"/>
  <c r="P33" i="60"/>
  <c r="R33" i="60" s="1"/>
  <c r="J30" i="52"/>
  <c r="P15" i="66"/>
  <c r="P38" i="65"/>
  <c r="P22" i="66"/>
  <c r="J20" i="49"/>
  <c r="P20" i="49" s="1"/>
  <c r="P20" i="65"/>
  <c r="P30" i="65"/>
  <c r="J30" i="67"/>
  <c r="P30" i="67" s="1"/>
  <c r="R30" i="67" s="1"/>
  <c r="J33" i="57"/>
  <c r="P54" i="58"/>
  <c r="T45" i="58" s="1"/>
  <c r="J21" i="60"/>
  <c r="P21" i="60" s="1"/>
  <c r="R21" i="60" s="1"/>
  <c r="P23" i="67"/>
  <c r="R23" i="67" s="1"/>
  <c r="R54" i="60"/>
  <c r="P46" i="57"/>
  <c r="P22" i="51"/>
  <c r="P35" i="64"/>
  <c r="P30" i="66"/>
  <c r="J15" i="65"/>
  <c r="P15" i="65" s="1"/>
  <c r="J18" i="56"/>
  <c r="P18" i="56" s="1"/>
  <c r="P23" i="1"/>
  <c r="N34" i="60"/>
  <c r="J19" i="56"/>
  <c r="P19" i="56" s="1"/>
  <c r="N50" i="51"/>
  <c r="O50" i="51" s="1"/>
  <c r="P50" i="51" s="1"/>
  <c r="J16" i="51"/>
  <c r="P16" i="51" s="1"/>
  <c r="N33" i="58"/>
  <c r="P30" i="48"/>
  <c r="P32" i="59"/>
  <c r="J21" i="62"/>
  <c r="P21" i="62" s="1"/>
  <c r="J35" i="61"/>
  <c r="P35" i="61" s="1"/>
  <c r="J19" i="50"/>
  <c r="P19" i="50" s="1"/>
  <c r="P37" i="62"/>
  <c r="J20" i="55"/>
  <c r="P20" i="55" s="1"/>
  <c r="P22" i="55"/>
  <c r="J35" i="48"/>
  <c r="P35" i="48" s="1"/>
  <c r="J15" i="55"/>
  <c r="P15" i="55" s="1"/>
  <c r="P31" i="65"/>
  <c r="J37" i="48"/>
  <c r="P37" i="48" s="1"/>
  <c r="P54" i="60"/>
  <c r="N34" i="53"/>
  <c r="P15" i="49"/>
  <c r="J35" i="65"/>
  <c r="P35" i="65" s="1"/>
  <c r="P38" i="66"/>
  <c r="P45" i="1"/>
  <c r="J23" i="59"/>
  <c r="P23" i="59" s="1"/>
  <c r="P20" i="59"/>
  <c r="J16" i="58"/>
  <c r="P16" i="58" s="1"/>
  <c r="J38" i="50"/>
  <c r="P48" i="1"/>
  <c r="N35" i="54"/>
  <c r="P22" i="53"/>
  <c r="N35" i="59"/>
  <c r="O35" i="59" s="1"/>
  <c r="P35" i="59" s="1"/>
  <c r="N34" i="59"/>
  <c r="J15" i="61"/>
  <c r="P15" i="61" s="1"/>
  <c r="P33" i="56"/>
  <c r="J17" i="57"/>
  <c r="P17" i="57" s="1"/>
  <c r="J31" i="55"/>
  <c r="P31" i="55" s="1"/>
  <c r="J37" i="50"/>
  <c r="P37" i="50" s="1"/>
  <c r="J20" i="61"/>
  <c r="P20" i="61" s="1"/>
  <c r="P31" i="57"/>
  <c r="P22" i="1"/>
  <c r="P23" i="55"/>
  <c r="N35" i="56"/>
  <c r="J17" i="67"/>
  <c r="P17" i="67" s="1"/>
  <c r="R17" i="67" s="1"/>
  <c r="J23" i="49"/>
  <c r="P23" i="49" s="1"/>
  <c r="P15" i="62"/>
  <c r="J19" i="51"/>
  <c r="P19" i="51" s="1"/>
  <c r="P37" i="57"/>
  <c r="P17" i="51"/>
  <c r="P22" i="63"/>
  <c r="J16" i="60"/>
  <c r="P16" i="60" s="1"/>
  <c r="R16" i="60" s="1"/>
  <c r="P50" i="57"/>
  <c r="J17" i="48"/>
  <c r="P17" i="48" s="1"/>
  <c r="P35" i="66"/>
  <c r="P35" i="55"/>
  <c r="P17" i="65"/>
  <c r="P54" i="64"/>
  <c r="T45" i="64" s="1"/>
  <c r="P32" i="1"/>
  <c r="J18" i="49"/>
  <c r="P18" i="49" s="1"/>
  <c r="J38" i="59"/>
  <c r="P38" i="59" s="1"/>
  <c r="J33" i="50"/>
  <c r="P20" i="67"/>
  <c r="R20" i="67" s="1"/>
  <c r="P22" i="62"/>
  <c r="J31" i="48"/>
  <c r="P31" i="48" s="1"/>
  <c r="P18" i="57"/>
  <c r="J17" i="50"/>
  <c r="P17" i="50" s="1"/>
  <c r="J32" i="54"/>
  <c r="P32" i="54" s="1"/>
  <c r="P39" i="54" s="1"/>
  <c r="T30" i="54" s="1"/>
  <c r="J36" i="53"/>
  <c r="P36" i="53" s="1"/>
  <c r="P15" i="48"/>
  <c r="J38" i="55"/>
  <c r="P38" i="55" s="1"/>
  <c r="N35" i="62"/>
  <c r="O35" i="62" s="1"/>
  <c r="P35" i="62" s="1"/>
  <c r="N36" i="62"/>
  <c r="N33" i="67"/>
  <c r="J36" i="61"/>
  <c r="P36" i="61" s="1"/>
  <c r="P18" i="65"/>
  <c r="P32" i="61"/>
  <c r="P54" i="61"/>
  <c r="T45" i="61" s="1"/>
  <c r="J35" i="53"/>
  <c r="P35" i="53" s="1"/>
  <c r="P38" i="48"/>
  <c r="P16" i="65"/>
  <c r="P32" i="65"/>
  <c r="J32" i="55"/>
  <c r="P32" i="55" s="1"/>
  <c r="J31" i="1"/>
  <c r="P31" i="1" s="1"/>
  <c r="J37" i="58"/>
  <c r="P37" i="58" s="1"/>
  <c r="P30" i="52"/>
  <c r="P23" i="57"/>
  <c r="P18" i="62"/>
  <c r="P38" i="53"/>
  <c r="P15" i="57"/>
  <c r="P54" i="53"/>
  <c r="T45" i="53" s="1"/>
  <c r="J19" i="61"/>
  <c r="P19" i="61" s="1"/>
  <c r="J35" i="56"/>
  <c r="P35" i="56" s="1"/>
  <c r="P32" i="52"/>
  <c r="J34" i="49"/>
  <c r="P34" i="49" s="1"/>
  <c r="J36" i="1"/>
  <c r="P36" i="1" s="1"/>
  <c r="J37" i="66"/>
  <c r="P37" i="66" s="1"/>
  <c r="J17" i="59"/>
  <c r="P17" i="59" s="1"/>
  <c r="P18" i="66"/>
  <c r="J33" i="49"/>
  <c r="P33" i="49" s="1"/>
  <c r="J21" i="63"/>
  <c r="P21" i="63" s="1"/>
  <c r="P22" i="48"/>
  <c r="P20" i="63"/>
  <c r="P20" i="66"/>
  <c r="J22" i="57"/>
  <c r="P22" i="57" s="1"/>
  <c r="P22" i="58"/>
  <c r="P54" i="62"/>
  <c r="P16" i="66"/>
  <c r="P20" i="57"/>
  <c r="N33" i="51"/>
  <c r="O33" i="51" s="1"/>
  <c r="P33" i="51" s="1"/>
  <c r="N33" i="61"/>
  <c r="N34" i="61"/>
  <c r="P54" i="59"/>
  <c r="T45" i="59" s="1"/>
  <c r="U45" i="59" s="1"/>
  <c r="J18" i="55"/>
  <c r="P18" i="55" s="1"/>
  <c r="P18" i="48"/>
  <c r="P20" i="51"/>
  <c r="J19" i="66"/>
  <c r="P19" i="66" s="1"/>
  <c r="P15" i="51"/>
  <c r="N35" i="50"/>
  <c r="O35" i="50" s="1"/>
  <c r="P35" i="50" s="1"/>
  <c r="J19" i="49"/>
  <c r="P19" i="49" s="1"/>
  <c r="J21" i="51"/>
  <c r="P21" i="51" s="1"/>
  <c r="P23" i="52"/>
  <c r="P32" i="53"/>
  <c r="P33" i="66"/>
  <c r="P15" i="52"/>
  <c r="P33" i="53"/>
  <c r="J20" i="48"/>
  <c r="P20" i="48" s="1"/>
  <c r="P20" i="53"/>
  <c r="P18" i="52"/>
  <c r="N34" i="50"/>
  <c r="N33" i="50"/>
  <c r="O33" i="50" s="1"/>
  <c r="P20" i="50"/>
  <c r="N35" i="53"/>
  <c r="N36" i="53"/>
  <c r="N34" i="63"/>
  <c r="N33" i="63"/>
  <c r="J23" i="51"/>
  <c r="P23" i="51" s="1"/>
  <c r="J19" i="55"/>
  <c r="P19" i="55" s="1"/>
  <c r="P18" i="60"/>
  <c r="R18" i="60" s="1"/>
  <c r="N34" i="1"/>
  <c r="N33" i="1"/>
  <c r="O33" i="1" s="1"/>
  <c r="P33" i="1" s="1"/>
  <c r="J18" i="50"/>
  <c r="P18" i="50" s="1"/>
  <c r="J23" i="50"/>
  <c r="P23" i="50" s="1"/>
  <c r="J21" i="48"/>
  <c r="P21" i="48" s="1"/>
  <c r="J23" i="53"/>
  <c r="P23" i="53" s="1"/>
  <c r="N34" i="52"/>
  <c r="N33" i="52"/>
  <c r="O33" i="52" s="1"/>
  <c r="P33" i="52" s="1"/>
  <c r="N35" i="67"/>
  <c r="N36" i="67"/>
  <c r="N33" i="57"/>
  <c r="O33" i="57" s="1"/>
  <c r="N34" i="57"/>
  <c r="J15" i="53"/>
  <c r="P15" i="53" s="1"/>
  <c r="P18" i="61"/>
  <c r="N36" i="60"/>
  <c r="N35" i="60"/>
  <c r="O35" i="60" s="1"/>
  <c r="P35" i="60" s="1"/>
  <c r="P18" i="63"/>
  <c r="P20" i="62"/>
  <c r="N34" i="62"/>
  <c r="N33" i="62"/>
  <c r="O33" i="62" s="1"/>
  <c r="P33" i="62" s="1"/>
  <c r="P23" i="66"/>
  <c r="N36" i="58"/>
  <c r="N35" i="58"/>
  <c r="P17" i="60"/>
  <c r="R17" i="60" s="1"/>
  <c r="P38" i="50"/>
  <c r="P18" i="51"/>
  <c r="P23" i="48"/>
  <c r="N35" i="51"/>
  <c r="O35" i="51" s="1"/>
  <c r="P35" i="51" s="1"/>
  <c r="N36" i="51"/>
  <c r="J17" i="62"/>
  <c r="P17" i="62" s="1"/>
  <c r="P20" i="60"/>
  <c r="R20" i="60" s="1"/>
  <c r="P38" i="57"/>
  <c r="P30" i="57"/>
  <c r="J34" i="64"/>
  <c r="P34" i="64" s="1"/>
  <c r="J33" i="64"/>
  <c r="P33" i="64" s="1"/>
  <c r="J49" i="1"/>
  <c r="P49" i="1" s="1"/>
  <c r="J38" i="51"/>
  <c r="P38" i="51" s="1"/>
  <c r="P53" i="1"/>
  <c r="J32" i="56"/>
  <c r="P32" i="56" s="1"/>
  <c r="J38" i="1"/>
  <c r="P38" i="1" s="1"/>
  <c r="J35" i="1"/>
  <c r="J34" i="56"/>
  <c r="P34" i="56" s="1"/>
  <c r="J36" i="48"/>
  <c r="P36" i="48" s="1"/>
  <c r="P54" i="56"/>
  <c r="S54" i="60"/>
  <c r="P39" i="63" l="1"/>
  <c r="T30" i="63" s="1"/>
  <c r="P39" i="58"/>
  <c r="T30" i="58" s="1"/>
  <c r="R39" i="67"/>
  <c r="P24" i="64"/>
  <c r="T15" i="64" s="1"/>
  <c r="P24" i="54"/>
  <c r="T15" i="54" s="1"/>
  <c r="T45" i="60"/>
  <c r="U45" i="60" s="1"/>
  <c r="P35" i="1"/>
  <c r="P39" i="1" s="1"/>
  <c r="P33" i="57"/>
  <c r="P39" i="57" s="1"/>
  <c r="P54" i="51"/>
  <c r="S54" i="51" s="1"/>
  <c r="T45" i="51" s="1"/>
  <c r="R35" i="60"/>
  <c r="R39" i="60" s="1"/>
  <c r="P39" i="60"/>
  <c r="P39" i="64"/>
  <c r="T30" i="64" s="1"/>
  <c r="P24" i="1"/>
  <c r="S24" i="1" s="1"/>
  <c r="T15" i="1" s="1"/>
  <c r="P54" i="57"/>
  <c r="P24" i="56"/>
  <c r="T15" i="56" s="1"/>
  <c r="P39" i="59"/>
  <c r="T30" i="59" s="1"/>
  <c r="U30" i="59" s="1"/>
  <c r="P39" i="67"/>
  <c r="P24" i="58"/>
  <c r="P39" i="66"/>
  <c r="T30" i="66" s="1"/>
  <c r="U30" i="66" s="1"/>
  <c r="P39" i="61"/>
  <c r="T30" i="61" s="1"/>
  <c r="P24" i="59"/>
  <c r="T15" i="59" s="1"/>
  <c r="U15" i="59" s="1"/>
  <c r="R24" i="67"/>
  <c r="P39" i="49"/>
  <c r="T30" i="49" s="1"/>
  <c r="P39" i="65"/>
  <c r="P39" i="55"/>
  <c r="T30" i="55" s="1"/>
  <c r="P24" i="48"/>
  <c r="P24" i="55"/>
  <c r="T15" i="55" s="1"/>
  <c r="P24" i="67"/>
  <c r="P24" i="61"/>
  <c r="T15" i="61" s="1"/>
  <c r="P33" i="50"/>
  <c r="P39" i="50" s="1"/>
  <c r="T30" i="50" s="1"/>
  <c r="P24" i="65"/>
  <c r="P24" i="49"/>
  <c r="T15" i="49" s="1"/>
  <c r="P39" i="62"/>
  <c r="P24" i="52"/>
  <c r="P54" i="1"/>
  <c r="S54" i="1" s="1"/>
  <c r="T45" i="1" s="1"/>
  <c r="P24" i="57"/>
  <c r="S24" i="57" s="1"/>
  <c r="T15" i="57" s="1"/>
  <c r="U15" i="57" s="1"/>
  <c r="P39" i="51"/>
  <c r="T30" i="51" s="1"/>
  <c r="P24" i="63"/>
  <c r="T15" i="63" s="1"/>
  <c r="P24" i="51"/>
  <c r="P24" i="66"/>
  <c r="T15" i="66" s="1"/>
  <c r="U15" i="66" s="1"/>
  <c r="P39" i="53"/>
  <c r="T30" i="53" s="1"/>
  <c r="P24" i="62"/>
  <c r="S24" i="62" s="1"/>
  <c r="T15" i="62" s="1"/>
  <c r="P39" i="52"/>
  <c r="T30" i="52" s="1"/>
  <c r="S54" i="62"/>
  <c r="T45" i="62" s="1"/>
  <c r="P39" i="56"/>
  <c r="T30" i="56" s="1"/>
  <c r="P24" i="53"/>
  <c r="S24" i="53" s="1"/>
  <c r="T15" i="53" s="1"/>
  <c r="P39" i="48"/>
  <c r="T30" i="48" s="1"/>
  <c r="P24" i="50"/>
  <c r="S24" i="50" s="1"/>
  <c r="T15" i="50" s="1"/>
  <c r="R15" i="60"/>
  <c r="R24" i="60" s="1"/>
  <c r="P24" i="60"/>
  <c r="S54" i="56"/>
  <c r="T45" i="56" s="1"/>
  <c r="S24" i="52" l="1"/>
  <c r="T15" i="52" s="1"/>
  <c r="S24" i="58"/>
  <c r="T15" i="58" s="1"/>
  <c r="T30" i="67"/>
  <c r="U30" i="67" s="1"/>
  <c r="T30" i="60"/>
  <c r="U30" i="60" s="1"/>
  <c r="S24" i="65"/>
  <c r="T15" i="65" s="1"/>
  <c r="U15" i="65" s="1"/>
  <c r="S39" i="65"/>
  <c r="T30" i="65" s="1"/>
  <c r="U30" i="65" s="1"/>
  <c r="S39" i="1"/>
  <c r="T30" i="1" s="1"/>
  <c r="S54" i="57"/>
  <c r="T45" i="57" s="1"/>
  <c r="U45" i="57" s="1"/>
  <c r="S24" i="48"/>
  <c r="T15" i="48" s="1"/>
  <c r="S39" i="57"/>
  <c r="T30" i="57" s="1"/>
  <c r="U30" i="57" s="1"/>
  <c r="S39" i="62"/>
  <c r="T30" i="62" s="1"/>
  <c r="T15" i="67"/>
  <c r="U19" i="67" s="1"/>
  <c r="S24" i="51"/>
  <c r="T15" i="51" s="1"/>
  <c r="T15" i="60"/>
  <c r="U15" i="60" s="1"/>
  <c r="U15" i="67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PROJEÇÃO" description="Conexão com a consulta 'PROJEÇÃO' na pasta de trabalho." type="5" refreshedVersion="8" background="1" saveData="1">
    <dbPr connection="Provider=Microsoft.Mashup.OleDb.1;Data Source=$Workbook$;Location=PROJEÇÃO;Extended Properties=&quot;&quot;" command="SELECT * FROM [PROJEÇÃO]"/>
  </connection>
  <connection id="2" xr16:uid="{00000000-0015-0000-FFFF-FFFF01000000}" keepAlive="1" name="Consulta - REALIZADO" description="Conexão com a consulta 'REALIZADO' na pasta de trabalho." type="5" refreshedVersion="8" background="1" saveData="1">
    <dbPr connection="Provider=Microsoft.Mashup.OleDb.1;Data Source=$Workbook$;Location=REALIZADO;Extended Properties=&quot;&quot;" command="SELECT * FROM [REALIZADO]"/>
  </connection>
</connections>
</file>

<file path=xl/sharedStrings.xml><?xml version="1.0" encoding="utf-8"?>
<sst xmlns="http://schemas.openxmlformats.org/spreadsheetml/2006/main" count="3006" uniqueCount="243">
  <si>
    <t>VENDEDOR</t>
  </si>
  <si>
    <t>ESSENCIAIS</t>
  </si>
  <si>
    <t>MÓVEL</t>
  </si>
  <si>
    <t>SEGURO</t>
  </si>
  <si>
    <t>A</t>
  </si>
  <si>
    <t>B</t>
  </si>
  <si>
    <t>COMISSÃO</t>
  </si>
  <si>
    <t>&lt;50</t>
  </si>
  <si>
    <t>PREMIAÇÃO ALTO DESEMPENHO</t>
  </si>
  <si>
    <t>INDIVIDUAL</t>
  </si>
  <si>
    <t>PREMIO ALTA PERFORMANCE</t>
  </si>
  <si>
    <t>LOJA</t>
  </si>
  <si>
    <t>PREMIO LOJA</t>
  </si>
  <si>
    <t>FIXA</t>
  </si>
  <si>
    <t>SVA</t>
  </si>
  <si>
    <t>VENDEU GANHOU</t>
  </si>
  <si>
    <t>ELETRONICOS</t>
  </si>
  <si>
    <t>&gt;15</t>
  </si>
  <si>
    <t>&lt;15</t>
  </si>
  <si>
    <t>Smartphone</t>
  </si>
  <si>
    <t>GERENTE</t>
  </si>
  <si>
    <t>CARTEIRA</t>
  </si>
  <si>
    <t>PREMIO CARTEIRA</t>
  </si>
  <si>
    <t>COORDENADOR</t>
  </si>
  <si>
    <t>RECEPCIONISTA / GURU</t>
  </si>
  <si>
    <t>PREMIAÇÃO FIXA</t>
  </si>
  <si>
    <t>PREMIAÇÃO</t>
  </si>
  <si>
    <t>ANCHIETA</t>
  </si>
  <si>
    <t>ARIEL</t>
  </si>
  <si>
    <t>BOM JESUS DO ITABAPOANA</t>
  </si>
  <si>
    <t>ICONHA</t>
  </si>
  <si>
    <t>MIRACEMA</t>
  </si>
  <si>
    <t>PIUMA</t>
  </si>
  <si>
    <t>QUISSAMA</t>
  </si>
  <si>
    <t>SANTO ANTONIO DE PADUA</t>
  </si>
  <si>
    <t>SAO FIDELIS</t>
  </si>
  <si>
    <t>CENTRO VILA VELHA</t>
  </si>
  <si>
    <t>IGOR</t>
  </si>
  <si>
    <t>CENTRO VIX</t>
  </si>
  <si>
    <t>GLÓRIA</t>
  </si>
  <si>
    <t>JARDIM CAMBURI</t>
  </si>
  <si>
    <t>MASTERPLACE</t>
  </si>
  <si>
    <t>NORTE SUL</t>
  </si>
  <si>
    <t>ITACIBA</t>
  </si>
  <si>
    <t>JACARAÍPE</t>
  </si>
  <si>
    <t>THAYANDRA</t>
  </si>
  <si>
    <t>LARANJEIRAS</t>
  </si>
  <si>
    <t>MARCILIO DE NORONHA</t>
  </si>
  <si>
    <t>MONTSERRAT</t>
  </si>
  <si>
    <t>PORTO CANOA</t>
  </si>
  <si>
    <t>SERRA SEDE</t>
  </si>
  <si>
    <t>SEDE ADMINISTRATIVA</t>
  </si>
  <si>
    <t>RCX</t>
  </si>
  <si>
    <t>CONSULTOR</t>
  </si>
  <si>
    <t>PDV</t>
  </si>
  <si>
    <t>AT_MOVEL</t>
  </si>
  <si>
    <t>META_MOVEL</t>
  </si>
  <si>
    <t>F_M_MOVEL</t>
  </si>
  <si>
    <t>AT_FIXA</t>
  </si>
  <si>
    <t>META_FIXA</t>
  </si>
  <si>
    <t>F_M_FIXA</t>
  </si>
  <si>
    <t>AT_SMARTPHONE</t>
  </si>
  <si>
    <t>META_SMARTPHONE</t>
  </si>
  <si>
    <t>F_M_SMARTPHONE</t>
  </si>
  <si>
    <t>AT_ACESSORIOS_A</t>
  </si>
  <si>
    <t>AT_ACESSORIOS_B</t>
  </si>
  <si>
    <t>META_ACESSORIO</t>
  </si>
  <si>
    <t>F_M_ACESSORIOS</t>
  </si>
  <si>
    <t>AT_ESSENCIAIS_A</t>
  </si>
  <si>
    <t>AT_ESSENCIAIS_B</t>
  </si>
  <si>
    <t>META_ESSENCIAIS</t>
  </si>
  <si>
    <t>F_M_ESSENCIAIS</t>
  </si>
  <si>
    <t>AT_SEGUROS</t>
  </si>
  <si>
    <t>META_SEGUROS</t>
  </si>
  <si>
    <t>F_M_SEGUROS</t>
  </si>
  <si>
    <t>AT_SVA</t>
  </si>
  <si>
    <t>META_SVA</t>
  </si>
  <si>
    <t>F_M_SVA</t>
  </si>
  <si>
    <t>COORDENAÇÃO</t>
  </si>
  <si>
    <t>EVELYN MAVYE SILVEIRA</t>
  </si>
  <si>
    <t>GABRIEL PINHEIRO BORGES</t>
  </si>
  <si>
    <t>MILENA SILVA MARTINS</t>
  </si>
  <si>
    <t>ALISSON PAULO SILVA</t>
  </si>
  <si>
    <t>GIAN BATISTA BRANCO</t>
  </si>
  <si>
    <t>SHIRLEY SILVA MOREIRA</t>
  </si>
  <si>
    <t>ALICE COSTALONGA COLLI</t>
  </si>
  <si>
    <t>TAHINA PAHINS COELHO</t>
  </si>
  <si>
    <t>BARBARA BORGES OLIVEIRA</t>
  </si>
  <si>
    <t>SAFYRA GOMES QUINTILIANO</t>
  </si>
  <si>
    <t>RODRIGO ARAUJO BRAU</t>
  </si>
  <si>
    <t>BIANCA SALES SILVA</t>
  </si>
  <si>
    <t>GYSELLA MOURA COSTA</t>
  </si>
  <si>
    <t>KLEYDSON NASCIMENTO DE JESUS</t>
  </si>
  <si>
    <t>MARYHANY DA SILVA LIMA</t>
  </si>
  <si>
    <t>MATHEUS DE OLIVEIRA ROBERTO</t>
  </si>
  <si>
    <t>CARLOS LUCAS FREIRE SANTANA PEREIRA</t>
  </si>
  <si>
    <t>THABATA ALVES DA SILVA SANTOS</t>
  </si>
  <si>
    <t>HEMILLY NUNES FERREIRA</t>
  </si>
  <si>
    <t>MARYA HEDUARDA SARTORE ALVES</t>
  </si>
  <si>
    <t>JOHANN RAMOS SCHEIDEGGER</t>
  </si>
  <si>
    <t>MARIA FERNANDA XAVIER GONÇALVES</t>
  </si>
  <si>
    <t>MATHEUS FERREIRA DE CASTRO</t>
  </si>
  <si>
    <t>HEMILLY LAVYNNE RODRIGUES GAMA</t>
  </si>
  <si>
    <t>FELIPE GOMES RICIERI</t>
  </si>
  <si>
    <t>WESLEY FILIPE MICAEL DA SILVA</t>
  </si>
  <si>
    <t>STEFANY GOMES MASCARENHAS</t>
  </si>
  <si>
    <t>ARTHUR BARBOSA SCHMIDT DE OLIVEIRA</t>
  </si>
  <si>
    <t>REBECA RODRIGUES FIGUEIREDO DA SILVA</t>
  </si>
  <si>
    <t>ÁLIFFER PEREIRA SARMENTO</t>
  </si>
  <si>
    <t>AGATHA TEIXEIRA TARABAL</t>
  </si>
  <si>
    <t>LAVINIA MONTEIRO ALMEIDA</t>
  </si>
  <si>
    <t>EDUARDO FERREIRA PEREIRA</t>
  </si>
  <si>
    <t>LUCAS DO SANTOS SILVA</t>
  </si>
  <si>
    <t>NICOLAS TEIXEIRA PIMENTEL</t>
  </si>
  <si>
    <t>BRENDA FAGUNDES DE SOUZA</t>
  </si>
  <si>
    <t>IORANA CERQUEIRA DOS SANTOS</t>
  </si>
  <si>
    <t>WEVERSON CARVALHO</t>
  </si>
  <si>
    <t>GABRIEL RODRIGUES DE AZEVEDO</t>
  </si>
  <si>
    <t>FELIPE MARTINS DA SILVA</t>
  </si>
  <si>
    <t>GUILHERME PRADO TEIXEIRA</t>
  </si>
  <si>
    <t>OTAVIO CUNHA RODRIGUES</t>
  </si>
  <si>
    <t>SYMONTON BENÍCIO LANA</t>
  </si>
  <si>
    <t>RYAN MARQUES ALVES SILVA</t>
  </si>
  <si>
    <t>JOÃO PEDRO MACHADO ZACARIAS</t>
  </si>
  <si>
    <t>LIDIA DE OLIVEIRA GONÇALVES ATAIDE</t>
  </si>
  <si>
    <t>ANA LUÍSA GOMES SANTANA</t>
  </si>
  <si>
    <t>DANIEL ROSA NUNES</t>
  </si>
  <si>
    <t>HUDSON MARIANI</t>
  </si>
  <si>
    <t>LILIAN ARCANJO PESSOA</t>
  </si>
  <si>
    <t>LIVYA KUHN DE OLIVEIRA</t>
  </si>
  <si>
    <t>MARIA VITÓRIA DE LUCENA SOUSA</t>
  </si>
  <si>
    <t>PAMELA ADÃO DIAS</t>
  </si>
  <si>
    <t>RAFAEL BISPO DE SOUZA</t>
  </si>
  <si>
    <t>RAFAEL ARCHANJO CADORINI</t>
  </si>
  <si>
    <t>SÂMELLA ELYZA BARBOZA LAGASSE</t>
  </si>
  <si>
    <t>LOHAINA EMANUELLY PIOTZ</t>
  </si>
  <si>
    <t>LAÍZA MATEUS ROCHA</t>
  </si>
  <si>
    <t>NOEMI BATISTA DOS SANTOS</t>
  </si>
  <si>
    <t>PAULO JOSE DIAS GOMES</t>
  </si>
  <si>
    <t>RYAN ALVES FERNANDES</t>
  </si>
  <si>
    <t>RAYTNER CHRISTIAN SOARES SANTANA</t>
  </si>
  <si>
    <t>ANNA CLARA DIAS MEDEIROS BATISTA</t>
  </si>
  <si>
    <t>GABRIELA DE BARCELLOS DOMINGUES</t>
  </si>
  <si>
    <t>ROSANA GOMES DE SOUZA GONCALVES</t>
  </si>
  <si>
    <t>EMANUELE GOMES COSTA</t>
  </si>
  <si>
    <t>VITÓRIA ROMERO SILVA DE SOUZA</t>
  </si>
  <si>
    <t>MICHELLE DA FONTE GARCIA</t>
  </si>
  <si>
    <t>NATALIA  ALVES RICARDO VICENTE</t>
  </si>
  <si>
    <t>ARTHUR GONÇALVES MILED MONTEIRO</t>
  </si>
  <si>
    <t>CAMILE NUNES MARQUES DE OLIVEIRA</t>
  </si>
  <si>
    <t>JENNIFFER BURMANN CORREIA</t>
  </si>
  <si>
    <t>LAVINIA FERREIRA MONTARROYOS PEREIRA</t>
  </si>
  <si>
    <t>WELLINGTON BOTELHO MOTA</t>
  </si>
  <si>
    <t>ANA CAROLINA XAVIER GONÇALVES</t>
  </si>
  <si>
    <t>WILIVIM FELICIO ANTÔNIO DAMASCENO</t>
  </si>
  <si>
    <t>ZION LOUREIRO SIMOES</t>
  </si>
  <si>
    <t>RAQUEL ROSA RODRIGUES</t>
  </si>
  <si>
    <t>NICOLE MARTA PEREIRA BRAGA</t>
  </si>
  <si>
    <t>PEDRO HENRIK TAVARES CORREIA</t>
  </si>
  <si>
    <t>JANERSON VICTOR GONÇALVES AZEVEDO</t>
  </si>
  <si>
    <t xml:space="preserve">GUSTAVO SANTOS MONTE MOR </t>
  </si>
  <si>
    <t>VIVIANI SILVA CIMA</t>
  </si>
  <si>
    <t>JEANE DE OLIVEIRA SILVA</t>
  </si>
  <si>
    <t>KALINCA EMANUELY LOPES ALVES</t>
  </si>
  <si>
    <t>MATEUS DA SILVA CARLOS DE MELLO</t>
  </si>
  <si>
    <t>FABIANO RODRIGUES CLAUDIANO</t>
  </si>
  <si>
    <t>MARCIO BATISTA DE SOUZA</t>
  </si>
  <si>
    <t>ERICLES FRANCA RIBEIRO DE SOUZA</t>
  </si>
  <si>
    <t>ELIENARIA AMARO DIAS</t>
  </si>
  <si>
    <t>DJALMA XAVIER SILVA NETO</t>
  </si>
  <si>
    <t>NICOLAS LIMA DA SILVA AZEREDO</t>
  </si>
  <si>
    <t>LAIS BERNARDINO GONÇALVES</t>
  </si>
  <si>
    <t>GEISIMARY MARTINS GOMES PENNA</t>
  </si>
  <si>
    <t>EDNA ALMEIDA VILA NOVA</t>
  </si>
  <si>
    <t>JUNIOR PAUTZ DE SOUZA</t>
  </si>
  <si>
    <t>LORENA LOUIZE RAMOS</t>
  </si>
  <si>
    <t>MYRELLA DA CRUZ SIQUEIRA</t>
  </si>
  <si>
    <t>VITORIA CRISTINA GOMES DA SILVA</t>
  </si>
  <si>
    <t>MAURICIO ALVES DOS SANTOS</t>
  </si>
  <si>
    <t>ADELINE BISPO SOUZA</t>
  </si>
  <si>
    <t>BRUNA NEGRIS MARTINS</t>
  </si>
  <si>
    <t>FILIPI ANTONIO TEIXEIRA</t>
  </si>
  <si>
    <t>GUSTAVO RODRIGUES PAULINO</t>
  </si>
  <si>
    <t>CARLOS EDUARDO DOS REIS SILVA</t>
  </si>
  <si>
    <t>PROJ_MOVEL</t>
  </si>
  <si>
    <t>PROJ_FIXA</t>
  </si>
  <si>
    <t>PROJ_BL</t>
  </si>
  <si>
    <t>PROJ_APARELHO</t>
  </si>
  <si>
    <t>PROJ_ESSENCIAIS</t>
  </si>
  <si>
    <t>PROJ_ACESSORIOS</t>
  </si>
  <si>
    <t>PROJ_SEGURO</t>
  </si>
  <si>
    <t>PROJ_SVA</t>
  </si>
  <si>
    <t>PROJ_PÓS</t>
  </si>
  <si>
    <t>PROJ_CONTROLE</t>
  </si>
  <si>
    <t>PROJ_MOVEL_B2B</t>
  </si>
  <si>
    <t>PROJ_FIXA_B2B</t>
  </si>
  <si>
    <t>PROJ_ELETRO_A</t>
  </si>
  <si>
    <t>PROJ_ELETRO_B</t>
  </si>
  <si>
    <t>PROJ_ESSEN_A</t>
  </si>
  <si>
    <t>PROJ_ESSEN_B</t>
  </si>
  <si>
    <t>PROJ_BL%</t>
  </si>
  <si>
    <t>LUIZ</t>
  </si>
  <si>
    <t>SELECIONE A LOJA</t>
  </si>
  <si>
    <t>CENTRO VV</t>
  </si>
  <si>
    <t>JACARAIPE</t>
  </si>
  <si>
    <t>BOM JESUS</t>
  </si>
  <si>
    <t>ST PADUA</t>
  </si>
  <si>
    <t>SIMULADOR GERENTE</t>
  </si>
  <si>
    <t>HUNTER</t>
  </si>
  <si>
    <t>MOVEL</t>
  </si>
  <si>
    <t>SMARTPHONE</t>
  </si>
  <si>
    <t>ESSESCIAIS</t>
  </si>
  <si>
    <t>SEGUROS</t>
  </si>
  <si>
    <t>PROJEÇÃO</t>
  </si>
  <si>
    <t>PILAR</t>
  </si>
  <si>
    <t>PROJ PDV</t>
  </si>
  <si>
    <t>% - COMISSÃO</t>
  </si>
  <si>
    <t>% - PREMIAÇÃO ALTO DESEMP. INDIV.</t>
  </si>
  <si>
    <t>R$ - COMISSÃO</t>
  </si>
  <si>
    <t>R$ - PREMIAÇÃO ALTO DESEMP. INDIV.</t>
  </si>
  <si>
    <t>R$ - COMISSÃO + PREMIAÇÃO INDIV.</t>
  </si>
  <si>
    <t>PROJ CARTEIRA</t>
  </si>
  <si>
    <t>% - PREMIAÇÃO ALTO DESEMPENHO PDV</t>
  </si>
  <si>
    <t>R$ - PREMIAÇÃO ALTO DESEMPENHO PDV</t>
  </si>
  <si>
    <t>R$ - COMISSÃO + PREMIAÇÕES</t>
  </si>
  <si>
    <t>HUNTER 2</t>
  </si>
  <si>
    <t>HUNTER 3</t>
  </si>
  <si>
    <t>6/7 PPILARES</t>
  </si>
  <si>
    <t>GANHO TOTAL</t>
  </si>
  <si>
    <t>META</t>
  </si>
  <si>
    <t>ATINGIMENTO</t>
  </si>
  <si>
    <t>SMARTPHONES</t>
  </si>
  <si>
    <t>ELETRONICOS - A</t>
  </si>
  <si>
    <t>ELETRONICOS - B</t>
  </si>
  <si>
    <t>ESSENCIAIS - A</t>
  </si>
  <si>
    <t>ESSENCIAIS - B</t>
  </si>
  <si>
    <t>REALIZADO</t>
  </si>
  <si>
    <t>REAL PDV</t>
  </si>
  <si>
    <t>REAL CARTEIRA</t>
  </si>
  <si>
    <t>SIMULADOR</t>
  </si>
  <si>
    <t>GANHO TOTAL GG</t>
  </si>
  <si>
    <t>GANHO TOTAL GO</t>
  </si>
  <si>
    <t>JOHANN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</si>
</sst>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0.000%"/>
    <numFmt numFmtId="165" formatCode="0.0%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7030A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2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E51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33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FF"/>
        <bgColor rgb="FF000000"/>
      </patternFill>
    </fill>
  </fills>
  <borders count="105">
    <border>
      <left/>
      <right/>
      <top/>
      <bottom/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/>
      <diagonal/>
    </border>
    <border>
      <left/>
      <right style="thin">
        <color theme="0" tint="-0.249977111117893"/>
      </right>
      <top style="thin">
        <color theme="0" tint="-0.249977111117893"/>
      </top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/>
      </top>
      <bottom style="thin">
        <color theme="0" tint="-0.249977111117893"/>
      </bottom>
      <diagonal/>
    </border>
    <border>
      <left/>
      <right style="thin">
        <color theme="0"/>
      </right>
      <top style="thin">
        <color theme="0"/>
      </top>
      <bottom style="thin">
        <color theme="0" tint="-0.249977111117893"/>
      </bottom>
      <diagonal/>
    </border>
    <border>
      <left style="thin">
        <color theme="0" tint="-0.34998626667073579"/>
      </left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/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/>
      </top>
      <bottom/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249977111117893"/>
      </top>
      <bottom/>
      <diagonal/>
    </border>
    <border>
      <left style="thin">
        <color theme="0" tint="-0.34998626667073579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/>
      <top style="thin">
        <color theme="0"/>
      </top>
      <bottom style="thin">
        <color theme="0" tint="-0.249977111117893"/>
      </bottom>
      <diagonal/>
    </border>
    <border>
      <left/>
      <right style="thin">
        <color theme="0" tint="-0.34998626667073579"/>
      </right>
      <top style="thin">
        <color theme="0"/>
      </top>
      <bottom style="thin">
        <color theme="0"/>
      </bottom>
      <diagonal/>
    </border>
    <border>
      <left style="thin">
        <color theme="0" tint="-0.34998626667073579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34998626667073579"/>
      </right>
      <top style="thin">
        <color theme="0"/>
      </top>
      <bottom/>
      <diagonal/>
    </border>
    <border>
      <left/>
      <right style="thin">
        <color theme="0" tint="-0.34998626667073579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 tint="-0.34998626667073579"/>
      </bottom>
      <diagonal/>
    </border>
    <border>
      <left style="thin">
        <color theme="0"/>
      </left>
      <right/>
      <top/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499984740745262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499984740745262"/>
      </left>
      <right/>
      <top/>
      <bottom/>
      <diagonal/>
    </border>
    <border>
      <left style="thin">
        <color theme="0" tint="-0.34998626667073579"/>
      </left>
      <right/>
      <top/>
      <bottom style="thin">
        <color theme="0" tint="-0.249977111117893"/>
      </bottom>
      <diagonal/>
    </border>
    <border>
      <left style="thin">
        <color theme="0" tint="-0.34998626667073579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34998626667073579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34998626667073579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34998626667073579"/>
      </bottom>
      <diagonal/>
    </border>
    <border>
      <left style="thin">
        <color theme="0" tint="-0.249977111117893"/>
      </left>
      <right style="thin">
        <color theme="0" tint="-0.34998626667073579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34998626667073579"/>
      </right>
      <top/>
      <bottom/>
      <diagonal/>
    </border>
    <border>
      <left style="thin">
        <color theme="0" tint="-0.249977111117893"/>
      </left>
      <right style="thin">
        <color theme="0" tint="-0.34998626667073579"/>
      </right>
      <top/>
      <bottom style="thin">
        <color theme="0"/>
      </bottom>
      <diagonal/>
    </border>
    <border>
      <left style="thin">
        <color theme="0" tint="-0.249977111117893"/>
      </left>
      <right style="thin">
        <color theme="0" tint="-0.34998626667073579"/>
      </right>
      <top/>
      <bottom style="thin">
        <color theme="0" tint="-0.249977111117893"/>
      </bottom>
      <diagonal/>
    </border>
    <border>
      <left style="thin">
        <color theme="0" tint="-0.34998626667073579"/>
      </left>
      <right style="thin">
        <color theme="0" tint="-0.249977111117893"/>
      </right>
      <top/>
      <bottom style="thin">
        <color theme="0" tint="-0.34998626667073579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/>
      </left>
      <right/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 tint="-0.34998626667073579"/>
      </left>
      <right style="thin">
        <color rgb="FFA6A6A6"/>
      </right>
      <top style="thin">
        <color rgb="FFBFBFBF"/>
      </top>
      <bottom/>
      <diagonal/>
    </border>
    <border>
      <left style="thin">
        <color theme="0" tint="-0.34998626667073579"/>
      </left>
      <right style="thin">
        <color rgb="FFA6A6A6"/>
      </right>
      <top/>
      <bottom style="thin">
        <color rgb="FFBFBFBF"/>
      </bottom>
      <diagonal/>
    </border>
    <border>
      <left/>
      <right style="thin">
        <color theme="0"/>
      </right>
      <top/>
      <bottom style="thin">
        <color theme="0" tint="-0.249977111117893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 tint="-0.34998626667073579"/>
      </left>
      <right style="thin">
        <color rgb="FFA6A6A6"/>
      </right>
      <top/>
      <bottom/>
      <diagonal/>
    </border>
    <border>
      <left style="thin">
        <color rgb="FFA6A6A6"/>
      </left>
      <right style="thin">
        <color rgb="FFA6A6A6"/>
      </right>
      <top/>
      <bottom style="thin">
        <color rgb="FFBFBFBF"/>
      </bottom>
      <diagonal/>
    </border>
    <border>
      <left style="thin">
        <color rgb="FFA6A6A6"/>
      </left>
      <right style="thin">
        <color rgb="FFA6A6A6"/>
      </right>
      <top/>
      <bottom/>
      <diagonal/>
    </border>
    <border>
      <left style="thin">
        <color theme="0" tint="-0.249977111117893"/>
      </left>
      <right style="thin">
        <color rgb="FFA6A6A6"/>
      </right>
      <top style="thin">
        <color theme="0" tint="-0.249977111117893"/>
      </top>
      <bottom/>
      <diagonal/>
    </border>
    <border>
      <left style="thin">
        <color theme="0" tint="-0.249977111117893"/>
      </left>
      <right style="thin">
        <color rgb="FFA6A6A6"/>
      </right>
      <top/>
      <bottom style="thin">
        <color theme="0" tint="-0.249977111117893"/>
      </bottom>
      <diagonal/>
    </border>
    <border>
      <left style="thin">
        <color theme="0" tint="-0.249977111117893"/>
      </left>
      <right style="thin">
        <color rgb="FFA6A6A6"/>
      </right>
      <top style="thin">
        <color rgb="FFBFBFBF"/>
      </top>
      <bottom/>
      <diagonal/>
    </border>
    <border>
      <left style="thin">
        <color rgb="FFA6A6A6"/>
      </left>
      <right style="thin">
        <color rgb="FFA6A6A6"/>
      </right>
      <top style="thin">
        <color theme="0"/>
      </top>
      <bottom/>
      <diagonal/>
    </border>
    <border>
      <left style="thin">
        <color rgb="FFA6A6A6"/>
      </left>
      <right style="thin">
        <color rgb="FFA6A6A6"/>
      </right>
      <top style="thin">
        <color rgb="FFFFFFFF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0" borderId="0" applyNumberFormat="0" applyFill="0" applyBorder="0" applyAlignment="0" applyProtection="0"/>
  </cellStyleXfs>
  <cellXfs count="256">
    <xf numFmtId="0" fontId="0" fillId="0" borderId="0" xfId="0"/>
    <xf numFmtId="0" fontId="4" fillId="0" borderId="0" xfId="0" applyFont="1"/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8" xfId="0" applyFill="1" applyBorder="1"/>
    <xf numFmtId="10" fontId="0" fillId="0" borderId="10" xfId="2" applyNumberFormat="1" applyFont="1" applyFill="1" applyBorder="1" applyAlignment="1">
      <alignment horizontal="center"/>
    </xf>
    <xf numFmtId="44" fontId="0" fillId="0" borderId="10" xfId="0" applyNumberFormat="1" applyBorder="1"/>
    <xf numFmtId="44" fontId="0" fillId="0" borderId="11" xfId="0" applyNumberFormat="1" applyBorder="1"/>
    <xf numFmtId="44" fontId="0" fillId="0" borderId="3" xfId="1" applyFont="1" applyFill="1" applyBorder="1" applyAlignment="1">
      <alignment horizontal="center"/>
    </xf>
    <xf numFmtId="10" fontId="0" fillId="0" borderId="0" xfId="2" applyNumberFormat="1" applyFont="1" applyFill="1" applyBorder="1" applyAlignment="1">
      <alignment horizontal="center"/>
    </xf>
    <xf numFmtId="44" fontId="0" fillId="0" borderId="12" xfId="0" applyNumberFormat="1" applyBorder="1"/>
    <xf numFmtId="44" fontId="0" fillId="0" borderId="0" xfId="1" applyFont="1" applyFill="1" applyBorder="1" applyAlignment="1">
      <alignment horizontal="center"/>
    </xf>
    <xf numFmtId="44" fontId="0" fillId="0" borderId="13" xfId="1" applyFont="1" applyFill="1" applyBorder="1" applyAlignment="1">
      <alignment horizontal="center"/>
    </xf>
    <xf numFmtId="10" fontId="0" fillId="0" borderId="14" xfId="2" applyNumberFormat="1" applyFont="1" applyFill="1" applyBorder="1" applyAlignment="1">
      <alignment horizontal="center"/>
    </xf>
    <xf numFmtId="44" fontId="0" fillId="0" borderId="14" xfId="0" applyNumberFormat="1" applyBorder="1"/>
    <xf numFmtId="44" fontId="0" fillId="0" borderId="15" xfId="0" applyNumberFormat="1" applyBorder="1"/>
    <xf numFmtId="44" fontId="0" fillId="0" borderId="5" xfId="1" applyFont="1" applyFill="1" applyBorder="1" applyAlignment="1">
      <alignment horizontal="center"/>
    </xf>
    <xf numFmtId="0" fontId="0" fillId="5" borderId="2" xfId="0" applyFill="1" applyBorder="1"/>
    <xf numFmtId="0" fontId="0" fillId="6" borderId="2" xfId="0" applyFill="1" applyBorder="1"/>
    <xf numFmtId="44" fontId="0" fillId="0" borderId="17" xfId="1" applyFont="1" applyBorder="1" applyAlignment="1">
      <alignment horizontal="center" vertical="center"/>
    </xf>
    <xf numFmtId="10" fontId="4" fillId="2" borderId="17" xfId="2" applyNumberFormat="1" applyFont="1" applyFill="1" applyBorder="1" applyAlignment="1">
      <alignment horizontal="center" vertical="center"/>
    </xf>
    <xf numFmtId="9" fontId="4" fillId="2" borderId="17" xfId="2" applyFont="1" applyFill="1" applyBorder="1" applyAlignment="1">
      <alignment horizontal="center" vertical="center"/>
    </xf>
    <xf numFmtId="0" fontId="0" fillId="0" borderId="18" xfId="0" applyBorder="1"/>
    <xf numFmtId="164" fontId="0" fillId="0" borderId="17" xfId="2" applyNumberFormat="1" applyFont="1" applyBorder="1" applyAlignment="1">
      <alignment horizontal="center" vertical="center"/>
    </xf>
    <xf numFmtId="0" fontId="0" fillId="0" borderId="22" xfId="0" applyBorder="1"/>
    <xf numFmtId="0" fontId="0" fillId="0" borderId="25" xfId="0" applyBorder="1"/>
    <xf numFmtId="0" fontId="0" fillId="0" borderId="26" xfId="0" applyBorder="1"/>
    <xf numFmtId="9" fontId="2" fillId="2" borderId="17" xfId="2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10" fontId="0" fillId="0" borderId="35" xfId="2" applyNumberFormat="1" applyFont="1" applyBorder="1" applyAlignment="1">
      <alignment horizontal="center" vertical="center"/>
    </xf>
    <xf numFmtId="9" fontId="0" fillId="0" borderId="35" xfId="2" applyFont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0" fillId="2" borderId="17" xfId="0" applyFill="1" applyBorder="1" applyAlignment="1">
      <alignment horizontal="center" vertical="center"/>
    </xf>
    <xf numFmtId="10" fontId="0" fillId="0" borderId="0" xfId="2" applyNumberFormat="1" applyFont="1" applyBorder="1" applyAlignment="1">
      <alignment horizontal="center" vertical="center"/>
    </xf>
    <xf numFmtId="10" fontId="0" fillId="0" borderId="17" xfId="2" applyNumberFormat="1" applyFont="1" applyBorder="1" applyAlignment="1">
      <alignment horizontal="center" vertical="center"/>
    </xf>
    <xf numFmtId="0" fontId="6" fillId="7" borderId="17" xfId="0" applyFont="1" applyFill="1" applyBorder="1" applyAlignment="1">
      <alignment horizontal="center" vertical="center"/>
    </xf>
    <xf numFmtId="165" fontId="0" fillId="0" borderId="17" xfId="2" applyNumberFormat="1" applyFont="1" applyBorder="1" applyAlignment="1">
      <alignment horizontal="center" vertical="center"/>
    </xf>
    <xf numFmtId="0" fontId="0" fillId="7" borderId="41" xfId="0" applyFill="1" applyBorder="1" applyAlignment="1">
      <alignment horizontal="center" vertical="center"/>
    </xf>
    <xf numFmtId="165" fontId="0" fillId="0" borderId="35" xfId="2" applyNumberFormat="1" applyFont="1" applyBorder="1" applyAlignment="1">
      <alignment horizontal="center" vertical="center"/>
    </xf>
    <xf numFmtId="9" fontId="0" fillId="0" borderId="41" xfId="2" applyFont="1" applyBorder="1" applyAlignment="1">
      <alignment horizontal="center" vertical="center"/>
    </xf>
    <xf numFmtId="9" fontId="0" fillId="0" borderId="43" xfId="2" applyFont="1" applyBorder="1" applyAlignment="1">
      <alignment horizontal="center" vertical="center"/>
    </xf>
    <xf numFmtId="9" fontId="0" fillId="0" borderId="17" xfId="2" applyFont="1" applyBorder="1" applyAlignment="1">
      <alignment horizontal="center" vertical="center"/>
    </xf>
    <xf numFmtId="0" fontId="3" fillId="0" borderId="48" xfId="0" applyFont="1" applyBorder="1"/>
    <xf numFmtId="0" fontId="3" fillId="0" borderId="49" xfId="0" applyFont="1" applyBorder="1"/>
    <xf numFmtId="0" fontId="3" fillId="0" borderId="49" xfId="0" applyFont="1" applyBorder="1" applyAlignment="1">
      <alignment vertical="center"/>
    </xf>
    <xf numFmtId="0" fontId="3" fillId="0" borderId="50" xfId="0" applyFont="1" applyBorder="1"/>
    <xf numFmtId="10" fontId="0" fillId="0" borderId="53" xfId="2" applyNumberFormat="1" applyFont="1" applyFill="1" applyBorder="1" applyAlignment="1">
      <alignment horizontal="center"/>
    </xf>
    <xf numFmtId="10" fontId="0" fillId="0" borderId="54" xfId="2" applyNumberFormat="1" applyFont="1" applyFill="1" applyBorder="1" applyAlignment="1">
      <alignment horizontal="center"/>
    </xf>
    <xf numFmtId="10" fontId="0" fillId="0" borderId="57" xfId="2" applyNumberFormat="1" applyFont="1" applyFill="1" applyBorder="1" applyAlignment="1">
      <alignment horizontal="center"/>
    </xf>
    <xf numFmtId="0" fontId="5" fillId="0" borderId="11" xfId="0" applyFont="1" applyBorder="1" applyAlignment="1">
      <alignment horizontal="center"/>
    </xf>
    <xf numFmtId="44" fontId="0" fillId="9" borderId="51" xfId="1" applyFont="1" applyFill="1" applyBorder="1"/>
    <xf numFmtId="44" fontId="0" fillId="9" borderId="52" xfId="1" applyFont="1" applyFill="1" applyBorder="1"/>
    <xf numFmtId="44" fontId="0" fillId="9" borderId="47" xfId="1" applyFont="1" applyFill="1" applyBorder="1"/>
    <xf numFmtId="44" fontId="0" fillId="9" borderId="0" xfId="1" applyFont="1" applyFill="1" applyBorder="1"/>
    <xf numFmtId="44" fontId="0" fillId="9" borderId="55" xfId="1" applyFont="1" applyFill="1" applyBorder="1"/>
    <xf numFmtId="44" fontId="0" fillId="9" borderId="56" xfId="1" applyFont="1" applyFill="1" applyBorder="1"/>
    <xf numFmtId="0" fontId="0" fillId="0" borderId="56" xfId="0" applyBorder="1"/>
    <xf numFmtId="0" fontId="0" fillId="0" borderId="47" xfId="0" applyBorder="1"/>
    <xf numFmtId="0" fontId="0" fillId="0" borderId="54" xfId="0" applyBorder="1"/>
    <xf numFmtId="0" fontId="2" fillId="2" borderId="59" xfId="0" applyFont="1" applyFill="1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2" borderId="62" xfId="0" applyFill="1" applyBorder="1"/>
    <xf numFmtId="44" fontId="0" fillId="0" borderId="0" xfId="0" applyNumberFormat="1"/>
    <xf numFmtId="0" fontId="4" fillId="2" borderId="55" xfId="0" applyFont="1" applyFill="1" applyBorder="1"/>
    <xf numFmtId="0" fontId="4" fillId="2" borderId="56" xfId="0" applyFont="1" applyFill="1" applyBorder="1"/>
    <xf numFmtId="0" fontId="4" fillId="2" borderId="67" xfId="0" applyFont="1" applyFill="1" applyBorder="1"/>
    <xf numFmtId="0" fontId="4" fillId="2" borderId="68" xfId="0" applyFont="1" applyFill="1" applyBorder="1"/>
    <xf numFmtId="44" fontId="2" fillId="2" borderId="56" xfId="0" applyNumberFormat="1" applyFont="1" applyFill="1" applyBorder="1"/>
    <xf numFmtId="44" fontId="4" fillId="2" borderId="56" xfId="1" applyFont="1" applyFill="1" applyBorder="1"/>
    <xf numFmtId="0" fontId="2" fillId="2" borderId="57" xfId="0" applyFont="1" applyFill="1" applyBorder="1"/>
    <xf numFmtId="44" fontId="0" fillId="0" borderId="0" xfId="1" applyFont="1"/>
    <xf numFmtId="0" fontId="2" fillId="2" borderId="48" xfId="0" applyFont="1" applyFill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44" fontId="0" fillId="9" borderId="69" xfId="1" applyFont="1" applyFill="1" applyBorder="1"/>
    <xf numFmtId="44" fontId="0" fillId="9" borderId="70" xfId="1" applyFont="1" applyFill="1" applyBorder="1"/>
    <xf numFmtId="44" fontId="0" fillId="9" borderId="53" xfId="1" applyFont="1" applyFill="1" applyBorder="1"/>
    <xf numFmtId="44" fontId="0" fillId="9" borderId="57" xfId="1" applyFont="1" applyFill="1" applyBorder="1"/>
    <xf numFmtId="0" fontId="0" fillId="0" borderId="47" xfId="0" applyBorder="1" applyAlignment="1">
      <alignment horizontal="center" vertical="center"/>
    </xf>
    <xf numFmtId="0" fontId="2" fillId="2" borderId="0" xfId="3" applyFont="1" applyFill="1" applyAlignment="1">
      <alignment horizontal="center" vertical="center"/>
    </xf>
    <xf numFmtId="10" fontId="0" fillId="0" borderId="71" xfId="2" applyNumberFormat="1" applyFont="1" applyFill="1" applyBorder="1" applyAlignment="1">
      <alignment horizontal="center"/>
    </xf>
    <xf numFmtId="10" fontId="0" fillId="0" borderId="72" xfId="2" applyNumberFormat="1" applyFont="1" applyFill="1" applyBorder="1" applyAlignment="1">
      <alignment horizontal="center"/>
    </xf>
    <xf numFmtId="0" fontId="0" fillId="0" borderId="7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44" fontId="0" fillId="9" borderId="86" xfId="1" applyFont="1" applyFill="1" applyBorder="1"/>
    <xf numFmtId="44" fontId="0" fillId="9" borderId="88" xfId="1" applyFont="1" applyFill="1" applyBorder="1"/>
    <xf numFmtId="0" fontId="2" fillId="2" borderId="1" xfId="0" applyFont="1" applyFill="1" applyBorder="1"/>
    <xf numFmtId="0" fontId="0" fillId="2" borderId="0" xfId="0" applyFill="1"/>
    <xf numFmtId="0" fontId="0" fillId="2" borderId="96" xfId="0" applyFill="1" applyBorder="1"/>
    <xf numFmtId="44" fontId="2" fillId="2" borderId="56" xfId="1" applyFont="1" applyFill="1" applyBorder="1"/>
    <xf numFmtId="8" fontId="0" fillId="9" borderId="56" xfId="1" applyNumberFormat="1" applyFont="1" applyFill="1" applyBorder="1"/>
    <xf numFmtId="0" fontId="0" fillId="7" borderId="17" xfId="0" applyFill="1" applyBorder="1" applyAlignment="1">
      <alignment horizontal="center" vertical="center"/>
    </xf>
    <xf numFmtId="0" fontId="5" fillId="0" borderId="3" xfId="0" applyFont="1" applyBorder="1" applyAlignment="1">
      <alignment horizontal="center"/>
    </xf>
    <xf numFmtId="0" fontId="2" fillId="2" borderId="0" xfId="0" applyFont="1" applyFill="1" applyAlignment="1">
      <alignment horizontal="center" vertical="center"/>
    </xf>
    <xf numFmtId="44" fontId="0" fillId="9" borderId="47" xfId="1" applyFont="1" applyFill="1" applyBorder="1" applyAlignment="1">
      <alignment horizontal="center" vertical="center"/>
    </xf>
    <xf numFmtId="10" fontId="0" fillId="0" borderId="54" xfId="2" applyNumberFormat="1" applyFont="1" applyFill="1" applyBorder="1" applyAlignment="1">
      <alignment horizontal="center" vertical="center"/>
    </xf>
    <xf numFmtId="9" fontId="0" fillId="0" borderId="3" xfId="0" applyNumberFormat="1" applyBorder="1" applyAlignment="1">
      <alignment horizontal="center" vertical="center"/>
    </xf>
    <xf numFmtId="9" fontId="0" fillId="0" borderId="13" xfId="0" applyNumberFormat="1" applyBorder="1" applyAlignment="1">
      <alignment horizontal="center" vertical="center"/>
    </xf>
    <xf numFmtId="9" fontId="0" fillId="0" borderId="5" xfId="0" applyNumberFormat="1" applyBorder="1" applyAlignment="1">
      <alignment horizontal="center" vertical="center"/>
    </xf>
    <xf numFmtId="44" fontId="2" fillId="4" borderId="65" xfId="0" applyNumberFormat="1" applyFont="1" applyFill="1" applyBorder="1" applyAlignment="1">
      <alignment horizontal="center" vertical="center"/>
    </xf>
    <xf numFmtId="44" fontId="2" fillId="4" borderId="54" xfId="0" applyNumberFormat="1" applyFont="1" applyFill="1" applyBorder="1" applyAlignment="1">
      <alignment horizontal="center" vertical="center"/>
    </xf>
    <xf numFmtId="44" fontId="2" fillId="4" borderId="66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5" fillId="3" borderId="6" xfId="0" applyFont="1" applyFill="1" applyBorder="1" applyAlignment="1">
      <alignment horizontal="center" vertical="center" wrapText="1"/>
    </xf>
    <xf numFmtId="0" fontId="9" fillId="10" borderId="61" xfId="0" applyFont="1" applyFill="1" applyBorder="1" applyAlignment="1">
      <alignment horizontal="center" vertical="center"/>
    </xf>
    <xf numFmtId="0" fontId="9" fillId="10" borderId="45" xfId="0" applyFont="1" applyFill="1" applyBorder="1" applyAlignment="1">
      <alignment horizontal="center" vertical="center"/>
    </xf>
    <xf numFmtId="0" fontId="2" fillId="2" borderId="61" xfId="0" applyFont="1" applyFill="1" applyBorder="1" applyAlignment="1">
      <alignment horizontal="center" vertical="center"/>
    </xf>
    <xf numFmtId="0" fontId="2" fillId="2" borderId="45" xfId="0" applyFont="1" applyFill="1" applyBorder="1" applyAlignment="1">
      <alignment horizontal="center" vertical="center"/>
    </xf>
    <xf numFmtId="0" fontId="2" fillId="2" borderId="46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5" fillId="0" borderId="63" xfId="0" applyFont="1" applyBorder="1" applyAlignment="1">
      <alignment horizontal="center" vertical="center"/>
    </xf>
    <xf numFmtId="0" fontId="5" fillId="0" borderId="59" xfId="0" applyFont="1" applyBorder="1" applyAlignment="1">
      <alignment horizontal="center" vertical="center"/>
    </xf>
    <xf numFmtId="0" fontId="2" fillId="2" borderId="44" xfId="0" applyFont="1" applyFill="1" applyBorder="1" applyAlignment="1">
      <alignment horizontal="center"/>
    </xf>
    <xf numFmtId="0" fontId="2" fillId="2" borderId="16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center" wrapText="1"/>
    </xf>
    <xf numFmtId="0" fontId="5" fillId="3" borderId="64" xfId="0" applyFont="1" applyFill="1" applyBorder="1" applyAlignment="1">
      <alignment horizontal="center" vertical="center" wrapText="1"/>
    </xf>
    <xf numFmtId="0" fontId="5" fillId="0" borderId="3" xfId="0" applyFont="1" applyBorder="1" applyAlignment="1">
      <alignment horizontal="center"/>
    </xf>
    <xf numFmtId="44" fontId="0" fillId="9" borderId="85" xfId="1" applyFont="1" applyFill="1" applyBorder="1" applyAlignment="1">
      <alignment horizontal="center" vertical="center"/>
    </xf>
    <xf numFmtId="44" fontId="0" fillId="9" borderId="87" xfId="1" applyFont="1" applyFill="1" applyBorder="1" applyAlignment="1">
      <alignment horizontal="center" vertical="center"/>
    </xf>
    <xf numFmtId="10" fontId="0" fillId="0" borderId="49" xfId="2" applyNumberFormat="1" applyFont="1" applyFill="1" applyBorder="1" applyAlignment="1">
      <alignment horizontal="center" vertical="center"/>
    </xf>
    <xf numFmtId="44" fontId="2" fillId="4" borderId="80" xfId="0" applyNumberFormat="1" applyFont="1" applyFill="1" applyBorder="1" applyAlignment="1">
      <alignment horizontal="center" vertical="center"/>
    </xf>
    <xf numFmtId="44" fontId="2" fillId="4" borderId="81" xfId="0" applyNumberFormat="1" applyFont="1" applyFill="1" applyBorder="1" applyAlignment="1">
      <alignment horizontal="center" vertical="center"/>
    </xf>
    <xf numFmtId="44" fontId="2" fillId="4" borderId="8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2" fillId="2" borderId="74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75" xfId="0" applyFont="1" applyFill="1" applyBorder="1" applyAlignment="1">
      <alignment horizontal="center" vertical="center"/>
    </xf>
    <xf numFmtId="0" fontId="2" fillId="2" borderId="76" xfId="0" applyFont="1" applyFill="1" applyBorder="1" applyAlignment="1">
      <alignment horizontal="center" vertical="center"/>
    </xf>
    <xf numFmtId="0" fontId="2" fillId="2" borderId="77" xfId="0" applyFont="1" applyFill="1" applyBorder="1" applyAlignment="1">
      <alignment horizontal="center" vertical="center"/>
    </xf>
    <xf numFmtId="0" fontId="5" fillId="0" borderId="8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3" borderId="80" xfId="0" applyFont="1" applyFill="1" applyBorder="1" applyAlignment="1">
      <alignment horizontal="center" vertical="center" wrapText="1"/>
    </xf>
    <xf numFmtId="0" fontId="5" fillId="3" borderId="83" xfId="0" applyFont="1" applyFill="1" applyBorder="1" applyAlignment="1">
      <alignment horizontal="center" vertical="center" wrapText="1"/>
    </xf>
    <xf numFmtId="0" fontId="5" fillId="0" borderId="78" xfId="0" applyFont="1" applyBorder="1" applyAlignment="1">
      <alignment horizontal="center"/>
    </xf>
    <xf numFmtId="0" fontId="5" fillId="0" borderId="79" xfId="0" applyFont="1" applyBorder="1" applyAlignment="1">
      <alignment horizontal="center"/>
    </xf>
    <xf numFmtId="0" fontId="9" fillId="11" borderId="73" xfId="0" applyFont="1" applyFill="1" applyBorder="1" applyAlignment="1">
      <alignment horizontal="center" vertical="center"/>
    </xf>
    <xf numFmtId="0" fontId="9" fillId="11" borderId="14" xfId="0" applyFont="1" applyFill="1" applyBorder="1" applyAlignment="1">
      <alignment horizontal="center" vertical="center"/>
    </xf>
    <xf numFmtId="0" fontId="7" fillId="2" borderId="51" xfId="0" applyFont="1" applyFill="1" applyBorder="1" applyAlignment="1">
      <alignment horizontal="center" vertical="center"/>
    </xf>
    <xf numFmtId="0" fontId="7" fillId="2" borderId="52" xfId="0" applyFont="1" applyFill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47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7" fillId="2" borderId="57" xfId="0" applyFont="1" applyFill="1" applyBorder="1" applyAlignment="1">
      <alignment horizontal="center" vertical="center"/>
    </xf>
    <xf numFmtId="0" fontId="2" fillId="2" borderId="58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47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0" borderId="69" xfId="0" applyBorder="1" applyAlignment="1">
      <alignment horizontal="center"/>
    </xf>
    <xf numFmtId="0" fontId="0" fillId="0" borderId="70" xfId="0" applyBorder="1" applyAlignment="1">
      <alignment horizontal="center"/>
    </xf>
    <xf numFmtId="0" fontId="9" fillId="2" borderId="73" xfId="0" applyFont="1" applyFill="1" applyBorder="1" applyAlignment="1">
      <alignment horizontal="center" vertical="center"/>
    </xf>
    <xf numFmtId="0" fontId="9" fillId="2" borderId="14" xfId="0" applyFont="1" applyFill="1" applyBorder="1" applyAlignment="1">
      <alignment horizontal="center" vertical="center"/>
    </xf>
    <xf numFmtId="0" fontId="2" fillId="8" borderId="29" xfId="0" applyFont="1" applyFill="1" applyBorder="1" applyAlignment="1">
      <alignment horizontal="center"/>
    </xf>
    <xf numFmtId="0" fontId="2" fillId="8" borderId="28" xfId="0" applyFont="1" applyFill="1" applyBorder="1" applyAlignment="1">
      <alignment horizontal="center"/>
    </xf>
    <xf numFmtId="0" fontId="2" fillId="8" borderId="27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/>
    </xf>
    <xf numFmtId="0" fontId="4" fillId="2" borderId="19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0" fillId="7" borderId="29" xfId="0" applyFill="1" applyBorder="1" applyAlignment="1">
      <alignment horizontal="center" vertical="center"/>
    </xf>
    <xf numFmtId="0" fontId="0" fillId="7" borderId="27" xfId="0" applyFill="1" applyBorder="1" applyAlignment="1">
      <alignment horizontal="center" vertical="center"/>
    </xf>
    <xf numFmtId="0" fontId="0" fillId="7" borderId="25" xfId="0" applyFill="1" applyBorder="1" applyAlignment="1">
      <alignment horizontal="center" vertical="center"/>
    </xf>
    <xf numFmtId="0" fontId="0" fillId="7" borderId="22" xfId="0" applyFill="1" applyBorder="1" applyAlignment="1">
      <alignment horizontal="center" vertical="center"/>
    </xf>
    <xf numFmtId="0" fontId="0" fillId="7" borderId="33" xfId="0" applyFill="1" applyBorder="1" applyAlignment="1">
      <alignment horizontal="center" vertical="center"/>
    </xf>
    <xf numFmtId="0" fontId="0" fillId="7" borderId="26" xfId="0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/>
    </xf>
    <xf numFmtId="0" fontId="0" fillId="7" borderId="38" xfId="0" applyFill="1" applyBorder="1" applyAlignment="1">
      <alignment horizontal="center" vertical="center" wrapText="1"/>
    </xf>
    <xf numFmtId="0" fontId="0" fillId="7" borderId="36" xfId="0" applyFill="1" applyBorder="1" applyAlignment="1">
      <alignment horizontal="center" vertical="center" wrapText="1"/>
    </xf>
    <xf numFmtId="0" fontId="0" fillId="7" borderId="42" xfId="0" applyFill="1" applyBorder="1" applyAlignment="1">
      <alignment horizontal="center" vertical="center" wrapText="1"/>
    </xf>
    <xf numFmtId="0" fontId="0" fillId="7" borderId="24" xfId="0" applyFill="1" applyBorder="1" applyAlignment="1">
      <alignment horizontal="center" vertical="center"/>
    </xf>
    <xf numFmtId="0" fontId="0" fillId="7" borderId="23" xfId="0" applyFill="1" applyBorder="1" applyAlignment="1">
      <alignment horizontal="center" vertical="center"/>
    </xf>
    <xf numFmtId="0" fontId="0" fillId="7" borderId="17" xfId="0" applyFill="1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25" xfId="0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33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9" fontId="0" fillId="0" borderId="24" xfId="2" applyFont="1" applyBorder="1" applyAlignment="1">
      <alignment horizontal="center" vertical="center"/>
    </xf>
    <xf numFmtId="9" fontId="0" fillId="0" borderId="30" xfId="2" applyFont="1" applyBorder="1" applyAlignment="1">
      <alignment horizontal="center" vertical="center"/>
    </xf>
    <xf numFmtId="9" fontId="0" fillId="0" borderId="23" xfId="2" applyFont="1" applyBorder="1" applyAlignment="1">
      <alignment horizontal="center" vertical="center"/>
    </xf>
    <xf numFmtId="165" fontId="0" fillId="0" borderId="24" xfId="2" applyNumberFormat="1" applyFont="1" applyBorder="1" applyAlignment="1">
      <alignment horizontal="center" vertical="center"/>
    </xf>
    <xf numFmtId="165" fontId="0" fillId="0" borderId="23" xfId="2" applyNumberFormat="1" applyFont="1" applyBorder="1" applyAlignment="1">
      <alignment horizontal="center" vertical="center"/>
    </xf>
    <xf numFmtId="165" fontId="0" fillId="0" borderId="30" xfId="2" applyNumberFormat="1" applyFont="1" applyBorder="1" applyAlignment="1">
      <alignment horizontal="center" vertical="center"/>
    </xf>
    <xf numFmtId="0" fontId="3" fillId="7" borderId="40" xfId="0" applyFont="1" applyFill="1" applyBorder="1" applyAlignment="1">
      <alignment horizontal="center" vertical="center"/>
    </xf>
    <xf numFmtId="0" fontId="3" fillId="7" borderId="27" xfId="0" applyFont="1" applyFill="1" applyBorder="1" applyAlignment="1">
      <alignment horizontal="center" vertical="center"/>
    </xf>
    <xf numFmtId="0" fontId="3" fillId="7" borderId="34" xfId="0" applyFont="1" applyFill="1" applyBorder="1" applyAlignment="1">
      <alignment horizontal="center" vertical="center"/>
    </xf>
    <xf numFmtId="0" fontId="3" fillId="7" borderId="22" xfId="0" applyFont="1" applyFill="1" applyBorder="1" applyAlignment="1">
      <alignment horizontal="center" vertical="center"/>
    </xf>
    <xf numFmtId="0" fontId="0" fillId="7" borderId="30" xfId="0" applyFill="1" applyBorder="1" applyAlignment="1">
      <alignment horizontal="center" vertical="center"/>
    </xf>
    <xf numFmtId="9" fontId="0" fillId="0" borderId="29" xfId="2" applyFont="1" applyBorder="1" applyAlignment="1">
      <alignment horizontal="center" vertical="center"/>
    </xf>
    <xf numFmtId="9" fontId="0" fillId="0" borderId="39" xfId="2" applyFont="1" applyBorder="1" applyAlignment="1">
      <alignment horizontal="center" vertical="center"/>
    </xf>
    <xf numFmtId="9" fontId="0" fillId="0" borderId="25" xfId="2" applyFont="1" applyBorder="1" applyAlignment="1">
      <alignment horizontal="center" vertical="center"/>
    </xf>
    <xf numFmtId="9" fontId="0" fillId="0" borderId="37" xfId="2" applyFont="1" applyBorder="1" applyAlignment="1">
      <alignment horizontal="center" vertical="center"/>
    </xf>
    <xf numFmtId="9" fontId="0" fillId="0" borderId="33" xfId="2" applyFont="1" applyBorder="1" applyAlignment="1">
      <alignment horizontal="center" vertical="center"/>
    </xf>
    <xf numFmtId="9" fontId="0" fillId="0" borderId="32" xfId="2" applyFont="1" applyBorder="1" applyAlignment="1">
      <alignment horizontal="center" vertical="center"/>
    </xf>
    <xf numFmtId="10" fontId="0" fillId="0" borderId="38" xfId="2" applyNumberFormat="1" applyFont="1" applyBorder="1" applyAlignment="1">
      <alignment horizontal="center" vertical="center"/>
    </xf>
    <xf numFmtId="10" fontId="0" fillId="0" borderId="36" xfId="2" applyNumberFormat="1" applyFont="1" applyBorder="1" applyAlignment="1">
      <alignment horizontal="center" vertical="center"/>
    </xf>
    <xf numFmtId="10" fontId="0" fillId="0" borderId="31" xfId="2" applyNumberFormat="1" applyFont="1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0" fillId="0" borderId="26" xfId="0" applyBorder="1" applyAlignment="1">
      <alignment horizontal="center"/>
    </xf>
    <xf numFmtId="0" fontId="10" fillId="2" borderId="0" xfId="0" applyFont="1" applyFill="1" applyAlignment="1">
      <alignment horizontal="center" vertic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1" xfId="0" applyFill="1" applyBorder="1" applyAlignment="1">
      <alignment horizontal="center"/>
    </xf>
    <xf numFmtId="0" fontId="5" fillId="12" borderId="104" xfId="0" applyFont="1" applyFill="1" applyBorder="1" applyAlignment="1">
      <alignment horizontal="center" vertical="center" wrapText="1"/>
    </xf>
    <xf numFmtId="0" fontId="5" fillId="12" borderId="98" xfId="0" applyFont="1" applyFill="1" applyBorder="1" applyAlignment="1">
      <alignment horizontal="center" vertical="center" wrapText="1"/>
    </xf>
    <xf numFmtId="0" fontId="9" fillId="11" borderId="47" xfId="0" applyFont="1" applyFill="1" applyBorder="1" applyAlignment="1">
      <alignment horizontal="center" vertical="center"/>
    </xf>
    <xf numFmtId="0" fontId="9" fillId="11" borderId="0" xfId="0" applyFont="1" applyFill="1" applyAlignment="1">
      <alignment horizontal="center" vertical="center"/>
    </xf>
    <xf numFmtId="0" fontId="2" fillId="2" borderId="91" xfId="0" applyFont="1" applyFill="1" applyBorder="1" applyAlignment="1">
      <alignment horizontal="center" vertical="center"/>
    </xf>
    <xf numFmtId="0" fontId="9" fillId="10" borderId="47" xfId="0" applyFont="1" applyFill="1" applyBorder="1" applyAlignment="1">
      <alignment horizontal="center" vertical="center"/>
    </xf>
    <xf numFmtId="0" fontId="9" fillId="10" borderId="0" xfId="0" applyFont="1" applyFill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91" xfId="0" applyFont="1" applyFill="1" applyBorder="1" applyAlignment="1">
      <alignment horizontal="center" vertical="center"/>
    </xf>
    <xf numFmtId="0" fontId="2" fillId="2" borderId="89" xfId="0" applyFont="1" applyFill="1" applyBorder="1" applyAlignment="1">
      <alignment horizontal="center" vertical="center"/>
    </xf>
    <xf numFmtId="0" fontId="5" fillId="12" borderId="100" xfId="0" applyFont="1" applyFill="1" applyBorder="1" applyAlignment="1">
      <alignment horizontal="center" vertical="center" wrapText="1"/>
    </xf>
    <xf numFmtId="0" fontId="5" fillId="12" borderId="101" xfId="0" applyFont="1" applyFill="1" applyBorder="1" applyAlignment="1">
      <alignment horizontal="center" vertical="center" wrapText="1"/>
    </xf>
    <xf numFmtId="0" fontId="5" fillId="3" borderId="13" xfId="0" applyFont="1" applyFill="1" applyBorder="1" applyAlignment="1">
      <alignment horizontal="center" vertical="center" wrapText="1"/>
    </xf>
    <xf numFmtId="0" fontId="2" fillId="2" borderId="90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2" fillId="2" borderId="15" xfId="0" applyFont="1" applyFill="1" applyBorder="1" applyAlignment="1">
      <alignment horizontal="center"/>
    </xf>
    <xf numFmtId="0" fontId="2" fillId="2" borderId="73" xfId="0" applyFont="1" applyFill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2" fillId="2" borderId="94" xfId="0" applyFont="1" applyFill="1" applyBorder="1" applyAlignment="1">
      <alignment horizontal="center" vertical="center"/>
    </xf>
    <xf numFmtId="0" fontId="5" fillId="12" borderId="103" xfId="0" applyFont="1" applyFill="1" applyBorder="1" applyAlignment="1">
      <alignment horizontal="center" vertical="center" wrapText="1"/>
    </xf>
    <xf numFmtId="0" fontId="9" fillId="10" borderId="7" xfId="0" applyFont="1" applyFill="1" applyBorder="1" applyAlignment="1">
      <alignment horizontal="center" vertical="center"/>
    </xf>
    <xf numFmtId="0" fontId="9" fillId="10" borderId="8" xfId="0" applyFont="1" applyFill="1" applyBorder="1" applyAlignment="1">
      <alignment horizontal="center" vertical="center"/>
    </xf>
    <xf numFmtId="0" fontId="9" fillId="10" borderId="91" xfId="0" applyFont="1" applyFill="1" applyBorder="1" applyAlignment="1">
      <alignment horizontal="center" vertical="center"/>
    </xf>
    <xf numFmtId="0" fontId="5" fillId="12" borderId="99" xfId="0" applyFont="1" applyFill="1" applyBorder="1" applyAlignment="1">
      <alignment horizontal="center" vertical="center" wrapText="1"/>
    </xf>
    <xf numFmtId="0" fontId="9" fillId="11" borderId="7" xfId="0" applyFont="1" applyFill="1" applyBorder="1" applyAlignment="1">
      <alignment horizontal="center" vertical="center"/>
    </xf>
    <xf numFmtId="0" fontId="9" fillId="11" borderId="8" xfId="0" applyFont="1" applyFill="1" applyBorder="1" applyAlignment="1">
      <alignment horizontal="center" vertical="center"/>
    </xf>
    <xf numFmtId="0" fontId="9" fillId="11" borderId="91" xfId="0" applyFont="1" applyFill="1" applyBorder="1" applyAlignment="1">
      <alignment horizontal="center" vertical="center"/>
    </xf>
    <xf numFmtId="0" fontId="5" fillId="12" borderId="102" xfId="0" applyFont="1" applyFill="1" applyBorder="1" applyAlignment="1">
      <alignment horizontal="center" vertical="center" wrapText="1"/>
    </xf>
    <xf numFmtId="0" fontId="2" fillId="2" borderId="95" xfId="0" applyFont="1" applyFill="1" applyBorder="1" applyAlignment="1">
      <alignment horizontal="center" vertical="center"/>
    </xf>
    <xf numFmtId="0" fontId="2" fillId="2" borderId="96" xfId="0" applyFont="1" applyFill="1" applyBorder="1" applyAlignment="1">
      <alignment horizontal="center" vertical="center"/>
    </xf>
    <xf numFmtId="0" fontId="0" fillId="2" borderId="0" xfId="0" applyFill="1" applyAlignment="1">
      <alignment horizontal="center"/>
    </xf>
    <xf numFmtId="0" fontId="5" fillId="12" borderId="97" xfId="0" applyFont="1" applyFill="1" applyBorder="1" applyAlignment="1">
      <alignment horizontal="center" vertical="center" wrapText="1"/>
    </xf>
    <xf numFmtId="0" fontId="5" fillId="12" borderId="93" xfId="0" applyFont="1" applyFill="1" applyBorder="1" applyAlignment="1">
      <alignment horizontal="center" vertical="center" wrapText="1"/>
    </xf>
    <xf numFmtId="0" fontId="5" fillId="3" borderId="8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/>
    </xf>
    <xf numFmtId="0" fontId="5" fillId="12" borderId="92" xfId="0" applyFont="1" applyFill="1" applyBorder="1" applyAlignment="1">
      <alignment horizontal="center" vertical="center" wrapText="1"/>
    </xf>
    <xf numFmtId="0" fontId="9" fillId="2" borderId="47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2" fillId="2" borderId="5" xfId="0" applyFont="1" applyFill="1" applyBorder="1" applyAlignment="1">
      <alignment horizontal="center"/>
    </xf>
    <xf numFmtId="0" fontId="0" fillId="0" borderId="0" xfId="0" applyNumberFormat="1"/>
  </cellXfs>
  <cellStyles count="4">
    <cellStyle name="Hiperlink" xfId="3" builtinId="8"/>
    <cellStyle name="Moeda" xfId="1" builtinId="4"/>
    <cellStyle name="Normal" xfId="0" builtinId="0"/>
    <cellStyle name="Porcentagem" xfId="2" builtinId="5"/>
  </cellStyles>
  <dxfs count="80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numFmt numFmtId="0" formatCode="General"/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B050"/>
      </font>
    </dxf>
    <dxf>
      <font>
        <b/>
        <i val="0"/>
        <color rgb="FFFFC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mruColors>
      <color rgb="FFFF3300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onnections" Target="connections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CAPA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CAPA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CAPA!A1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CAPA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CAPA!A1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CAPA!A1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CAPA!A1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CAPA!A1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CAPA!A1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CAPA!A1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CAPA!A1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CAPA!A1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CAPA!A1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CAPA!A1"/></Relationships>
</file>

<file path=xl/drawings/_rels/drawing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CAPA!A1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CAPA!A1"/></Relationships>
</file>

<file path=xl/drawings/_rels/drawing1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CAPA!A1"/></Relationships>
</file>

<file path=xl/drawings/_rels/drawing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CAPA!A1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CAPA!A1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CAPA!A1"/></Relationships>
</file>

<file path=xl/drawings/_rels/drawing2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svg"/><Relationship Id="rId2" Type="http://schemas.openxmlformats.org/officeDocument/2006/relationships/image" Target="../media/image1.png"/><Relationship Id="rId1" Type="http://schemas.openxmlformats.org/officeDocument/2006/relationships/hyperlink" Target="#CAPA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32657</xdr:colOff>
      <xdr:row>1</xdr:row>
      <xdr:rowOff>21769</xdr:rowOff>
    </xdr:from>
    <xdr:to>
      <xdr:col>19</xdr:col>
      <xdr:colOff>588373</xdr:colOff>
      <xdr:row>4</xdr:row>
      <xdr:rowOff>20408</xdr:rowOff>
    </xdr:to>
    <xdr:pic>
      <xdr:nvPicPr>
        <xdr:cNvPr id="4" name="Gráfico 3" descr="Casa com preenchimento sólid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9DF3027-07C9-68EE-85B8-5C00875F0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9213286" y="206826"/>
          <a:ext cx="544286" cy="54428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32657</xdr:colOff>
      <xdr:row>1</xdr:row>
      <xdr:rowOff>21769</xdr:rowOff>
    </xdr:from>
    <xdr:to>
      <xdr:col>19</xdr:col>
      <xdr:colOff>576943</xdr:colOff>
      <xdr:row>4</xdr:row>
      <xdr:rowOff>10883</xdr:rowOff>
    </xdr:to>
    <xdr:pic>
      <xdr:nvPicPr>
        <xdr:cNvPr id="2" name="Gráfico 1" descr="Casa com preenchimento sólid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3727885-6048-4D67-B26A-00979EBD51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9555097" y="204649"/>
          <a:ext cx="544286" cy="53775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32657</xdr:colOff>
      <xdr:row>1</xdr:row>
      <xdr:rowOff>21769</xdr:rowOff>
    </xdr:from>
    <xdr:to>
      <xdr:col>19</xdr:col>
      <xdr:colOff>576943</xdr:colOff>
      <xdr:row>4</xdr:row>
      <xdr:rowOff>10883</xdr:rowOff>
    </xdr:to>
    <xdr:pic>
      <xdr:nvPicPr>
        <xdr:cNvPr id="2" name="Gráfico 1" descr="Casa com preenchimento sólid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E4BADB63-1181-4CDA-B912-A8E4410AF3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9555097" y="204649"/>
          <a:ext cx="544286" cy="53775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32657</xdr:colOff>
      <xdr:row>1</xdr:row>
      <xdr:rowOff>21769</xdr:rowOff>
    </xdr:from>
    <xdr:to>
      <xdr:col>19</xdr:col>
      <xdr:colOff>576943</xdr:colOff>
      <xdr:row>4</xdr:row>
      <xdr:rowOff>10883</xdr:rowOff>
    </xdr:to>
    <xdr:pic>
      <xdr:nvPicPr>
        <xdr:cNvPr id="2" name="Gráfico 1" descr="Casa com preenchimento sólid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A5E79198-DC90-4967-991C-32F78D020C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9555097" y="204649"/>
          <a:ext cx="544286" cy="53775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32657</xdr:colOff>
      <xdr:row>1</xdr:row>
      <xdr:rowOff>21769</xdr:rowOff>
    </xdr:from>
    <xdr:to>
      <xdr:col>19</xdr:col>
      <xdr:colOff>576943</xdr:colOff>
      <xdr:row>4</xdr:row>
      <xdr:rowOff>10883</xdr:rowOff>
    </xdr:to>
    <xdr:pic>
      <xdr:nvPicPr>
        <xdr:cNvPr id="2" name="Gráfico 1" descr="Casa com preenchimento sólid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4138FE30-8879-464F-857C-83948C3EE0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9555097" y="204649"/>
          <a:ext cx="544286" cy="53775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32657</xdr:colOff>
      <xdr:row>1</xdr:row>
      <xdr:rowOff>21769</xdr:rowOff>
    </xdr:from>
    <xdr:to>
      <xdr:col>19</xdr:col>
      <xdr:colOff>576943</xdr:colOff>
      <xdr:row>4</xdr:row>
      <xdr:rowOff>10883</xdr:rowOff>
    </xdr:to>
    <xdr:pic>
      <xdr:nvPicPr>
        <xdr:cNvPr id="2" name="Gráfico 1" descr="Casa com preenchimento sólid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39A5270-EA96-4080-8C70-97FFA51EC6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9638917" y="204649"/>
          <a:ext cx="544286" cy="53775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32657</xdr:colOff>
      <xdr:row>1</xdr:row>
      <xdr:rowOff>21769</xdr:rowOff>
    </xdr:from>
    <xdr:to>
      <xdr:col>19</xdr:col>
      <xdr:colOff>576943</xdr:colOff>
      <xdr:row>4</xdr:row>
      <xdr:rowOff>10883</xdr:rowOff>
    </xdr:to>
    <xdr:pic>
      <xdr:nvPicPr>
        <xdr:cNvPr id="2" name="Gráfico 1" descr="Casa com preenchimento sólid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CD18B3-9861-465B-B0B4-04D18C662E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9638917" y="204649"/>
          <a:ext cx="544286" cy="53775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32657</xdr:colOff>
      <xdr:row>1</xdr:row>
      <xdr:rowOff>21769</xdr:rowOff>
    </xdr:from>
    <xdr:to>
      <xdr:col>19</xdr:col>
      <xdr:colOff>576943</xdr:colOff>
      <xdr:row>4</xdr:row>
      <xdr:rowOff>10883</xdr:rowOff>
    </xdr:to>
    <xdr:pic>
      <xdr:nvPicPr>
        <xdr:cNvPr id="2" name="Gráfico 1" descr="Casa com preenchimento sólid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1A38AA6-6062-4E62-88D6-6479150F944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9638917" y="204649"/>
          <a:ext cx="544286" cy="53775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32657</xdr:colOff>
      <xdr:row>1</xdr:row>
      <xdr:rowOff>21769</xdr:rowOff>
    </xdr:from>
    <xdr:to>
      <xdr:col>19</xdr:col>
      <xdr:colOff>576943</xdr:colOff>
      <xdr:row>4</xdr:row>
      <xdr:rowOff>10883</xdr:rowOff>
    </xdr:to>
    <xdr:pic>
      <xdr:nvPicPr>
        <xdr:cNvPr id="2" name="Gráfico 1" descr="Casa com preenchimento sólid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23B06D56-8284-496F-920F-E09036D1E0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9638917" y="204649"/>
          <a:ext cx="544286" cy="53775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32657</xdr:colOff>
      <xdr:row>1</xdr:row>
      <xdr:rowOff>21769</xdr:rowOff>
    </xdr:from>
    <xdr:to>
      <xdr:col>19</xdr:col>
      <xdr:colOff>576943</xdr:colOff>
      <xdr:row>4</xdr:row>
      <xdr:rowOff>10883</xdr:rowOff>
    </xdr:to>
    <xdr:pic>
      <xdr:nvPicPr>
        <xdr:cNvPr id="2" name="Gráfico 1" descr="Casa com preenchimento sólid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ECC5653-262D-4150-BCF3-20DF96F39C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9638917" y="204649"/>
          <a:ext cx="544286" cy="537754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32657</xdr:colOff>
      <xdr:row>1</xdr:row>
      <xdr:rowOff>21769</xdr:rowOff>
    </xdr:from>
    <xdr:to>
      <xdr:col>19</xdr:col>
      <xdr:colOff>576943</xdr:colOff>
      <xdr:row>4</xdr:row>
      <xdr:rowOff>10883</xdr:rowOff>
    </xdr:to>
    <xdr:pic>
      <xdr:nvPicPr>
        <xdr:cNvPr id="2" name="Gráfico 1" descr="Casa com preenchimento sólid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F94C81F-2491-49FF-ADDA-53495AEE8A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9638917" y="204649"/>
          <a:ext cx="544286" cy="537754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32657</xdr:colOff>
      <xdr:row>1</xdr:row>
      <xdr:rowOff>21769</xdr:rowOff>
    </xdr:from>
    <xdr:to>
      <xdr:col>19</xdr:col>
      <xdr:colOff>576943</xdr:colOff>
      <xdr:row>4</xdr:row>
      <xdr:rowOff>10883</xdr:rowOff>
    </xdr:to>
    <xdr:pic>
      <xdr:nvPicPr>
        <xdr:cNvPr id="2" name="Gráfico 1" descr="Casa com preenchimento sólid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EB96ABD-E975-4B22-A014-D7DD3C12FC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9638917" y="204649"/>
          <a:ext cx="544286" cy="537754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32657</xdr:colOff>
      <xdr:row>1</xdr:row>
      <xdr:rowOff>21769</xdr:rowOff>
    </xdr:from>
    <xdr:to>
      <xdr:col>19</xdr:col>
      <xdr:colOff>576943</xdr:colOff>
      <xdr:row>4</xdr:row>
      <xdr:rowOff>10883</xdr:rowOff>
    </xdr:to>
    <xdr:pic>
      <xdr:nvPicPr>
        <xdr:cNvPr id="2" name="Gráfico 1" descr="Casa com preenchimento sólid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9FB54B4-9840-4427-9906-A69DC60934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9638917" y="204649"/>
          <a:ext cx="544286" cy="537754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32657</xdr:colOff>
      <xdr:row>1</xdr:row>
      <xdr:rowOff>21769</xdr:rowOff>
    </xdr:from>
    <xdr:to>
      <xdr:col>19</xdr:col>
      <xdr:colOff>576943</xdr:colOff>
      <xdr:row>4</xdr:row>
      <xdr:rowOff>10883</xdr:rowOff>
    </xdr:to>
    <xdr:pic>
      <xdr:nvPicPr>
        <xdr:cNvPr id="2" name="Gráfico 1" descr="Casa com preenchimento sólid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313CFEA-7C2C-410F-80C6-878CFA9408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9638917" y="204649"/>
          <a:ext cx="544286" cy="537754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32657</xdr:colOff>
      <xdr:row>1</xdr:row>
      <xdr:rowOff>21769</xdr:rowOff>
    </xdr:from>
    <xdr:to>
      <xdr:col>19</xdr:col>
      <xdr:colOff>576943</xdr:colOff>
      <xdr:row>4</xdr:row>
      <xdr:rowOff>10883</xdr:rowOff>
    </xdr:to>
    <xdr:pic>
      <xdr:nvPicPr>
        <xdr:cNvPr id="2" name="Gráfico 1" descr="Casa com preenchimento sólid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BE377454-3B06-44B4-AD11-8CFCFCB6F0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9638917" y="204649"/>
          <a:ext cx="544286" cy="537754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32657</xdr:colOff>
      <xdr:row>1</xdr:row>
      <xdr:rowOff>21769</xdr:rowOff>
    </xdr:from>
    <xdr:to>
      <xdr:col>19</xdr:col>
      <xdr:colOff>576943</xdr:colOff>
      <xdr:row>4</xdr:row>
      <xdr:rowOff>10883</xdr:rowOff>
    </xdr:to>
    <xdr:pic>
      <xdr:nvPicPr>
        <xdr:cNvPr id="2" name="Gráfico 1" descr="Casa com preenchimento sólid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6A0DC39-29E1-497D-837A-F4EAB23CC1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9638917" y="204649"/>
          <a:ext cx="544286" cy="537754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32657</xdr:colOff>
      <xdr:row>1</xdr:row>
      <xdr:rowOff>21769</xdr:rowOff>
    </xdr:from>
    <xdr:to>
      <xdr:col>19</xdr:col>
      <xdr:colOff>576943</xdr:colOff>
      <xdr:row>4</xdr:row>
      <xdr:rowOff>10883</xdr:rowOff>
    </xdr:to>
    <xdr:pic>
      <xdr:nvPicPr>
        <xdr:cNvPr id="2" name="Gráfico 1" descr="Casa com preenchimento sólid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A62EB33-EE9D-4D26-BD05-8D19859AB7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9638917" y="204649"/>
          <a:ext cx="544286" cy="537754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32657</xdr:colOff>
      <xdr:row>1</xdr:row>
      <xdr:rowOff>21769</xdr:rowOff>
    </xdr:from>
    <xdr:to>
      <xdr:col>19</xdr:col>
      <xdr:colOff>576943</xdr:colOff>
      <xdr:row>4</xdr:row>
      <xdr:rowOff>10883</xdr:rowOff>
    </xdr:to>
    <xdr:pic>
      <xdr:nvPicPr>
        <xdr:cNvPr id="2" name="Gráfico 1" descr="Casa com preenchimento sólid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C7443A5-17CB-4BD7-8052-F6C8D61096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9638917" y="204649"/>
          <a:ext cx="544286" cy="537754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32657</xdr:colOff>
      <xdr:row>1</xdr:row>
      <xdr:rowOff>21769</xdr:rowOff>
    </xdr:from>
    <xdr:to>
      <xdr:col>19</xdr:col>
      <xdr:colOff>576943</xdr:colOff>
      <xdr:row>4</xdr:row>
      <xdr:rowOff>10883</xdr:rowOff>
    </xdr:to>
    <xdr:pic>
      <xdr:nvPicPr>
        <xdr:cNvPr id="2" name="Gráfico 1" descr="Casa com preenchimento sólid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B30115B-AEB3-4672-B7B3-0E5AF05EFF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9638917" y="204649"/>
          <a:ext cx="544286" cy="537754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32657</xdr:colOff>
      <xdr:row>1</xdr:row>
      <xdr:rowOff>21769</xdr:rowOff>
    </xdr:from>
    <xdr:to>
      <xdr:col>19</xdr:col>
      <xdr:colOff>576943</xdr:colOff>
      <xdr:row>4</xdr:row>
      <xdr:rowOff>10883</xdr:rowOff>
    </xdr:to>
    <xdr:pic>
      <xdr:nvPicPr>
        <xdr:cNvPr id="2" name="Gráfico 1" descr="Casa com preenchimento sólid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66E001D5-CC46-4511-AB80-E135BF0DEF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9638917" y="204649"/>
          <a:ext cx="544286" cy="537754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32657</xdr:colOff>
      <xdr:row>1</xdr:row>
      <xdr:rowOff>21769</xdr:rowOff>
    </xdr:from>
    <xdr:to>
      <xdr:col>19</xdr:col>
      <xdr:colOff>576943</xdr:colOff>
      <xdr:row>4</xdr:row>
      <xdr:rowOff>10883</xdr:rowOff>
    </xdr:to>
    <xdr:pic>
      <xdr:nvPicPr>
        <xdr:cNvPr id="2" name="Gráfico 1" descr="Casa com preenchimento sólido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80A48B5-8D38-4786-99A3-4B28C3AAA7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19638917" y="204649"/>
          <a:ext cx="544286" cy="537754"/>
        </a:xfrm>
        <a:prstGeom prst="rect">
          <a:avLst/>
        </a:prstGeom>
      </xdr:spPr>
    </xdr:pic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2" xr16:uid="{00000000-0016-0000-0100-000000000000}" autoFormatId="16" applyNumberFormats="0" applyBorderFormats="0" applyFontFormats="0" applyPatternFormats="0" applyAlignmentFormats="0" applyWidthHeightFormats="0">
  <queryTableRefresh nextId="27" unboundColumnsRight="1">
    <queryTableFields count="26">
      <queryTableField id="1" name="CONSULTOR" tableColumnId="1"/>
      <queryTableField id="2" name="PDV" tableColumnId="2"/>
      <queryTableField id="3" name="AT_MOVEL" tableColumnId="3"/>
      <queryTableField id="4" name="META_MOVEL" tableColumnId="4"/>
      <queryTableField id="5" name="F_M_MOVEL" tableColumnId="5"/>
      <queryTableField id="6" name="AT_FIXA" tableColumnId="6"/>
      <queryTableField id="7" name="META_FIXA" tableColumnId="7"/>
      <queryTableField id="8" name="F_M_FIXA" tableColumnId="8"/>
      <queryTableField id="9" name="AT_SMARTPHONE" tableColumnId="9"/>
      <queryTableField id="10" name="META_SMARTPHONE" tableColumnId="10"/>
      <queryTableField id="11" name="F_M_SMARTPHONE" tableColumnId="11"/>
      <queryTableField id="12" name="AT_ACESSORIOS_A" tableColumnId="12"/>
      <queryTableField id="13" name="AT_ACESSORIOS_B" tableColumnId="13"/>
      <queryTableField id="14" name="META_ACESSORIO" tableColumnId="14"/>
      <queryTableField id="15" name="F_M_ACESSORIOS" tableColumnId="15"/>
      <queryTableField id="16" name="AT_ESSENCIAIS_A" tableColumnId="16"/>
      <queryTableField id="17" name="AT_ESSENCIAIS_B" tableColumnId="17"/>
      <queryTableField id="18" name="META_ESSENCIAIS" tableColumnId="18"/>
      <queryTableField id="19" name="F_M_ESSENCIAIS" tableColumnId="19"/>
      <queryTableField id="20" name="AT_SEGUROS" tableColumnId="20"/>
      <queryTableField id="21" name="META_SEGUROS" tableColumnId="21"/>
      <queryTableField id="22" name="F_M_SEGUROS" tableColumnId="22"/>
      <queryTableField id="23" name="AT_SVA" tableColumnId="23"/>
      <queryTableField id="24" name="META_SVA" tableColumnId="24"/>
      <queryTableField id="25" name="F_M_SVA" tableColumnId="25"/>
      <queryTableField id="26" dataBound="0" tableColumnId="2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00000000-0016-0000-0200-000001000000}" autoFormatId="16" applyNumberFormats="0" applyBorderFormats="0" applyFontFormats="0" applyPatternFormats="0" applyAlignmentFormats="0" applyWidthHeightFormats="0">
  <queryTableRefresh nextId="23">
    <queryTableFields count="20">
      <queryTableField id="1" name="CONSULTOR" tableColumnId="1"/>
      <queryTableField id="2" name="PDV" tableColumnId="2"/>
      <queryTableField id="3" name="PROJ_MOVEL" tableColumnId="3"/>
      <queryTableField id="4" name="PROJ_FIXA" tableColumnId="4"/>
      <queryTableField id="19" name="PROJ_BL" tableColumnId="19"/>
      <queryTableField id="5" name="PROJ_APARELHO" tableColumnId="5"/>
      <queryTableField id="6" name="PROJ_ESSENCIAIS" tableColumnId="6"/>
      <queryTableField id="7" name="PROJ_ACESSORIOS" tableColumnId="7"/>
      <queryTableField id="8" name="PROJ_SEGURO" tableColumnId="8"/>
      <queryTableField id="9" name="PROJ_SVA" tableColumnId="9"/>
      <queryTableField id="10" name="PROJ_PÓS" tableColumnId="10"/>
      <queryTableField id="11" name="PROJ_CONTROLE" tableColumnId="11"/>
      <queryTableField id="12" name="PROJ_MOVEL_B2B" tableColumnId="12"/>
      <queryTableField id="13" name="PROJ_FIXA_B2B" tableColumnId="13"/>
      <queryTableField id="14" name="PROJ_ELETRO_A" tableColumnId="14"/>
      <queryTableField id="15" name="PROJ_ELETRO_B" tableColumnId="15"/>
      <queryTableField id="16" name="PROJ_ESSEN_A" tableColumnId="16"/>
      <queryTableField id="17" name="PROJ_ESSEN_B" tableColumnId="17"/>
      <queryTableField id="20" name="PROJ_BL%" tableColumnId="20"/>
      <queryTableField id="18" name="COORDENAÇÃO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D4ABBF-7F53-414D-B1EC-D4141D9BD581}" name="REALIZADO" displayName="REALIZADO" ref="A1:Z106" tableType="queryTable" totalsRowShown="0">
  <autoFilter ref="A1:Z106" xr:uid="{6BD4ABBF-7F53-414D-B1EC-D4141D9BD581}"/>
  <tableColumns count="26">
    <tableColumn id="1" xr3:uid="{39F759CF-A053-4F96-8490-CB2D4EF4CA2D}" uniqueName="1" name="CONSULTOR" queryTableFieldId="1" dataDxfId="800"/>
    <tableColumn id="2" xr3:uid="{D250CAC3-2165-49D4-8CBB-549B8F8EC568}" uniqueName="2" name="PDV" queryTableFieldId="2" dataDxfId="799"/>
    <tableColumn id="3" xr3:uid="{A382E9B3-2732-46D6-A059-3BBC36F74E7B}" uniqueName="3" name="AT_MOVEL" queryTableFieldId="3" dataDxfId="798" dataCellStyle="Moeda"/>
    <tableColumn id="4" xr3:uid="{6D2D7826-727F-4DD4-A5D7-8C901FE6327D}" uniqueName="4" name="META_MOVEL" queryTableFieldId="4" dataDxfId="797" dataCellStyle="Moeda"/>
    <tableColumn id="5" xr3:uid="{E65434F3-7AB8-44EA-AD90-E2C9C99F90F7}" uniqueName="5" name="F_M_MOVEL" queryTableFieldId="5" dataDxfId="796" dataCellStyle="Moeda"/>
    <tableColumn id="6" xr3:uid="{C31550AA-09E9-45D0-B573-6E464D1A2B92}" uniqueName="6" name="AT_FIXA" queryTableFieldId="6" dataDxfId="795" dataCellStyle="Moeda"/>
    <tableColumn id="7" xr3:uid="{826D7BD9-37DD-4BDD-BC8A-CD1391443631}" uniqueName="7" name="META_FIXA" queryTableFieldId="7" dataDxfId="794" dataCellStyle="Moeda"/>
    <tableColumn id="8" xr3:uid="{B0F55D47-C016-4E4B-A9F9-130748F4532C}" uniqueName="8" name="F_M_FIXA" queryTableFieldId="8" dataDxfId="793" dataCellStyle="Moeda"/>
    <tableColumn id="9" xr3:uid="{6C038053-1606-4BF8-8210-CB1A93AC7043}" uniqueName="9" name="AT_SMARTPHONE" queryTableFieldId="9" dataDxfId="792" dataCellStyle="Moeda"/>
    <tableColumn id="10" xr3:uid="{8A7086A0-E320-455E-8ED9-63617BED8436}" uniqueName="10" name="META_SMARTPHONE" queryTableFieldId="10" dataDxfId="791" dataCellStyle="Moeda"/>
    <tableColumn id="11" xr3:uid="{71C73D99-36BD-44B2-9A6E-B208DB471F35}" uniqueName="11" name="F_M_SMARTPHONE" queryTableFieldId="11" dataDxfId="790" dataCellStyle="Moeda"/>
    <tableColumn id="12" xr3:uid="{17AF4858-1BF4-4BF7-B332-E308B6A67F02}" uniqueName="12" name="AT_ACESSORIOS_A" queryTableFieldId="12" dataDxfId="789" dataCellStyle="Moeda"/>
    <tableColumn id="13" xr3:uid="{C223C54F-20DD-4A7B-A9AF-9AE805CFEFDA}" uniqueName="13" name="AT_ACESSORIOS_B" queryTableFieldId="13" dataDxfId="788" dataCellStyle="Moeda"/>
    <tableColumn id="14" xr3:uid="{59CBFA80-3720-4EC6-80F5-73203F2D1D1D}" uniqueName="14" name="META_ACESSORIO" queryTableFieldId="14" dataDxfId="787" dataCellStyle="Moeda"/>
    <tableColumn id="15" xr3:uid="{7C05BF7A-5A88-4782-BB99-5096A2DE45DB}" uniqueName="15" name="F_M_ACESSORIOS" queryTableFieldId="15" dataDxfId="786" dataCellStyle="Moeda"/>
    <tableColumn id="16" xr3:uid="{37ECB146-44DB-4597-A2F9-5DD6758D45BA}" uniqueName="16" name="AT_ESSENCIAIS_A" queryTableFieldId="16" dataDxfId="785" dataCellStyle="Moeda"/>
    <tableColumn id="17" xr3:uid="{EC495A84-E4A1-4553-B738-1B12E3EDF555}" uniqueName="17" name="AT_ESSENCIAIS_B" queryTableFieldId="17" dataDxfId="784" dataCellStyle="Moeda"/>
    <tableColumn id="18" xr3:uid="{F877D4A7-7BA5-4718-95E8-E40828A89B44}" uniqueName="18" name="META_ESSENCIAIS" queryTableFieldId="18" dataDxfId="783" dataCellStyle="Moeda"/>
    <tableColumn id="19" xr3:uid="{81B2C8F5-3E3F-471D-AC6B-094D787D08D9}" uniqueName="19" name="F_M_ESSENCIAIS" queryTableFieldId="19" dataDxfId="782" dataCellStyle="Moeda"/>
    <tableColumn id="20" xr3:uid="{27CD4E58-BF5B-4035-957E-7879EA46D0DA}" uniqueName="20" name="AT_SEGUROS" queryTableFieldId="20" dataDxfId="781" dataCellStyle="Moeda"/>
    <tableColumn id="21" xr3:uid="{079ED405-E964-4D16-8EE0-97EF07F75EA7}" uniqueName="21" name="META_SEGUROS" queryTableFieldId="21" dataDxfId="780" dataCellStyle="Moeda"/>
    <tableColumn id="22" xr3:uid="{3C9EC634-2D13-47D6-9925-EA7E2840C300}" uniqueName="22" name="F_M_SEGUROS" queryTableFieldId="22" dataDxfId="779" dataCellStyle="Moeda"/>
    <tableColumn id="23" xr3:uid="{DE74C7D9-DEAC-42DC-B15F-63B01B4B532C}" uniqueName="23" name="AT_SVA" queryTableFieldId="23" dataDxfId="778" dataCellStyle="Moeda"/>
    <tableColumn id="24" xr3:uid="{E5C00768-45EE-4FAA-83CE-89680C550910}" uniqueName="24" name="META_SVA" queryTableFieldId="24" dataDxfId="777" dataCellStyle="Moeda"/>
    <tableColumn id="25" xr3:uid="{9A9BC4C3-8175-4037-B125-712E46B6937F}" uniqueName="25" name="F_M_SVA" queryTableFieldId="25" dataDxfId="776" dataCellStyle="Moeda"/>
    <tableColumn id="26" xr3:uid="{16168DFC-9467-49C3-9E02-E37509C2A3DF}" uniqueName="26" name="COORDENAÇÃO" queryTableFieldId="26" dataDxfId="775" dataCellStyle="Moeda">
      <calculatedColumnFormula>_xlfn.XLOOKUP(REALIZADO[[#This Row],[PDV]],PROJEÇÃO[PDV],PROJEÇÃO[COORDENAÇÃO])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5BA2A12-BAAB-47D8-81FE-DB1675216E60}" name="PROJEÇÃO" displayName="PROJEÇÃO" ref="A1:T106" tableType="queryTable" totalsRowShown="0">
  <autoFilter ref="A1:T106" xr:uid="{A5BA2A12-BAAB-47D8-81FE-DB1675216E60}"/>
  <tableColumns count="20">
    <tableColumn id="1" xr3:uid="{738209E0-7503-4556-8087-B9836DA5B4F4}" uniqueName="1" name="CONSULTOR" queryTableFieldId="1" dataDxfId="18"/>
    <tableColumn id="2" xr3:uid="{F4562791-0074-43BE-870D-155CD6C1437C}" uniqueName="2" name="PDV" queryTableFieldId="2" dataDxfId="17"/>
    <tableColumn id="3" xr3:uid="{B78FA97E-433F-4C7E-9D89-1E1E1E868C2F}" uniqueName="3" name="PROJ_MOVEL" queryTableFieldId="3" dataDxfId="16" dataCellStyle="Moeda"/>
    <tableColumn id="4" xr3:uid="{385B88C9-F7B1-419F-88FB-7A8B02851C00}" uniqueName="4" name="PROJ_FIXA" queryTableFieldId="4" dataDxfId="15" dataCellStyle="Moeda"/>
    <tableColumn id="19" xr3:uid="{EF67AF51-403B-4525-A39A-449C30077110}" uniqueName="19" name="PROJ_BL" queryTableFieldId="19" dataDxfId="14" dataCellStyle="Moeda"/>
    <tableColumn id="5" xr3:uid="{8B06C024-B072-44DC-B33A-495F178E6AB4}" uniqueName="5" name="PROJ_APARELHO" queryTableFieldId="5" dataDxfId="13" dataCellStyle="Moeda"/>
    <tableColumn id="6" xr3:uid="{DB072866-9087-4D29-ACFE-0675894EAB09}" uniqueName="6" name="PROJ_ESSENCIAIS" queryTableFieldId="6" dataDxfId="12" dataCellStyle="Moeda"/>
    <tableColumn id="7" xr3:uid="{7B3DE5AF-759C-45FA-935F-6CC4F930F6C4}" uniqueName="7" name="PROJ_ACESSORIOS" queryTableFieldId="7" dataDxfId="11" dataCellStyle="Moeda"/>
    <tableColumn id="8" xr3:uid="{C6E77EC5-9527-42DD-A926-18AF0BEAB303}" uniqueName="8" name="PROJ_SEGURO" queryTableFieldId="8" dataDxfId="10" dataCellStyle="Moeda"/>
    <tableColumn id="9" xr3:uid="{69E0228F-1073-4E81-A2E8-0E1125633EF1}" uniqueName="9" name="PROJ_SVA" queryTableFieldId="9" dataDxfId="9" dataCellStyle="Moeda"/>
    <tableColumn id="10" xr3:uid="{6C1F5154-1CC0-4A5F-BAEA-B1FC954FB356}" uniqueName="10" name="PROJ_PÓS" queryTableFieldId="10" dataDxfId="8" dataCellStyle="Moeda"/>
    <tableColumn id="11" xr3:uid="{DE30D08F-FFC9-4560-B99C-B8DA5C127555}" uniqueName="11" name="PROJ_CONTROLE" queryTableFieldId="11" dataDxfId="7" dataCellStyle="Moeda"/>
    <tableColumn id="12" xr3:uid="{56208E3C-F885-466B-8B15-8AC914C5E506}" uniqueName="12" name="PROJ_MOVEL_B2B" queryTableFieldId="12" dataDxfId="6" dataCellStyle="Moeda"/>
    <tableColumn id="13" xr3:uid="{B254D70B-17EB-4FE4-AE94-527005F03B99}" uniqueName="13" name="PROJ_FIXA_B2B" queryTableFieldId="13" dataDxfId="5" dataCellStyle="Moeda"/>
    <tableColumn id="14" xr3:uid="{7410DA58-F0CD-4570-9466-8B6CF3FE50DF}" uniqueName="14" name="PROJ_ELETRO_A" queryTableFieldId="14" dataDxfId="4" dataCellStyle="Moeda"/>
    <tableColumn id="15" xr3:uid="{77B563B3-6B88-48E3-8F0D-8D1A874A801F}" uniqueName="15" name="PROJ_ELETRO_B" queryTableFieldId="15" dataDxfId="3" dataCellStyle="Moeda"/>
    <tableColumn id="16" xr3:uid="{76CB1B6B-96B7-4407-B3DA-BB5AFF094BC3}" uniqueName="16" name="PROJ_ESSEN_A" queryTableFieldId="16" dataDxfId="2" dataCellStyle="Moeda"/>
    <tableColumn id="17" xr3:uid="{EDF36395-9AD1-4E31-8825-E8FF2E8AB63B}" uniqueName="17" name="PROJ_ESSEN_B" queryTableFieldId="17" dataDxfId="1" dataCellStyle="Moeda"/>
    <tableColumn id="20" xr3:uid="{E40FB299-7D72-4B54-A773-83BBF7CDA9C5}" uniqueName="20" name="PROJ_BL%" queryTableFieldId="20" dataDxfId="0" dataCellStyle="Moeda"/>
    <tableColumn id="18" xr3:uid="{B7AC4AFF-CA59-46C4-9755-29ECDCCAE55F}" uniqueName="18" name="COORDENAÇÃO" queryTableFieldId="1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E43C0-8634-4801-B5F2-D48D7C77F656}">
  <sheetPr codeName="Planilha25"/>
  <dimension ref="A2:Q133"/>
  <sheetViews>
    <sheetView topLeftCell="A84" workbookViewId="0">
      <selection activeCell="C83" sqref="C83"/>
    </sheetView>
  </sheetViews>
  <sheetFormatPr defaultRowHeight="14.5" x14ac:dyDescent="0.35"/>
  <cols>
    <col min="1" max="1" width="25.26953125" bestFit="1" customWidth="1"/>
    <col min="2" max="2" width="11.26953125" bestFit="1" customWidth="1"/>
    <col min="3" max="3" width="13.26953125" bestFit="1" customWidth="1"/>
    <col min="7" max="7" width="15.81640625" customWidth="1"/>
    <col min="8" max="8" width="10.26953125" bestFit="1" customWidth="1"/>
    <col min="10" max="10" width="11.1796875" bestFit="1" customWidth="1"/>
    <col min="13" max="13" width="15.26953125" customWidth="1"/>
    <col min="14" max="14" width="10.26953125" bestFit="1" customWidth="1"/>
    <col min="16" max="16" width="11.1796875" bestFit="1" customWidth="1"/>
  </cols>
  <sheetData>
    <row r="2" spans="1:17" x14ac:dyDescent="0.35">
      <c r="A2" s="161" t="s">
        <v>0</v>
      </c>
      <c r="B2" s="162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Q2" s="163"/>
    </row>
    <row r="3" spans="1:17" x14ac:dyDescent="0.35">
      <c r="A3" s="164" t="s">
        <v>1</v>
      </c>
      <c r="B3" s="165"/>
      <c r="C3" s="165"/>
      <c r="D3" s="165"/>
      <c r="E3" s="166"/>
      <c r="G3" s="167" t="s">
        <v>2</v>
      </c>
      <c r="H3" s="168"/>
      <c r="I3" s="168"/>
      <c r="J3" s="168"/>
      <c r="K3" s="169"/>
      <c r="M3" s="167" t="s">
        <v>3</v>
      </c>
      <c r="N3" s="168"/>
      <c r="O3" s="168"/>
      <c r="P3" s="168"/>
      <c r="Q3" s="169"/>
    </row>
    <row r="4" spans="1:17" x14ac:dyDescent="0.35">
      <c r="A4" s="93"/>
      <c r="B4" s="35"/>
      <c r="C4" s="35"/>
      <c r="D4" s="34" t="s">
        <v>4</v>
      </c>
      <c r="E4" s="34" t="s">
        <v>5</v>
      </c>
      <c r="G4" s="170" t="s">
        <v>6</v>
      </c>
      <c r="H4" s="171"/>
      <c r="I4" s="33">
        <v>0</v>
      </c>
      <c r="J4" s="33">
        <v>0.79</v>
      </c>
      <c r="K4" s="41">
        <v>0.01</v>
      </c>
      <c r="M4" s="170" t="s">
        <v>6</v>
      </c>
      <c r="N4" s="171"/>
      <c r="O4" s="33">
        <v>0</v>
      </c>
      <c r="P4" s="33">
        <v>0.79</v>
      </c>
      <c r="Q4" s="44">
        <v>0.01</v>
      </c>
    </row>
    <row r="5" spans="1:17" x14ac:dyDescent="0.35">
      <c r="A5" s="93"/>
      <c r="B5" s="35"/>
      <c r="C5" s="35"/>
      <c r="D5" s="34" t="s">
        <v>7</v>
      </c>
      <c r="E5" s="34" t="s">
        <v>7</v>
      </c>
      <c r="G5" s="172"/>
      <c r="H5" s="173"/>
      <c r="I5" s="33">
        <v>0.8</v>
      </c>
      <c r="J5" s="33">
        <v>0.89</v>
      </c>
      <c r="K5" s="41">
        <v>0.05</v>
      </c>
      <c r="M5" s="172"/>
      <c r="N5" s="173"/>
      <c r="O5" s="33">
        <v>0.8</v>
      </c>
      <c r="P5" s="33">
        <v>0.89</v>
      </c>
      <c r="Q5" s="44">
        <v>0.03</v>
      </c>
    </row>
    <row r="6" spans="1:17" x14ac:dyDescent="0.35">
      <c r="A6" s="176" t="s">
        <v>6</v>
      </c>
      <c r="B6" s="24">
        <v>0</v>
      </c>
      <c r="C6" s="23">
        <v>0.79990000000000006</v>
      </c>
      <c r="D6" s="26">
        <v>5.0000000000000001E-3</v>
      </c>
      <c r="E6" s="26">
        <v>2E-3</v>
      </c>
      <c r="G6" s="174"/>
      <c r="H6" s="175"/>
      <c r="I6" s="33">
        <v>0.9</v>
      </c>
      <c r="J6" s="33">
        <v>1000</v>
      </c>
      <c r="K6" s="41">
        <v>0.08</v>
      </c>
      <c r="M6" s="174"/>
      <c r="N6" s="175"/>
      <c r="O6" s="33">
        <v>0.9</v>
      </c>
      <c r="P6" s="33">
        <v>1000</v>
      </c>
      <c r="Q6" s="44">
        <v>0.05</v>
      </c>
    </row>
    <row r="7" spans="1:17" x14ac:dyDescent="0.35">
      <c r="A7" s="176"/>
      <c r="B7" s="24">
        <v>0.8</v>
      </c>
      <c r="C7" s="23">
        <v>0.89990000000000003</v>
      </c>
      <c r="D7" s="26">
        <v>0.01</v>
      </c>
      <c r="E7" s="26">
        <v>4.0000000000000001E-3</v>
      </c>
      <c r="G7" s="177" t="s">
        <v>8</v>
      </c>
      <c r="H7" s="180" t="s">
        <v>9</v>
      </c>
      <c r="I7" s="33">
        <v>1</v>
      </c>
      <c r="J7" s="33">
        <v>1.49</v>
      </c>
      <c r="K7" s="41">
        <v>0.15</v>
      </c>
      <c r="M7" s="177" t="s">
        <v>8</v>
      </c>
      <c r="N7" s="180" t="s">
        <v>9</v>
      </c>
      <c r="O7" s="33">
        <v>1</v>
      </c>
      <c r="P7" s="33">
        <v>1.49</v>
      </c>
      <c r="Q7" s="44">
        <v>0.2</v>
      </c>
    </row>
    <row r="8" spans="1:17" x14ac:dyDescent="0.35">
      <c r="A8" s="176"/>
      <c r="B8" s="24">
        <v>0.9</v>
      </c>
      <c r="C8" s="24">
        <v>10000</v>
      </c>
      <c r="D8" s="26">
        <v>1.4999999999999999E-2</v>
      </c>
      <c r="E8" s="26">
        <v>0.01</v>
      </c>
      <c r="G8" s="178"/>
      <c r="H8" s="181"/>
      <c r="I8" s="33">
        <v>1.5</v>
      </c>
      <c r="J8" s="33">
        <v>1000</v>
      </c>
      <c r="K8" s="41">
        <v>0.2</v>
      </c>
      <c r="M8" s="178"/>
      <c r="N8" s="181"/>
      <c r="O8" s="33">
        <v>1.5</v>
      </c>
      <c r="P8" s="33">
        <v>1000</v>
      </c>
      <c r="Q8" s="44">
        <v>0.25</v>
      </c>
    </row>
    <row r="9" spans="1:17" ht="15" thickBot="1" x14ac:dyDescent="0.4">
      <c r="A9" s="182" t="s">
        <v>10</v>
      </c>
      <c r="B9" s="24">
        <v>1</v>
      </c>
      <c r="C9" s="24">
        <v>1.49</v>
      </c>
      <c r="D9" s="26">
        <v>0.04</v>
      </c>
      <c r="E9" s="26">
        <v>1.4999999999999999E-2</v>
      </c>
      <c r="G9" s="179"/>
      <c r="H9" s="40" t="s">
        <v>11</v>
      </c>
      <c r="I9" s="33">
        <v>1</v>
      </c>
      <c r="J9" s="33">
        <v>1000</v>
      </c>
      <c r="K9" s="41">
        <v>0.1</v>
      </c>
      <c r="M9" s="179"/>
      <c r="N9" s="40" t="s">
        <v>11</v>
      </c>
      <c r="O9" s="33">
        <v>1</v>
      </c>
      <c r="P9" s="33">
        <v>1000</v>
      </c>
      <c r="Q9" s="44">
        <v>0.1</v>
      </c>
    </row>
    <row r="10" spans="1:17" x14ac:dyDescent="0.35">
      <c r="A10" s="182"/>
      <c r="B10" s="24">
        <v>1.5</v>
      </c>
      <c r="C10" s="24">
        <v>10</v>
      </c>
      <c r="D10" s="26">
        <v>0.05</v>
      </c>
      <c r="E10" s="26">
        <v>0.02</v>
      </c>
      <c r="Q10" s="27"/>
    </row>
    <row r="11" spans="1:17" x14ac:dyDescent="0.35">
      <c r="A11" s="93" t="s">
        <v>12</v>
      </c>
      <c r="B11" s="24">
        <v>1</v>
      </c>
      <c r="C11" s="24">
        <v>10</v>
      </c>
      <c r="D11" s="26">
        <v>1.4999999999999999E-2</v>
      </c>
      <c r="E11" s="26">
        <v>0.01</v>
      </c>
      <c r="G11" s="167" t="s">
        <v>13</v>
      </c>
      <c r="H11" s="168"/>
      <c r="I11" s="168"/>
      <c r="J11" s="168"/>
      <c r="K11" s="169"/>
      <c r="M11" s="167" t="s">
        <v>14</v>
      </c>
      <c r="N11" s="168"/>
      <c r="O11" s="168"/>
      <c r="P11" s="168"/>
      <c r="Q11" s="169"/>
    </row>
    <row r="12" spans="1:17" x14ac:dyDescent="0.35">
      <c r="A12" s="28"/>
      <c r="D12" s="36"/>
      <c r="E12" s="36"/>
      <c r="G12" s="170" t="s">
        <v>6</v>
      </c>
      <c r="H12" s="171"/>
      <c r="I12" s="33">
        <v>0</v>
      </c>
      <c r="J12" s="33">
        <v>0.79</v>
      </c>
      <c r="K12" s="41">
        <v>0.01</v>
      </c>
      <c r="M12" s="170" t="s">
        <v>6</v>
      </c>
      <c r="N12" s="171"/>
      <c r="O12" s="183" t="s">
        <v>15</v>
      </c>
      <c r="P12" s="184"/>
      <c r="Q12" s="189">
        <v>0.01</v>
      </c>
    </row>
    <row r="13" spans="1:17" x14ac:dyDescent="0.35">
      <c r="A13" s="164" t="s">
        <v>16</v>
      </c>
      <c r="B13" s="165"/>
      <c r="C13" s="165"/>
      <c r="D13" s="165"/>
      <c r="E13" s="166"/>
      <c r="G13" s="172"/>
      <c r="H13" s="173"/>
      <c r="I13" s="33">
        <v>0.8</v>
      </c>
      <c r="J13" s="33">
        <v>0.89</v>
      </c>
      <c r="K13" s="41">
        <v>0.05</v>
      </c>
      <c r="M13" s="172"/>
      <c r="N13" s="173"/>
      <c r="O13" s="185"/>
      <c r="P13" s="186"/>
      <c r="Q13" s="190"/>
    </row>
    <row r="14" spans="1:17" x14ac:dyDescent="0.35">
      <c r="A14" s="93"/>
      <c r="B14" s="35"/>
      <c r="C14" s="35"/>
      <c r="D14" s="34" t="s">
        <v>4</v>
      </c>
      <c r="E14" s="34" t="s">
        <v>5</v>
      </c>
      <c r="G14" s="174"/>
      <c r="H14" s="175"/>
      <c r="I14" s="33">
        <v>0.9</v>
      </c>
      <c r="J14" s="33">
        <v>1000</v>
      </c>
      <c r="K14" s="41">
        <v>0.08</v>
      </c>
      <c r="M14" s="174"/>
      <c r="N14" s="175"/>
      <c r="O14" s="187"/>
      <c r="P14" s="188"/>
      <c r="Q14" s="191"/>
    </row>
    <row r="15" spans="1:17" x14ac:dyDescent="0.35">
      <c r="A15" s="93"/>
      <c r="B15" s="35"/>
      <c r="C15" s="35"/>
      <c r="D15" s="34" t="s">
        <v>17</v>
      </c>
      <c r="E15" s="34" t="s">
        <v>18</v>
      </c>
      <c r="G15" s="177" t="s">
        <v>8</v>
      </c>
      <c r="H15" s="180" t="s">
        <v>9</v>
      </c>
      <c r="I15" s="33">
        <v>1</v>
      </c>
      <c r="J15" s="33">
        <v>1.49</v>
      </c>
      <c r="K15" s="41">
        <v>0.15</v>
      </c>
      <c r="M15" s="177" t="s">
        <v>8</v>
      </c>
      <c r="N15" s="180" t="s">
        <v>9</v>
      </c>
      <c r="O15" s="189">
        <v>1</v>
      </c>
      <c r="P15" s="189">
        <v>100000</v>
      </c>
      <c r="Q15" s="189">
        <v>0.01</v>
      </c>
    </row>
    <row r="16" spans="1:17" x14ac:dyDescent="0.35">
      <c r="A16" s="176" t="s">
        <v>6</v>
      </c>
      <c r="B16" s="24">
        <v>0</v>
      </c>
      <c r="C16" s="23">
        <v>0.79990000000000006</v>
      </c>
      <c r="D16" s="26">
        <v>1E-3</v>
      </c>
      <c r="E16" s="26">
        <v>5.0000000000000001E-4</v>
      </c>
      <c r="G16" s="178"/>
      <c r="H16" s="181"/>
      <c r="I16" s="33">
        <v>1.5</v>
      </c>
      <c r="J16" s="33">
        <v>1000</v>
      </c>
      <c r="K16" s="41">
        <v>0.2</v>
      </c>
      <c r="M16" s="178"/>
      <c r="N16" s="181"/>
      <c r="O16" s="191"/>
      <c r="P16" s="191"/>
      <c r="Q16" s="191"/>
    </row>
    <row r="17" spans="1:17" ht="15" thickBot="1" x14ac:dyDescent="0.4">
      <c r="A17" s="176"/>
      <c r="B17" s="24">
        <v>0.8</v>
      </c>
      <c r="C17" s="23">
        <v>0.89990000000000003</v>
      </c>
      <c r="D17" s="26">
        <v>2E-3</v>
      </c>
      <c r="E17" s="26">
        <v>1E-3</v>
      </c>
      <c r="G17" s="179"/>
      <c r="H17" s="40" t="s">
        <v>11</v>
      </c>
      <c r="I17" s="33">
        <v>1</v>
      </c>
      <c r="J17" s="33">
        <v>1000</v>
      </c>
      <c r="K17" s="41">
        <v>0.15</v>
      </c>
      <c r="M17" s="179"/>
      <c r="N17" s="40" t="s">
        <v>11</v>
      </c>
      <c r="O17" s="42">
        <v>1</v>
      </c>
      <c r="P17" s="43">
        <v>100000</v>
      </c>
      <c r="Q17" s="42">
        <v>0.01</v>
      </c>
    </row>
    <row r="18" spans="1:17" x14ac:dyDescent="0.35">
      <c r="A18" s="176"/>
      <c r="B18" s="24">
        <v>0.9</v>
      </c>
      <c r="C18" s="24">
        <v>10000</v>
      </c>
      <c r="D18" s="26">
        <v>3.0000000000000001E-3</v>
      </c>
      <c r="E18" s="26">
        <v>1.5E-3</v>
      </c>
      <c r="Q18" s="27"/>
    </row>
    <row r="19" spans="1:17" x14ac:dyDescent="0.35">
      <c r="A19" s="182" t="s">
        <v>10</v>
      </c>
      <c r="B19" s="24">
        <v>1</v>
      </c>
      <c r="C19" s="24">
        <v>1.49</v>
      </c>
      <c r="D19" s="26">
        <v>1.2E-2</v>
      </c>
      <c r="E19" s="26">
        <v>6.0000000000000001E-3</v>
      </c>
      <c r="Q19" s="27"/>
    </row>
    <row r="20" spans="1:17" x14ac:dyDescent="0.35">
      <c r="A20" s="182"/>
      <c r="B20" s="24">
        <v>1.5</v>
      </c>
      <c r="C20" s="24">
        <v>10</v>
      </c>
      <c r="D20" s="26">
        <v>1.4E-2</v>
      </c>
      <c r="E20" s="26">
        <v>7.0000000000000001E-3</v>
      </c>
      <c r="Q20" s="27"/>
    </row>
    <row r="21" spans="1:17" x14ac:dyDescent="0.35">
      <c r="A21" s="93" t="s">
        <v>12</v>
      </c>
      <c r="B21" s="24">
        <v>1</v>
      </c>
      <c r="C21" s="24">
        <v>10</v>
      </c>
      <c r="D21" s="26">
        <v>5.0000000000000001E-3</v>
      </c>
      <c r="E21" s="26">
        <v>2.5000000000000001E-3</v>
      </c>
      <c r="Q21" s="27"/>
    </row>
    <row r="22" spans="1:17" x14ac:dyDescent="0.35">
      <c r="A22" s="28"/>
      <c r="Q22" s="27"/>
    </row>
    <row r="23" spans="1:17" x14ac:dyDescent="0.35">
      <c r="A23" s="167" t="s">
        <v>19</v>
      </c>
      <c r="B23" s="168"/>
      <c r="C23" s="168"/>
      <c r="D23" s="169"/>
      <c r="Q23" s="27"/>
    </row>
    <row r="24" spans="1:17" x14ac:dyDescent="0.35">
      <c r="A24" s="93"/>
      <c r="B24" s="31"/>
      <c r="C24" s="31"/>
      <c r="D24" s="30"/>
      <c r="Q24" s="27"/>
    </row>
    <row r="25" spans="1:17" x14ac:dyDescent="0.35">
      <c r="A25" s="176" t="s">
        <v>6</v>
      </c>
      <c r="B25" s="24">
        <v>0</v>
      </c>
      <c r="C25" s="23">
        <v>0.89990000000000003</v>
      </c>
      <c r="D25" s="37">
        <v>5.0000000000000001E-4</v>
      </c>
      <c r="Q25" s="27"/>
    </row>
    <row r="26" spans="1:17" x14ac:dyDescent="0.35">
      <c r="A26" s="176"/>
      <c r="B26" s="24">
        <v>0.9</v>
      </c>
      <c r="C26" s="24">
        <v>10000</v>
      </c>
      <c r="D26" s="37">
        <v>1.5E-3</v>
      </c>
      <c r="Q26" s="27"/>
    </row>
    <row r="27" spans="1:17" x14ac:dyDescent="0.35">
      <c r="A27" s="38" t="s">
        <v>10</v>
      </c>
      <c r="B27" s="24">
        <v>1</v>
      </c>
      <c r="C27" s="24">
        <v>10000</v>
      </c>
      <c r="D27" s="37">
        <v>2E-3</v>
      </c>
      <c r="Q27" s="27"/>
    </row>
    <row r="28" spans="1:17" x14ac:dyDescent="0.35">
      <c r="A28" s="93" t="s">
        <v>12</v>
      </c>
      <c r="B28" s="24">
        <v>1</v>
      </c>
      <c r="C28" s="24">
        <v>10</v>
      </c>
      <c r="D28" s="37">
        <v>2.5000000000000001E-3</v>
      </c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9"/>
    </row>
    <row r="30" spans="1:17" x14ac:dyDescent="0.35">
      <c r="A30" s="161" t="s">
        <v>20</v>
      </c>
      <c r="B30" s="162"/>
      <c r="C30" s="162"/>
      <c r="D30" s="162"/>
      <c r="E30" s="162"/>
      <c r="F30" s="162"/>
      <c r="G30" s="162"/>
      <c r="H30" s="162"/>
      <c r="I30" s="162"/>
      <c r="J30" s="162"/>
      <c r="K30" s="162"/>
      <c r="L30" s="162"/>
      <c r="M30" s="162"/>
      <c r="N30" s="162"/>
      <c r="O30" s="162"/>
      <c r="P30" s="162"/>
      <c r="Q30" s="163"/>
    </row>
    <row r="31" spans="1:17" x14ac:dyDescent="0.35">
      <c r="A31" s="164" t="s">
        <v>1</v>
      </c>
      <c r="B31" s="165"/>
      <c r="C31" s="165"/>
      <c r="D31" s="165"/>
      <c r="E31" s="166"/>
      <c r="G31" s="167" t="s">
        <v>2</v>
      </c>
      <c r="H31" s="168"/>
      <c r="I31" s="168"/>
      <c r="J31" s="168"/>
      <c r="K31" s="169"/>
      <c r="M31" s="167" t="s">
        <v>3</v>
      </c>
      <c r="N31" s="168"/>
      <c r="O31" s="168"/>
      <c r="P31" s="168"/>
      <c r="Q31" s="169"/>
    </row>
    <row r="32" spans="1:17" x14ac:dyDescent="0.35">
      <c r="A32" s="93"/>
      <c r="B32" s="35"/>
      <c r="C32" s="35"/>
      <c r="D32" s="34" t="s">
        <v>4</v>
      </c>
      <c r="E32" s="34" t="s">
        <v>5</v>
      </c>
      <c r="G32" s="170" t="s">
        <v>6</v>
      </c>
      <c r="H32" s="171"/>
      <c r="I32" s="33">
        <v>0</v>
      </c>
      <c r="J32" s="33">
        <v>0.79</v>
      </c>
      <c r="K32" s="41">
        <v>5.0000000000000001E-3</v>
      </c>
      <c r="M32" s="170" t="s">
        <v>6</v>
      </c>
      <c r="N32" s="171"/>
      <c r="O32" s="33">
        <v>0</v>
      </c>
      <c r="P32" s="33">
        <v>0.79</v>
      </c>
      <c r="Q32" s="39">
        <v>5.0000000000000001E-3</v>
      </c>
    </row>
    <row r="33" spans="1:17" x14ac:dyDescent="0.35">
      <c r="A33" s="93"/>
      <c r="B33" s="35"/>
      <c r="C33" s="35"/>
      <c r="D33" s="34" t="s">
        <v>7</v>
      </c>
      <c r="E33" s="34" t="s">
        <v>7</v>
      </c>
      <c r="G33" s="172"/>
      <c r="H33" s="173"/>
      <c r="I33" s="33">
        <v>0.8</v>
      </c>
      <c r="J33" s="33">
        <v>0.89</v>
      </c>
      <c r="K33" s="41">
        <v>0.02</v>
      </c>
      <c r="M33" s="172"/>
      <c r="N33" s="173"/>
      <c r="O33" s="33">
        <v>0.8</v>
      </c>
      <c r="P33" s="33">
        <v>0.89</v>
      </c>
      <c r="Q33" s="39">
        <v>0.02</v>
      </c>
    </row>
    <row r="34" spans="1:17" x14ac:dyDescent="0.35">
      <c r="A34" s="176" t="s">
        <v>6</v>
      </c>
      <c r="B34" s="24">
        <v>0</v>
      </c>
      <c r="C34" s="23">
        <v>0.79990000000000006</v>
      </c>
      <c r="D34" s="26">
        <v>5.0000000000000001E-4</v>
      </c>
      <c r="E34" s="26">
        <v>2.5000000000000001E-4</v>
      </c>
      <c r="G34" s="174"/>
      <c r="H34" s="175"/>
      <c r="I34" s="33">
        <v>0.9</v>
      </c>
      <c r="J34" s="33">
        <v>1000</v>
      </c>
      <c r="K34" s="41">
        <v>0.04</v>
      </c>
      <c r="M34" s="174"/>
      <c r="N34" s="175"/>
      <c r="O34" s="33">
        <v>0.9</v>
      </c>
      <c r="P34" s="33">
        <v>1000</v>
      </c>
      <c r="Q34" s="39">
        <v>0.04</v>
      </c>
    </row>
    <row r="35" spans="1:17" x14ac:dyDescent="0.35">
      <c r="A35" s="176"/>
      <c r="B35" s="24">
        <v>0.8</v>
      </c>
      <c r="C35" s="23">
        <v>0.89990000000000003</v>
      </c>
      <c r="D35" s="26">
        <v>1E-3</v>
      </c>
      <c r="E35" s="26">
        <v>5.0000000000000001E-4</v>
      </c>
      <c r="G35" s="177" t="s">
        <v>8</v>
      </c>
      <c r="H35" s="180" t="s">
        <v>9</v>
      </c>
      <c r="I35" s="33">
        <v>1</v>
      </c>
      <c r="J35" s="33">
        <v>1.19</v>
      </c>
      <c r="K35" s="41">
        <v>0.08</v>
      </c>
      <c r="M35" s="177" t="s">
        <v>8</v>
      </c>
      <c r="N35" s="180" t="s">
        <v>9</v>
      </c>
      <c r="O35" s="33">
        <v>1</v>
      </c>
      <c r="P35" s="33">
        <v>1.19</v>
      </c>
      <c r="Q35" s="39">
        <v>0.1</v>
      </c>
    </row>
    <row r="36" spans="1:17" x14ac:dyDescent="0.35">
      <c r="A36" s="176"/>
      <c r="B36" s="24">
        <v>0.9</v>
      </c>
      <c r="C36" s="24">
        <v>10000</v>
      </c>
      <c r="D36" s="26">
        <v>1.5E-3</v>
      </c>
      <c r="E36" s="26">
        <v>7.5000000000000002E-4</v>
      </c>
      <c r="G36" s="178"/>
      <c r="H36" s="181"/>
      <c r="I36" s="33">
        <v>1.2</v>
      </c>
      <c r="J36" s="33">
        <v>1000</v>
      </c>
      <c r="K36" s="41">
        <v>0.13</v>
      </c>
      <c r="M36" s="178"/>
      <c r="N36" s="181"/>
      <c r="O36" s="33">
        <v>1.2</v>
      </c>
      <c r="P36" s="33">
        <v>1000</v>
      </c>
      <c r="Q36" s="39">
        <v>0.15</v>
      </c>
    </row>
    <row r="37" spans="1:17" ht="15" thickBot="1" x14ac:dyDescent="0.4">
      <c r="A37" s="182" t="s">
        <v>10</v>
      </c>
      <c r="B37" s="24">
        <v>1</v>
      </c>
      <c r="C37" s="24">
        <v>1.49</v>
      </c>
      <c r="D37" s="26">
        <v>6.0000000000000001E-3</v>
      </c>
      <c r="E37" s="26">
        <v>3.0000000000000001E-3</v>
      </c>
      <c r="G37" s="179"/>
      <c r="H37" s="40" t="s">
        <v>21</v>
      </c>
      <c r="I37" s="33">
        <v>1</v>
      </c>
      <c r="J37" s="33">
        <v>1000</v>
      </c>
      <c r="K37" s="41">
        <v>0.03</v>
      </c>
      <c r="M37" s="179"/>
      <c r="N37" s="40" t="s">
        <v>21</v>
      </c>
      <c r="O37" s="33">
        <v>1</v>
      </c>
      <c r="P37" s="33">
        <v>1000</v>
      </c>
      <c r="Q37" s="39">
        <v>0.03</v>
      </c>
    </row>
    <row r="38" spans="1:17" x14ac:dyDescent="0.35">
      <c r="A38" s="182"/>
      <c r="B38" s="24">
        <v>1.5</v>
      </c>
      <c r="C38" s="24">
        <v>10</v>
      </c>
      <c r="D38" s="26">
        <v>2.5000000000000001E-2</v>
      </c>
      <c r="E38" s="26">
        <v>0.01</v>
      </c>
      <c r="Q38" s="27"/>
    </row>
    <row r="39" spans="1:17" x14ac:dyDescent="0.35">
      <c r="A39" s="93" t="s">
        <v>22</v>
      </c>
      <c r="B39" s="24">
        <v>1</v>
      </c>
      <c r="C39" s="24">
        <v>10</v>
      </c>
      <c r="D39" s="26">
        <v>8.0000000000000002E-3</v>
      </c>
      <c r="E39" s="26">
        <v>4.0000000000000001E-3</v>
      </c>
      <c r="G39" s="167" t="s">
        <v>13</v>
      </c>
      <c r="H39" s="168"/>
      <c r="I39" s="168"/>
      <c r="J39" s="168"/>
      <c r="K39" s="169"/>
      <c r="M39" s="167" t="s">
        <v>14</v>
      </c>
      <c r="N39" s="168"/>
      <c r="O39" s="168"/>
      <c r="P39" s="168"/>
      <c r="Q39" s="169"/>
    </row>
    <row r="40" spans="1:17" x14ac:dyDescent="0.35">
      <c r="A40" s="28"/>
      <c r="D40" s="36"/>
      <c r="E40" s="36"/>
      <c r="G40" s="170" t="s">
        <v>6</v>
      </c>
      <c r="H40" s="171"/>
      <c r="I40" s="33">
        <v>0</v>
      </c>
      <c r="J40" s="33">
        <v>0.79</v>
      </c>
      <c r="K40" s="41">
        <v>5.0000000000000001E-3</v>
      </c>
      <c r="M40" s="170" t="s">
        <v>6</v>
      </c>
      <c r="N40" s="171"/>
      <c r="O40" s="183" t="s">
        <v>15</v>
      </c>
      <c r="P40" s="184"/>
      <c r="Q40" s="192">
        <v>5.0000000000000001E-3</v>
      </c>
    </row>
    <row r="41" spans="1:17" x14ac:dyDescent="0.35">
      <c r="A41" s="164" t="s">
        <v>16</v>
      </c>
      <c r="B41" s="165"/>
      <c r="C41" s="165"/>
      <c r="D41" s="165"/>
      <c r="E41" s="166"/>
      <c r="G41" s="172"/>
      <c r="H41" s="173"/>
      <c r="I41" s="33">
        <v>0.8</v>
      </c>
      <c r="J41" s="33">
        <v>0.89</v>
      </c>
      <c r="K41" s="41">
        <v>0.02</v>
      </c>
      <c r="M41" s="172"/>
      <c r="N41" s="173"/>
      <c r="O41" s="185"/>
      <c r="P41" s="186"/>
      <c r="Q41" s="194"/>
    </row>
    <row r="42" spans="1:17" x14ac:dyDescent="0.35">
      <c r="A42" s="93"/>
      <c r="B42" s="35"/>
      <c r="C42" s="35"/>
      <c r="D42" s="34" t="s">
        <v>4</v>
      </c>
      <c r="E42" s="34" t="s">
        <v>5</v>
      </c>
      <c r="G42" s="174"/>
      <c r="H42" s="175"/>
      <c r="I42" s="33">
        <v>0.9</v>
      </c>
      <c r="J42" s="33">
        <v>1000</v>
      </c>
      <c r="K42" s="41">
        <v>0.04</v>
      </c>
      <c r="M42" s="174"/>
      <c r="N42" s="175"/>
      <c r="O42" s="187"/>
      <c r="P42" s="188"/>
      <c r="Q42" s="193"/>
    </row>
    <row r="43" spans="1:17" x14ac:dyDescent="0.35">
      <c r="A43" s="93"/>
      <c r="B43" s="35"/>
      <c r="C43" s="35"/>
      <c r="D43" s="34" t="s">
        <v>17</v>
      </c>
      <c r="E43" s="34" t="s">
        <v>18</v>
      </c>
      <c r="G43" s="177" t="s">
        <v>8</v>
      </c>
      <c r="H43" s="180" t="s">
        <v>9</v>
      </c>
      <c r="I43" s="33">
        <v>1</v>
      </c>
      <c r="J43" s="33">
        <v>1.19</v>
      </c>
      <c r="K43" s="41">
        <v>0.1</v>
      </c>
      <c r="M43" s="177" t="s">
        <v>8</v>
      </c>
      <c r="N43" s="180" t="s">
        <v>9</v>
      </c>
      <c r="O43" s="189">
        <v>1</v>
      </c>
      <c r="P43" s="189">
        <v>100000</v>
      </c>
      <c r="Q43" s="192">
        <v>5.0000000000000001E-3</v>
      </c>
    </row>
    <row r="44" spans="1:17" x14ac:dyDescent="0.35">
      <c r="A44" s="176" t="s">
        <v>6</v>
      </c>
      <c r="B44" s="24">
        <v>0</v>
      </c>
      <c r="C44" s="23">
        <v>0.79990000000000006</v>
      </c>
      <c r="D44" s="26">
        <f t="shared" ref="D44:E49" si="0">D16/2</f>
        <v>5.0000000000000001E-4</v>
      </c>
      <c r="E44" s="26">
        <f t="shared" si="0"/>
        <v>2.5000000000000001E-4</v>
      </c>
      <c r="G44" s="178"/>
      <c r="H44" s="181"/>
      <c r="I44" s="33">
        <v>1.2</v>
      </c>
      <c r="J44" s="33">
        <v>1000</v>
      </c>
      <c r="K44" s="41">
        <v>0.15</v>
      </c>
      <c r="M44" s="178"/>
      <c r="N44" s="181"/>
      <c r="O44" s="191"/>
      <c r="P44" s="191"/>
      <c r="Q44" s="193"/>
    </row>
    <row r="45" spans="1:17" ht="15" thickBot="1" x14ac:dyDescent="0.4">
      <c r="A45" s="176"/>
      <c r="B45" s="24">
        <v>0.8</v>
      </c>
      <c r="C45" s="23">
        <v>0.89990000000000003</v>
      </c>
      <c r="D45" s="26">
        <f t="shared" si="0"/>
        <v>1E-3</v>
      </c>
      <c r="E45" s="26">
        <f t="shared" si="0"/>
        <v>5.0000000000000001E-4</v>
      </c>
      <c r="G45" s="179"/>
      <c r="H45" s="40" t="s">
        <v>21</v>
      </c>
      <c r="I45" s="33">
        <v>1</v>
      </c>
      <c r="J45" s="33">
        <v>1000</v>
      </c>
      <c r="K45" s="41">
        <v>0.03</v>
      </c>
      <c r="M45" s="179"/>
      <c r="N45" s="40" t="s">
        <v>21</v>
      </c>
      <c r="O45" s="33">
        <v>1</v>
      </c>
      <c r="P45" s="33">
        <v>1000</v>
      </c>
      <c r="Q45" s="39">
        <v>5.0000000000000001E-3</v>
      </c>
    </row>
    <row r="46" spans="1:17" x14ac:dyDescent="0.35">
      <c r="A46" s="176"/>
      <c r="B46" s="24">
        <v>0.9</v>
      </c>
      <c r="C46" s="24">
        <v>10000</v>
      </c>
      <c r="D46" s="26">
        <f t="shared" si="0"/>
        <v>1.5E-3</v>
      </c>
      <c r="E46" s="26">
        <f t="shared" si="0"/>
        <v>7.5000000000000002E-4</v>
      </c>
      <c r="Q46" s="27"/>
    </row>
    <row r="47" spans="1:17" x14ac:dyDescent="0.35">
      <c r="A47" s="182" t="s">
        <v>10</v>
      </c>
      <c r="B47" s="24">
        <v>1</v>
      </c>
      <c r="C47" s="24">
        <v>1.49</v>
      </c>
      <c r="D47" s="26">
        <f t="shared" si="0"/>
        <v>6.0000000000000001E-3</v>
      </c>
      <c r="E47" s="26">
        <f t="shared" si="0"/>
        <v>3.0000000000000001E-3</v>
      </c>
      <c r="Q47" s="27"/>
    </row>
    <row r="48" spans="1:17" x14ac:dyDescent="0.35">
      <c r="A48" s="182"/>
      <c r="B48" s="24">
        <v>1.5</v>
      </c>
      <c r="C48" s="24">
        <v>10</v>
      </c>
      <c r="D48" s="26">
        <f t="shared" si="0"/>
        <v>7.0000000000000001E-3</v>
      </c>
      <c r="E48" s="26">
        <f t="shared" si="0"/>
        <v>3.5000000000000001E-3</v>
      </c>
      <c r="Q48" s="27"/>
    </row>
    <row r="49" spans="1:17" x14ac:dyDescent="0.35">
      <c r="A49" s="93" t="s">
        <v>22</v>
      </c>
      <c r="B49" s="24">
        <v>1</v>
      </c>
      <c r="C49" s="24">
        <v>10</v>
      </c>
      <c r="D49" s="26">
        <f t="shared" si="0"/>
        <v>2.5000000000000001E-3</v>
      </c>
      <c r="E49" s="26">
        <f t="shared" si="0"/>
        <v>1.25E-3</v>
      </c>
      <c r="Q49" s="27"/>
    </row>
    <row r="50" spans="1:17" x14ac:dyDescent="0.35">
      <c r="A50" s="28"/>
      <c r="Q50" s="27"/>
    </row>
    <row r="51" spans="1:17" x14ac:dyDescent="0.35">
      <c r="A51" s="167" t="s">
        <v>19</v>
      </c>
      <c r="B51" s="168"/>
      <c r="C51" s="168"/>
      <c r="D51" s="169"/>
      <c r="Q51" s="27"/>
    </row>
    <row r="52" spans="1:17" x14ac:dyDescent="0.35">
      <c r="A52" s="93"/>
      <c r="B52" s="31"/>
      <c r="C52" s="31"/>
      <c r="D52" s="30"/>
      <c r="Q52" s="27"/>
    </row>
    <row r="53" spans="1:17" x14ac:dyDescent="0.35">
      <c r="A53" s="176" t="s">
        <v>6</v>
      </c>
      <c r="B53" s="24">
        <v>0</v>
      </c>
      <c r="C53" s="23">
        <v>0.89990000000000003</v>
      </c>
      <c r="D53" s="37">
        <v>2.0000000000000001E-4</v>
      </c>
      <c r="Q53" s="27"/>
    </row>
    <row r="54" spans="1:17" x14ac:dyDescent="0.35">
      <c r="A54" s="176"/>
      <c r="B54" s="24">
        <v>0.9</v>
      </c>
      <c r="C54" s="24">
        <v>10000</v>
      </c>
      <c r="D54" s="37">
        <v>5.0000000000000001E-4</v>
      </c>
      <c r="Q54" s="27"/>
    </row>
    <row r="55" spans="1:17" x14ac:dyDescent="0.35">
      <c r="A55" s="38" t="s">
        <v>10</v>
      </c>
      <c r="B55" s="24">
        <v>1</v>
      </c>
      <c r="C55" s="24">
        <v>10000</v>
      </c>
      <c r="D55" s="37">
        <v>1E-3</v>
      </c>
      <c r="Q55" s="27"/>
    </row>
    <row r="56" spans="1:17" x14ac:dyDescent="0.35">
      <c r="A56" s="93" t="s">
        <v>12</v>
      </c>
      <c r="B56" s="24">
        <v>1</v>
      </c>
      <c r="C56" s="24">
        <v>10</v>
      </c>
      <c r="D56" s="37">
        <v>5.0000000000000001E-4</v>
      </c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9"/>
    </row>
    <row r="59" spans="1:17" x14ac:dyDescent="0.35">
      <c r="A59" s="161" t="s">
        <v>23</v>
      </c>
      <c r="B59" s="162"/>
      <c r="C59" s="162"/>
      <c r="D59" s="162"/>
      <c r="E59" s="162"/>
      <c r="F59" s="162"/>
      <c r="G59" s="162"/>
      <c r="H59" s="162"/>
      <c r="I59" s="162"/>
      <c r="J59" s="162"/>
      <c r="K59" s="162"/>
      <c r="L59" s="162"/>
      <c r="M59" s="162"/>
      <c r="N59" s="162"/>
      <c r="O59" s="162"/>
      <c r="P59" s="162"/>
      <c r="Q59" s="163"/>
    </row>
    <row r="60" spans="1:17" x14ac:dyDescent="0.35">
      <c r="A60" s="164" t="s">
        <v>1</v>
      </c>
      <c r="B60" s="165"/>
      <c r="C60" s="165"/>
      <c r="D60" s="165"/>
      <c r="E60" s="166"/>
      <c r="G60" s="167" t="s">
        <v>2</v>
      </c>
      <c r="H60" s="168"/>
      <c r="I60" s="168"/>
      <c r="J60" s="168"/>
      <c r="K60" s="169"/>
      <c r="M60" s="167" t="s">
        <v>3</v>
      </c>
      <c r="N60" s="168"/>
      <c r="O60" s="168"/>
      <c r="P60" s="168"/>
      <c r="Q60" s="169"/>
    </row>
    <row r="61" spans="1:17" x14ac:dyDescent="0.35">
      <c r="A61" s="93"/>
      <c r="B61" s="35"/>
      <c r="C61" s="35"/>
      <c r="D61" s="34" t="s">
        <v>4</v>
      </c>
      <c r="E61" s="34" t="s">
        <v>5</v>
      </c>
      <c r="G61" s="195" t="s">
        <v>6</v>
      </c>
      <c r="H61" s="196"/>
      <c r="I61" s="33">
        <v>0</v>
      </c>
      <c r="J61" s="32">
        <v>0.79990000000000006</v>
      </c>
      <c r="K61" s="32">
        <v>5.0000000000000001E-3</v>
      </c>
      <c r="M61" s="195" t="s">
        <v>6</v>
      </c>
      <c r="N61" s="196"/>
      <c r="O61" s="33">
        <v>0</v>
      </c>
      <c r="P61" s="32">
        <v>0.79990000000000006</v>
      </c>
      <c r="Q61" s="37">
        <v>5.0000000000000001E-3</v>
      </c>
    </row>
    <row r="62" spans="1:17" x14ac:dyDescent="0.35">
      <c r="A62" s="93"/>
      <c r="B62" s="35"/>
      <c r="C62" s="35"/>
      <c r="D62" s="34" t="s">
        <v>7</v>
      </c>
      <c r="E62" s="34" t="s">
        <v>7</v>
      </c>
      <c r="G62" s="197"/>
      <c r="H62" s="198"/>
      <c r="I62" s="33">
        <v>0.8</v>
      </c>
      <c r="J62" s="32">
        <v>0.89990000000000003</v>
      </c>
      <c r="K62" s="32">
        <v>1.4999999999999999E-2</v>
      </c>
      <c r="M62" s="197"/>
      <c r="N62" s="198"/>
      <c r="O62" s="33">
        <v>0.8</v>
      </c>
      <c r="P62" s="32">
        <v>0.89990000000000003</v>
      </c>
      <c r="Q62" s="37">
        <v>1.4999999999999999E-2</v>
      </c>
    </row>
    <row r="63" spans="1:17" x14ac:dyDescent="0.35">
      <c r="A63" s="180" t="s">
        <v>6</v>
      </c>
      <c r="B63" s="24">
        <v>0.8</v>
      </c>
      <c r="C63" s="23">
        <v>0.89990000000000003</v>
      </c>
      <c r="D63" s="26">
        <v>4.0000000000000002E-4</v>
      </c>
      <c r="E63" s="26">
        <v>2.0000000000000001E-4</v>
      </c>
      <c r="G63" s="197"/>
      <c r="H63" s="198"/>
      <c r="I63" s="33">
        <v>0.9</v>
      </c>
      <c r="J63" s="32">
        <v>0.99990000000000001</v>
      </c>
      <c r="K63" s="32">
        <v>2.5000000000000001E-2</v>
      </c>
      <c r="M63" s="197"/>
      <c r="N63" s="198"/>
      <c r="O63" s="33">
        <v>0.9</v>
      </c>
      <c r="P63" s="32">
        <v>0.99990000000000001</v>
      </c>
      <c r="Q63" s="37">
        <v>2.5000000000000001E-2</v>
      </c>
    </row>
    <row r="64" spans="1:17" x14ac:dyDescent="0.35">
      <c r="A64" s="199"/>
      <c r="B64" s="24">
        <v>0.9</v>
      </c>
      <c r="C64" s="23">
        <v>0.99990000000000001</v>
      </c>
      <c r="D64" s="26">
        <v>6.0000000000000006E-4</v>
      </c>
      <c r="E64" s="26">
        <v>3.0000000000000003E-4</v>
      </c>
      <c r="G64" s="197"/>
      <c r="H64" s="198"/>
      <c r="I64" s="33">
        <v>1</v>
      </c>
      <c r="J64" s="32">
        <v>1.4999</v>
      </c>
      <c r="K64" s="32">
        <v>4.4999999999999998E-2</v>
      </c>
      <c r="M64" s="197"/>
      <c r="N64" s="198"/>
      <c r="O64" s="33">
        <v>1</v>
      </c>
      <c r="P64" s="32">
        <v>1.4999</v>
      </c>
      <c r="Q64" s="37">
        <v>5.5E-2</v>
      </c>
    </row>
    <row r="65" spans="1:17" x14ac:dyDescent="0.35">
      <c r="A65" s="199"/>
      <c r="B65" s="24">
        <v>1</v>
      </c>
      <c r="C65" s="24">
        <v>1.2499</v>
      </c>
      <c r="D65" s="26">
        <v>0.01</v>
      </c>
      <c r="E65" s="26">
        <v>1.2000000000000001E-3</v>
      </c>
      <c r="G65" s="197"/>
      <c r="H65" s="198"/>
      <c r="I65" s="33">
        <v>1.5</v>
      </c>
      <c r="J65" s="32">
        <v>1000</v>
      </c>
      <c r="K65" s="32">
        <v>5.5E-2</v>
      </c>
      <c r="M65" s="197"/>
      <c r="N65" s="198"/>
      <c r="O65" s="33">
        <v>1.5</v>
      </c>
      <c r="P65" s="32">
        <v>1000</v>
      </c>
      <c r="Q65" s="37">
        <v>6.5000000000000002E-2</v>
      </c>
    </row>
    <row r="66" spans="1:17" x14ac:dyDescent="0.35">
      <c r="A66" s="199"/>
      <c r="B66" s="24">
        <v>1.25</v>
      </c>
      <c r="C66" s="24">
        <v>1.4999</v>
      </c>
      <c r="D66" s="26">
        <v>1.0999999999999999E-2</v>
      </c>
      <c r="E66" s="26">
        <v>4.0000000000000001E-3</v>
      </c>
      <c r="I66" s="6"/>
      <c r="J66" s="6"/>
      <c r="K66" s="6"/>
      <c r="Q66" s="27"/>
    </row>
    <row r="67" spans="1:17" x14ac:dyDescent="0.35">
      <c r="A67" s="181"/>
      <c r="B67" s="24">
        <v>1.5</v>
      </c>
      <c r="C67" s="24">
        <v>10</v>
      </c>
      <c r="D67" s="26">
        <v>1.2500000000000001E-2</v>
      </c>
      <c r="E67" s="26">
        <v>5.0000000000000001E-3</v>
      </c>
      <c r="G67" s="167" t="s">
        <v>13</v>
      </c>
      <c r="H67" s="168"/>
      <c r="I67" s="168"/>
      <c r="J67" s="168"/>
      <c r="K67" s="169"/>
      <c r="M67" s="167" t="s">
        <v>14</v>
      </c>
      <c r="N67" s="168"/>
      <c r="O67" s="168"/>
      <c r="P67" s="168"/>
      <c r="Q67" s="169"/>
    </row>
    <row r="68" spans="1:17" x14ac:dyDescent="0.35">
      <c r="A68" s="28"/>
      <c r="D68" s="36"/>
      <c r="E68" s="36"/>
      <c r="G68" s="195" t="s">
        <v>6</v>
      </c>
      <c r="H68" s="196"/>
      <c r="I68" s="33">
        <v>0</v>
      </c>
      <c r="J68" s="32">
        <v>0.79990000000000006</v>
      </c>
      <c r="K68" s="32">
        <v>5.0000000000000001E-3</v>
      </c>
      <c r="M68" s="195" t="s">
        <v>6</v>
      </c>
      <c r="N68" s="196"/>
      <c r="O68" s="200" t="s">
        <v>15</v>
      </c>
      <c r="P68" s="201"/>
      <c r="Q68" s="206">
        <v>2.5000000000000001E-3</v>
      </c>
    </row>
    <row r="69" spans="1:17" x14ac:dyDescent="0.35">
      <c r="A69" s="164" t="s">
        <v>16</v>
      </c>
      <c r="B69" s="165"/>
      <c r="C69" s="165"/>
      <c r="D69" s="165"/>
      <c r="E69" s="166"/>
      <c r="G69" s="197"/>
      <c r="H69" s="198"/>
      <c r="I69" s="33">
        <v>0.8</v>
      </c>
      <c r="J69" s="32">
        <v>0.89990000000000003</v>
      </c>
      <c r="K69" s="32">
        <v>1.4999999999999999E-2</v>
      </c>
      <c r="M69" s="197"/>
      <c r="N69" s="198"/>
      <c r="O69" s="202"/>
      <c r="P69" s="203"/>
      <c r="Q69" s="207"/>
    </row>
    <row r="70" spans="1:17" x14ac:dyDescent="0.35">
      <c r="A70" s="93"/>
      <c r="B70" s="35"/>
      <c r="C70" s="35"/>
      <c r="D70" s="34" t="s">
        <v>4</v>
      </c>
      <c r="E70" s="34" t="s">
        <v>5</v>
      </c>
      <c r="G70" s="197"/>
      <c r="H70" s="198"/>
      <c r="I70" s="33">
        <v>0.9</v>
      </c>
      <c r="J70" s="32">
        <v>0.99990000000000001</v>
      </c>
      <c r="K70" s="32">
        <v>2.5000000000000001E-2</v>
      </c>
      <c r="M70" s="197"/>
      <c r="N70" s="198"/>
      <c r="O70" s="202"/>
      <c r="P70" s="203"/>
      <c r="Q70" s="207"/>
    </row>
    <row r="71" spans="1:17" x14ac:dyDescent="0.35">
      <c r="A71" s="93"/>
      <c r="B71" s="35"/>
      <c r="C71" s="35"/>
      <c r="D71" s="34" t="s">
        <v>17</v>
      </c>
      <c r="E71" s="34" t="s">
        <v>18</v>
      </c>
      <c r="G71" s="197"/>
      <c r="H71" s="198"/>
      <c r="I71" s="33">
        <v>1</v>
      </c>
      <c r="J71" s="32">
        <v>1.4999</v>
      </c>
      <c r="K71" s="32">
        <v>5.5E-2</v>
      </c>
      <c r="M71" s="197"/>
      <c r="N71" s="198"/>
      <c r="O71" s="202"/>
      <c r="P71" s="203"/>
      <c r="Q71" s="207"/>
    </row>
    <row r="72" spans="1:17" x14ac:dyDescent="0.35">
      <c r="A72" s="180" t="s">
        <v>6</v>
      </c>
      <c r="B72" s="24">
        <v>0.8</v>
      </c>
      <c r="C72" s="23">
        <v>0.89990000000000003</v>
      </c>
      <c r="D72" s="26">
        <v>5.0000000000000001E-4</v>
      </c>
      <c r="E72" s="26">
        <v>4.0000000000000002E-4</v>
      </c>
      <c r="G72" s="197"/>
      <c r="H72" s="198"/>
      <c r="I72" s="33">
        <v>1.5</v>
      </c>
      <c r="J72" s="32">
        <v>1000</v>
      </c>
      <c r="K72" s="32">
        <v>6.5000000000000002E-2</v>
      </c>
      <c r="M72" s="197"/>
      <c r="N72" s="198"/>
      <c r="O72" s="204"/>
      <c r="P72" s="205"/>
      <c r="Q72" s="208"/>
    </row>
    <row r="73" spans="1:17" x14ac:dyDescent="0.35">
      <c r="A73" s="199"/>
      <c r="B73" s="24">
        <v>0.9</v>
      </c>
      <c r="C73" s="23">
        <v>0.99990000000000001</v>
      </c>
      <c r="D73" s="26">
        <v>1E-3</v>
      </c>
      <c r="E73" s="26">
        <v>8.0000000000000004E-4</v>
      </c>
      <c r="Q73" s="27"/>
    </row>
    <row r="74" spans="1:17" x14ac:dyDescent="0.35">
      <c r="A74" s="199"/>
      <c r="B74" s="24">
        <v>1</v>
      </c>
      <c r="C74" s="24">
        <v>1.2499</v>
      </c>
      <c r="D74" s="26">
        <v>0</v>
      </c>
      <c r="E74" s="26">
        <v>2E-3</v>
      </c>
      <c r="Q74" s="27"/>
    </row>
    <row r="75" spans="1:17" x14ac:dyDescent="0.35">
      <c r="A75" s="199"/>
      <c r="B75" s="24">
        <v>1.25</v>
      </c>
      <c r="C75" s="24">
        <v>1.4999</v>
      </c>
      <c r="D75" s="26">
        <v>3.0000000000000001E-3</v>
      </c>
      <c r="E75" s="26">
        <v>2.5000000000000001E-3</v>
      </c>
      <c r="Q75" s="27"/>
    </row>
    <row r="76" spans="1:17" x14ac:dyDescent="0.35">
      <c r="A76" s="181"/>
      <c r="B76" s="24">
        <v>1.5</v>
      </c>
      <c r="C76" s="24">
        <v>10</v>
      </c>
      <c r="D76" s="26">
        <v>3.5000000000000001E-3</v>
      </c>
      <c r="E76" s="26">
        <v>3.0000000000000001E-3</v>
      </c>
      <c r="Q76" s="27"/>
    </row>
    <row r="77" spans="1:17" x14ac:dyDescent="0.35">
      <c r="A77" s="28"/>
      <c r="Q77" s="27"/>
    </row>
    <row r="78" spans="1:17" x14ac:dyDescent="0.35">
      <c r="A78" s="167" t="s">
        <v>19</v>
      </c>
      <c r="B78" s="168"/>
      <c r="C78" s="168"/>
      <c r="D78" s="169"/>
      <c r="Q78" s="27"/>
    </row>
    <row r="79" spans="1:17" x14ac:dyDescent="0.35">
      <c r="A79" s="93"/>
      <c r="B79" s="31"/>
      <c r="C79" s="31"/>
      <c r="D79" s="30"/>
      <c r="Q79" s="27"/>
    </row>
    <row r="80" spans="1:17" x14ac:dyDescent="0.35">
      <c r="A80" s="180" t="s">
        <v>6</v>
      </c>
      <c r="B80" s="24">
        <v>0</v>
      </c>
      <c r="C80" s="23">
        <v>0.89990000000000003</v>
      </c>
      <c r="D80" s="26">
        <v>5.0000000000000001E-4</v>
      </c>
      <c r="Q80" s="27"/>
    </row>
    <row r="81" spans="1:17" x14ac:dyDescent="0.35">
      <c r="A81" s="199"/>
      <c r="B81" s="24">
        <v>0.9</v>
      </c>
      <c r="C81" s="24">
        <v>0.99990000000000001</v>
      </c>
      <c r="D81" s="26">
        <v>1.5E-3</v>
      </c>
      <c r="Q81" s="27"/>
    </row>
    <row r="82" spans="1:17" x14ac:dyDescent="0.35">
      <c r="A82" s="199"/>
      <c r="B82" s="24">
        <v>1</v>
      </c>
      <c r="C82" s="24">
        <v>1.4999</v>
      </c>
      <c r="D82" s="26">
        <v>2E-3</v>
      </c>
      <c r="Q82" s="27"/>
    </row>
    <row r="83" spans="1:17" x14ac:dyDescent="0.35">
      <c r="A83" s="181"/>
      <c r="B83" s="24">
        <v>1.5</v>
      </c>
      <c r="C83" s="24">
        <v>10</v>
      </c>
      <c r="D83" s="26">
        <v>2.5000000000000001E-3</v>
      </c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9"/>
    </row>
    <row r="85" spans="1:17" x14ac:dyDescent="0.35">
      <c r="A85" s="161" t="s">
        <v>24</v>
      </c>
      <c r="B85" s="162"/>
      <c r="C85" s="162"/>
      <c r="D85" s="162"/>
      <c r="E85" s="162"/>
      <c r="F85" s="162"/>
      <c r="G85" s="162"/>
      <c r="H85" s="162"/>
      <c r="I85" s="162"/>
      <c r="J85" s="163"/>
    </row>
    <row r="86" spans="1:17" x14ac:dyDescent="0.35">
      <c r="A86" s="28"/>
      <c r="G86" s="209" t="s">
        <v>25</v>
      </c>
      <c r="H86" s="209"/>
      <c r="I86" s="209"/>
      <c r="J86" s="210"/>
    </row>
    <row r="87" spans="1:17" x14ac:dyDescent="0.35">
      <c r="A87" s="167" t="s">
        <v>1</v>
      </c>
      <c r="B87" s="168"/>
      <c r="C87" s="168"/>
      <c r="D87" s="168"/>
      <c r="G87" s="167" t="s">
        <v>2</v>
      </c>
      <c r="H87" s="168"/>
      <c r="I87" s="168"/>
      <c r="J87" s="169"/>
    </row>
    <row r="88" spans="1:17" x14ac:dyDescent="0.35">
      <c r="A88" s="93" t="s">
        <v>6</v>
      </c>
      <c r="B88" s="24">
        <v>0.9</v>
      </c>
      <c r="C88" s="23">
        <v>10</v>
      </c>
      <c r="D88" s="26">
        <v>1E-3</v>
      </c>
      <c r="G88" s="93" t="s">
        <v>26</v>
      </c>
      <c r="H88" s="24">
        <v>1</v>
      </c>
      <c r="I88" s="23">
        <v>10</v>
      </c>
      <c r="J88" s="22">
        <v>100</v>
      </c>
    </row>
    <row r="89" spans="1:17" x14ac:dyDescent="0.35">
      <c r="A89" s="176" t="s">
        <v>11</v>
      </c>
      <c r="B89" s="24">
        <v>1</v>
      </c>
      <c r="C89" s="23">
        <v>1.49</v>
      </c>
      <c r="D89" s="26">
        <v>3.0000000000000001E-3</v>
      </c>
      <c r="J89" s="27"/>
    </row>
    <row r="90" spans="1:17" x14ac:dyDescent="0.35">
      <c r="A90" s="176"/>
      <c r="B90" s="24">
        <v>1.5</v>
      </c>
      <c r="C90" s="24">
        <v>1000</v>
      </c>
      <c r="D90" s="26">
        <v>7.0000000000000001E-3</v>
      </c>
      <c r="G90" s="167" t="s">
        <v>13</v>
      </c>
      <c r="H90" s="168"/>
      <c r="I90" s="168"/>
      <c r="J90" s="169"/>
    </row>
    <row r="91" spans="1:17" x14ac:dyDescent="0.35">
      <c r="A91" s="93" t="s">
        <v>21</v>
      </c>
      <c r="B91" s="24">
        <v>1</v>
      </c>
      <c r="C91" s="24">
        <v>1000</v>
      </c>
      <c r="D91" s="26">
        <v>2E-3</v>
      </c>
      <c r="G91" s="93" t="s">
        <v>26</v>
      </c>
      <c r="H91" s="24">
        <v>1</v>
      </c>
      <c r="I91" s="23">
        <v>10</v>
      </c>
      <c r="J91" s="22">
        <v>100</v>
      </c>
    </row>
    <row r="92" spans="1:17" x14ac:dyDescent="0.35">
      <c r="A92" s="28"/>
      <c r="J92" s="27"/>
    </row>
    <row r="93" spans="1:17" x14ac:dyDescent="0.35">
      <c r="A93" s="167" t="s">
        <v>16</v>
      </c>
      <c r="B93" s="168"/>
      <c r="C93" s="168"/>
      <c r="D93" s="168"/>
      <c r="G93" s="167" t="s">
        <v>3</v>
      </c>
      <c r="H93" s="168"/>
      <c r="I93" s="168"/>
      <c r="J93" s="169"/>
    </row>
    <row r="94" spans="1:17" x14ac:dyDescent="0.35">
      <c r="A94" s="180" t="s">
        <v>6</v>
      </c>
      <c r="B94" s="24">
        <v>0</v>
      </c>
      <c r="C94" s="23">
        <v>0.89</v>
      </c>
      <c r="D94" s="26">
        <v>1E-4</v>
      </c>
      <c r="G94" s="93" t="s">
        <v>26</v>
      </c>
      <c r="H94" s="24">
        <v>1</v>
      </c>
      <c r="I94" s="23">
        <v>10</v>
      </c>
      <c r="J94" s="22">
        <v>50</v>
      </c>
    </row>
    <row r="95" spans="1:17" x14ac:dyDescent="0.35">
      <c r="A95" s="181"/>
      <c r="B95" s="24">
        <v>0.9</v>
      </c>
      <c r="C95" s="23">
        <v>100000</v>
      </c>
      <c r="D95" s="26">
        <v>2.5000000000000001E-4</v>
      </c>
      <c r="J95" s="27"/>
    </row>
    <row r="96" spans="1:17" x14ac:dyDescent="0.35">
      <c r="A96" s="93" t="s">
        <v>11</v>
      </c>
      <c r="B96" s="24">
        <v>1</v>
      </c>
      <c r="C96" s="24">
        <v>1000</v>
      </c>
      <c r="D96" s="26">
        <v>7.5000000000000002E-4</v>
      </c>
      <c r="G96" s="167" t="s">
        <v>14</v>
      </c>
      <c r="H96" s="168"/>
      <c r="I96" s="168"/>
      <c r="J96" s="169"/>
    </row>
    <row r="97" spans="1:10" x14ac:dyDescent="0.35">
      <c r="A97" s="93" t="s">
        <v>21</v>
      </c>
      <c r="B97" s="24">
        <v>1</v>
      </c>
      <c r="C97" s="24">
        <v>1000</v>
      </c>
      <c r="D97" s="26">
        <v>2.5000000000000001E-4</v>
      </c>
      <c r="E97" s="25"/>
      <c r="F97" s="25"/>
      <c r="G97" s="93" t="s">
        <v>26</v>
      </c>
      <c r="H97" s="24">
        <v>1</v>
      </c>
      <c r="I97" s="23">
        <v>10</v>
      </c>
      <c r="J97" s="22">
        <v>20</v>
      </c>
    </row>
    <row r="112" spans="1:10" x14ac:dyDescent="0.35">
      <c r="A112" s="20" t="s">
        <v>27</v>
      </c>
      <c r="B112" t="s">
        <v>28</v>
      </c>
    </row>
    <row r="113" spans="1:2" x14ac:dyDescent="0.35">
      <c r="A113" s="21" t="s">
        <v>29</v>
      </c>
      <c r="B113" t="s">
        <v>28</v>
      </c>
    </row>
    <row r="114" spans="1:2" x14ac:dyDescent="0.35">
      <c r="A114" s="20" t="s">
        <v>30</v>
      </c>
      <c r="B114" t="s">
        <v>28</v>
      </c>
    </row>
    <row r="115" spans="1:2" x14ac:dyDescent="0.35">
      <c r="A115" s="20" t="s">
        <v>31</v>
      </c>
      <c r="B115" t="s">
        <v>28</v>
      </c>
    </row>
    <row r="116" spans="1:2" x14ac:dyDescent="0.35">
      <c r="A116" s="20" t="s">
        <v>32</v>
      </c>
      <c r="B116" t="s">
        <v>28</v>
      </c>
    </row>
    <row r="117" spans="1:2" x14ac:dyDescent="0.35">
      <c r="A117" s="20" t="s">
        <v>33</v>
      </c>
      <c r="B117" t="s">
        <v>28</v>
      </c>
    </row>
    <row r="118" spans="1:2" x14ac:dyDescent="0.35">
      <c r="A118" s="20" t="s">
        <v>34</v>
      </c>
      <c r="B118" t="s">
        <v>28</v>
      </c>
    </row>
    <row r="119" spans="1:2" x14ac:dyDescent="0.35">
      <c r="A119" s="20" t="s">
        <v>35</v>
      </c>
      <c r="B119" t="s">
        <v>28</v>
      </c>
    </row>
    <row r="120" spans="1:2" x14ac:dyDescent="0.35">
      <c r="A120" s="21" t="s">
        <v>36</v>
      </c>
      <c r="B120" t="s">
        <v>37</v>
      </c>
    </row>
    <row r="121" spans="1:2" x14ac:dyDescent="0.35">
      <c r="A121" s="21" t="s">
        <v>38</v>
      </c>
      <c r="B121" t="s">
        <v>37</v>
      </c>
    </row>
    <row r="122" spans="1:2" x14ac:dyDescent="0.35">
      <c r="A122" s="20" t="s">
        <v>39</v>
      </c>
      <c r="B122" t="s">
        <v>37</v>
      </c>
    </row>
    <row r="123" spans="1:2" x14ac:dyDescent="0.35">
      <c r="A123" s="20" t="s">
        <v>40</v>
      </c>
      <c r="B123" t="s">
        <v>37</v>
      </c>
    </row>
    <row r="124" spans="1:2" x14ac:dyDescent="0.35">
      <c r="A124" s="20" t="s">
        <v>41</v>
      </c>
      <c r="B124" t="s">
        <v>37</v>
      </c>
    </row>
    <row r="125" spans="1:2" x14ac:dyDescent="0.35">
      <c r="A125" s="21" t="s">
        <v>42</v>
      </c>
      <c r="B125" t="s">
        <v>37</v>
      </c>
    </row>
    <row r="126" spans="1:2" x14ac:dyDescent="0.35">
      <c r="A126" s="21" t="s">
        <v>43</v>
      </c>
      <c r="B126" t="s">
        <v>37</v>
      </c>
    </row>
    <row r="127" spans="1:2" x14ac:dyDescent="0.35">
      <c r="A127" s="21" t="s">
        <v>44</v>
      </c>
      <c r="B127" t="s">
        <v>45</v>
      </c>
    </row>
    <row r="128" spans="1:2" x14ac:dyDescent="0.35">
      <c r="A128" s="20" t="s">
        <v>46</v>
      </c>
      <c r="B128" t="s">
        <v>45</v>
      </c>
    </row>
    <row r="129" spans="1:2" x14ac:dyDescent="0.35">
      <c r="A129" s="20" t="s">
        <v>47</v>
      </c>
      <c r="B129" t="s">
        <v>45</v>
      </c>
    </row>
    <row r="130" spans="1:2" x14ac:dyDescent="0.35">
      <c r="A130" s="20" t="s">
        <v>48</v>
      </c>
      <c r="B130" t="s">
        <v>45</v>
      </c>
    </row>
    <row r="131" spans="1:2" x14ac:dyDescent="0.35">
      <c r="A131" s="20" t="s">
        <v>49</v>
      </c>
      <c r="B131" t="s">
        <v>45</v>
      </c>
    </row>
    <row r="132" spans="1:2" x14ac:dyDescent="0.35">
      <c r="A132" s="21" t="s">
        <v>50</v>
      </c>
      <c r="B132" t="s">
        <v>45</v>
      </c>
    </row>
    <row r="133" spans="1:2" x14ac:dyDescent="0.35">
      <c r="A133" s="20" t="s">
        <v>51</v>
      </c>
      <c r="B133" t="s">
        <v>52</v>
      </c>
    </row>
  </sheetData>
  <mergeCells count="87">
    <mergeCell ref="G93:J93"/>
    <mergeCell ref="A94:A95"/>
    <mergeCell ref="G96:J96"/>
    <mergeCell ref="A78:D78"/>
    <mergeCell ref="A80:A83"/>
    <mergeCell ref="A85:J85"/>
    <mergeCell ref="G86:J86"/>
    <mergeCell ref="A87:D87"/>
    <mergeCell ref="G87:J87"/>
    <mergeCell ref="A89:A90"/>
    <mergeCell ref="G90:J90"/>
    <mergeCell ref="A93:D93"/>
    <mergeCell ref="G68:H72"/>
    <mergeCell ref="M68:N72"/>
    <mergeCell ref="O68:P72"/>
    <mergeCell ref="Q68:Q72"/>
    <mergeCell ref="A69:E69"/>
    <mergeCell ref="A72:A76"/>
    <mergeCell ref="A51:D51"/>
    <mergeCell ref="A53:A54"/>
    <mergeCell ref="A60:E60"/>
    <mergeCell ref="G60:K60"/>
    <mergeCell ref="M60:Q60"/>
    <mergeCell ref="A59:Q59"/>
    <mergeCell ref="G61:H65"/>
    <mergeCell ref="M61:N65"/>
    <mergeCell ref="A63:A67"/>
    <mergeCell ref="G67:K67"/>
    <mergeCell ref="M67:Q67"/>
    <mergeCell ref="A47:A48"/>
    <mergeCell ref="M35:M37"/>
    <mergeCell ref="N35:N36"/>
    <mergeCell ref="A37:A38"/>
    <mergeCell ref="G39:K39"/>
    <mergeCell ref="M39:Q39"/>
    <mergeCell ref="G40:H42"/>
    <mergeCell ref="M40:N42"/>
    <mergeCell ref="O40:P42"/>
    <mergeCell ref="Q40:Q42"/>
    <mergeCell ref="A41:E41"/>
    <mergeCell ref="G43:G45"/>
    <mergeCell ref="H43:H44"/>
    <mergeCell ref="M43:M45"/>
    <mergeCell ref="N43:N44"/>
    <mergeCell ref="O43:O44"/>
    <mergeCell ref="Q15:Q16"/>
    <mergeCell ref="A16:A18"/>
    <mergeCell ref="P43:P44"/>
    <mergeCell ref="Q43:Q44"/>
    <mergeCell ref="A44:A46"/>
    <mergeCell ref="A23:D23"/>
    <mergeCell ref="A25:A26"/>
    <mergeCell ref="A31:E31"/>
    <mergeCell ref="G31:K31"/>
    <mergeCell ref="M31:Q31"/>
    <mergeCell ref="A30:Q30"/>
    <mergeCell ref="G32:H34"/>
    <mergeCell ref="M32:N34"/>
    <mergeCell ref="A34:A36"/>
    <mergeCell ref="G35:G37"/>
    <mergeCell ref="H35:H36"/>
    <mergeCell ref="A19:A20"/>
    <mergeCell ref="N7:N8"/>
    <mergeCell ref="A9:A10"/>
    <mergeCell ref="G11:K11"/>
    <mergeCell ref="M11:Q11"/>
    <mergeCell ref="G12:H14"/>
    <mergeCell ref="M12:N14"/>
    <mergeCell ref="O12:P14"/>
    <mergeCell ref="Q12:Q14"/>
    <mergeCell ref="A13:E13"/>
    <mergeCell ref="G15:G17"/>
    <mergeCell ref="H15:H16"/>
    <mergeCell ref="M15:M17"/>
    <mergeCell ref="N15:N16"/>
    <mergeCell ref="O15:O16"/>
    <mergeCell ref="P15:P16"/>
    <mergeCell ref="A2:Q2"/>
    <mergeCell ref="A3:E3"/>
    <mergeCell ref="G3:K3"/>
    <mergeCell ref="M3:Q3"/>
    <mergeCell ref="G4:H6"/>
    <mergeCell ref="M4:N6"/>
    <mergeCell ref="A6:A8"/>
    <mergeCell ref="G7:G9"/>
    <mergeCell ref="H7:H8"/>
    <mergeCell ref="M7:M9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62768-FBC9-4B9C-8A85-2546A5626E7D}">
  <sheetPr codeName="Planilha1"/>
  <dimension ref="A1:Z106"/>
  <sheetViews>
    <sheetView topLeftCell="A91" workbookViewId="0">
      <selection activeCell="B64" sqref="B64"/>
    </sheetView>
  </sheetViews>
  <sheetFormatPr defaultRowHeight="14.5" x14ac:dyDescent="0.35"/>
  <cols>
    <col min="1" max="1" width="36.81640625" bestFit="1" customWidth="1"/>
    <col min="2" max="2" width="24.26953125" bestFit="1" customWidth="1"/>
    <col min="3" max="3" width="13.1796875" style="73" bestFit="1" customWidth="1"/>
    <col min="4" max="4" width="15.7265625" style="73" bestFit="1" customWidth="1"/>
    <col min="5" max="5" width="14.26953125" style="73" bestFit="1" customWidth="1"/>
    <col min="6" max="6" width="11.1796875" style="73" bestFit="1" customWidth="1"/>
    <col min="7" max="7" width="13.54296875" style="73" bestFit="1" customWidth="1"/>
    <col min="8" max="8" width="12.26953125" style="73" bestFit="1" customWidth="1"/>
    <col min="9" max="9" width="19.26953125" style="73" bestFit="1" customWidth="1"/>
    <col min="10" max="10" width="21.7265625" style="73" bestFit="1" customWidth="1"/>
    <col min="11" max="11" width="20.54296875" style="73" bestFit="1" customWidth="1"/>
    <col min="12" max="13" width="20.453125" style="73" bestFit="1" customWidth="1"/>
    <col min="14" max="14" width="19.81640625" style="73" bestFit="1" customWidth="1"/>
    <col min="15" max="15" width="19.7265625" style="73" bestFit="1" customWidth="1"/>
    <col min="16" max="17" width="19.54296875" style="73" bestFit="1" customWidth="1"/>
    <col min="18" max="18" width="20.1796875" style="73" bestFit="1" customWidth="1"/>
    <col min="19" max="19" width="18.7265625" style="73" bestFit="1" customWidth="1"/>
    <col min="20" max="20" width="15.7265625" style="73" bestFit="1" customWidth="1"/>
    <col min="21" max="21" width="18.1796875" style="73" bestFit="1" customWidth="1"/>
    <col min="22" max="22" width="16.81640625" style="73" bestFit="1" customWidth="1"/>
    <col min="23" max="23" width="10.7265625" style="73" bestFit="1" customWidth="1"/>
    <col min="24" max="24" width="13.1796875" style="73" bestFit="1" customWidth="1"/>
    <col min="25" max="25" width="11.81640625" style="73" bestFit="1" customWidth="1"/>
    <col min="26" max="26" width="16.7265625" bestFit="1" customWidth="1"/>
  </cols>
  <sheetData>
    <row r="1" spans="1:26" x14ac:dyDescent="0.35">
      <c r="A1" t="s">
        <v>53</v>
      </c>
      <c r="B1" t="s">
        <v>54</v>
      </c>
      <c r="C1" s="73" t="s">
        <v>55</v>
      </c>
      <c r="D1" s="73" t="s">
        <v>56</v>
      </c>
      <c r="E1" s="73" t="s">
        <v>57</v>
      </c>
      <c r="F1" s="73" t="s">
        <v>58</v>
      </c>
      <c r="G1" s="73" t="s">
        <v>59</v>
      </c>
      <c r="H1" s="73" t="s">
        <v>60</v>
      </c>
      <c r="I1" s="73" t="s">
        <v>61</v>
      </c>
      <c r="J1" s="73" t="s">
        <v>62</v>
      </c>
      <c r="K1" s="73" t="s">
        <v>63</v>
      </c>
      <c r="L1" s="73" t="s">
        <v>64</v>
      </c>
      <c r="M1" s="73" t="s">
        <v>65</v>
      </c>
      <c r="N1" s="73" t="s">
        <v>66</v>
      </c>
      <c r="O1" s="73" t="s">
        <v>67</v>
      </c>
      <c r="P1" s="73" t="s">
        <v>68</v>
      </c>
      <c r="Q1" s="73" t="s">
        <v>69</v>
      </c>
      <c r="R1" s="73" t="s">
        <v>70</v>
      </c>
      <c r="S1" s="73" t="s">
        <v>71</v>
      </c>
      <c r="T1" s="73" t="s">
        <v>72</v>
      </c>
      <c r="U1" s="73" t="s">
        <v>73</v>
      </c>
      <c r="V1" s="73" t="s">
        <v>74</v>
      </c>
      <c r="W1" s="73" t="s">
        <v>75</v>
      </c>
      <c r="X1" s="73" t="s">
        <v>76</v>
      </c>
      <c r="Y1" s="73" t="s">
        <v>77</v>
      </c>
      <c r="Z1" t="s">
        <v>78</v>
      </c>
    </row>
    <row r="2" spans="1:26" x14ac:dyDescent="0.35">
      <c r="A2" t="s">
        <v>79</v>
      </c>
      <c r="B2" t="s">
        <v>27</v>
      </c>
      <c r="C2" s="73">
        <v>44</v>
      </c>
      <c r="D2" s="73">
        <v>2200</v>
      </c>
      <c r="E2" s="73">
        <v>2156</v>
      </c>
      <c r="F2" s="73">
        <v>0</v>
      </c>
      <c r="G2" s="73">
        <v>0</v>
      </c>
      <c r="H2" s="73">
        <v>0</v>
      </c>
      <c r="I2" s="73">
        <v>2999</v>
      </c>
      <c r="J2" s="73">
        <v>38666.666700000002</v>
      </c>
      <c r="K2" s="73">
        <v>35667.666700000002</v>
      </c>
      <c r="L2" s="73">
        <v>0</v>
      </c>
      <c r="M2" s="73">
        <v>0</v>
      </c>
      <c r="N2" s="73">
        <v>4650</v>
      </c>
      <c r="O2" s="73">
        <v>4650</v>
      </c>
      <c r="P2" s="73">
        <v>129</v>
      </c>
      <c r="Q2" s="73">
        <v>79</v>
      </c>
      <c r="R2" s="73">
        <v>2283.3332999999998</v>
      </c>
      <c r="S2" s="73">
        <v>2075.3332999999998</v>
      </c>
      <c r="T2" s="73">
        <v>0</v>
      </c>
      <c r="U2" s="73">
        <v>275</v>
      </c>
      <c r="V2" s="73">
        <v>275</v>
      </c>
      <c r="W2" s="73">
        <v>20.9</v>
      </c>
      <c r="X2" s="73">
        <v>283.33330000000001</v>
      </c>
      <c r="Y2" s="73">
        <v>262.43329999999997</v>
      </c>
      <c r="Z2" s="73" t="str">
        <f>_xlfn.XLOOKUP(REALIZADO[[#This Row],[PDV]],PROJEÇÃO[PDV],PROJEÇÃO[COORDENAÇÃO])</f>
        <v>ARIEL</v>
      </c>
    </row>
    <row r="3" spans="1:26" x14ac:dyDescent="0.35">
      <c r="A3" t="s">
        <v>80</v>
      </c>
      <c r="B3" t="s">
        <v>27</v>
      </c>
      <c r="C3" s="73">
        <v>118</v>
      </c>
      <c r="D3" s="73">
        <v>2200</v>
      </c>
      <c r="E3" s="73">
        <v>2082</v>
      </c>
      <c r="F3" s="73">
        <v>0</v>
      </c>
      <c r="G3" s="73">
        <v>0</v>
      </c>
      <c r="H3" s="73">
        <v>0</v>
      </c>
      <c r="I3" s="73">
        <v>3098</v>
      </c>
      <c r="J3" s="73">
        <v>38666.666700000002</v>
      </c>
      <c r="K3" s="73">
        <v>35568.666700000002</v>
      </c>
      <c r="L3" s="73">
        <v>0</v>
      </c>
      <c r="M3" s="73">
        <v>0</v>
      </c>
      <c r="N3" s="73">
        <v>4650</v>
      </c>
      <c r="O3" s="73">
        <v>4650</v>
      </c>
      <c r="P3" s="73">
        <v>158</v>
      </c>
      <c r="Q3" s="73">
        <v>99</v>
      </c>
      <c r="R3" s="73">
        <v>2283.3332999999998</v>
      </c>
      <c r="S3" s="73">
        <v>2026.3333</v>
      </c>
      <c r="T3" s="73">
        <v>0</v>
      </c>
      <c r="U3" s="73">
        <v>275</v>
      </c>
      <c r="V3" s="73">
        <v>275</v>
      </c>
      <c r="W3" s="73">
        <v>20.9</v>
      </c>
      <c r="X3" s="73">
        <v>283.33330000000001</v>
      </c>
      <c r="Y3" s="73">
        <v>262.43329999999997</v>
      </c>
      <c r="Z3" s="73" t="str">
        <f>_xlfn.XLOOKUP(REALIZADO[[#This Row],[PDV]],PROJEÇÃO[PDV],PROJEÇÃO[COORDENAÇÃO])</f>
        <v>ARIEL</v>
      </c>
    </row>
    <row r="4" spans="1:26" x14ac:dyDescent="0.35">
      <c r="A4" t="s">
        <v>81</v>
      </c>
      <c r="B4" t="s">
        <v>27</v>
      </c>
      <c r="C4" s="73">
        <v>315.01</v>
      </c>
      <c r="D4" s="73">
        <v>2200</v>
      </c>
      <c r="E4" s="73">
        <v>1884.99</v>
      </c>
      <c r="F4" s="73">
        <v>0</v>
      </c>
      <c r="G4" s="73">
        <v>0</v>
      </c>
      <c r="H4" s="73">
        <v>0</v>
      </c>
      <c r="I4" s="73">
        <v>2747</v>
      </c>
      <c r="J4" s="73">
        <v>38666.666700000002</v>
      </c>
      <c r="K4" s="73">
        <v>35919.666700000002</v>
      </c>
      <c r="L4" s="73">
        <v>0</v>
      </c>
      <c r="M4" s="73">
        <v>199</v>
      </c>
      <c r="N4" s="73">
        <v>4650</v>
      </c>
      <c r="O4" s="73">
        <v>4451</v>
      </c>
      <c r="P4" s="73">
        <v>356</v>
      </c>
      <c r="Q4" s="73">
        <v>198</v>
      </c>
      <c r="R4" s="73">
        <v>2283.3332999999998</v>
      </c>
      <c r="S4" s="73">
        <v>1729.3333</v>
      </c>
      <c r="T4" s="73">
        <v>33.799999999999997</v>
      </c>
      <c r="U4" s="73">
        <v>275</v>
      </c>
      <c r="V4" s="73">
        <v>241.2</v>
      </c>
      <c r="W4" s="73">
        <v>77.599999999999994</v>
      </c>
      <c r="X4" s="73">
        <v>283.33330000000001</v>
      </c>
      <c r="Y4" s="73">
        <v>205.73330000000001</v>
      </c>
      <c r="Z4" s="73" t="str">
        <f>_xlfn.XLOOKUP(REALIZADO[[#This Row],[PDV]],PROJEÇÃO[PDV],PROJEÇÃO[COORDENAÇÃO])</f>
        <v>ARIEL</v>
      </c>
    </row>
    <row r="5" spans="1:26" x14ac:dyDescent="0.35">
      <c r="A5" t="s">
        <v>82</v>
      </c>
      <c r="B5" t="s">
        <v>29</v>
      </c>
      <c r="C5" s="73">
        <v>480</v>
      </c>
      <c r="D5" s="73">
        <v>4333.3333000000002</v>
      </c>
      <c r="E5" s="73">
        <v>3853.3332999999998</v>
      </c>
      <c r="F5" s="73">
        <v>0</v>
      </c>
      <c r="G5" s="73">
        <v>0</v>
      </c>
      <c r="H5" s="73">
        <v>0</v>
      </c>
      <c r="I5" s="73">
        <v>7297</v>
      </c>
      <c r="J5" s="73">
        <v>30000</v>
      </c>
      <c r="K5" s="73">
        <v>22703</v>
      </c>
      <c r="L5" s="73">
        <v>0</v>
      </c>
      <c r="M5" s="73">
        <v>4137</v>
      </c>
      <c r="N5" s="73">
        <v>3566.6667000000002</v>
      </c>
      <c r="O5" s="73">
        <v>-570.33330000000001</v>
      </c>
      <c r="P5" s="73">
        <v>802</v>
      </c>
      <c r="Q5" s="73">
        <v>455</v>
      </c>
      <c r="R5" s="73">
        <v>2850</v>
      </c>
      <c r="S5" s="73">
        <v>1593</v>
      </c>
      <c r="T5" s="73">
        <v>51.8</v>
      </c>
      <c r="U5" s="73">
        <v>333.33330000000001</v>
      </c>
      <c r="V5" s="73">
        <v>281.5333</v>
      </c>
      <c r="W5" s="73">
        <v>45</v>
      </c>
      <c r="X5" s="73">
        <v>283.33330000000001</v>
      </c>
      <c r="Y5" s="73">
        <v>238.33330000000001</v>
      </c>
      <c r="Z5" s="73" t="str">
        <f>_xlfn.XLOOKUP(REALIZADO[[#This Row],[PDV]],PROJEÇÃO[PDV],PROJEÇÃO[COORDENAÇÃO])</f>
        <v>ARIEL</v>
      </c>
    </row>
    <row r="6" spans="1:26" x14ac:dyDescent="0.35">
      <c r="A6" t="s">
        <v>83</v>
      </c>
      <c r="B6" t="s">
        <v>29</v>
      </c>
      <c r="C6" s="73">
        <v>444.99</v>
      </c>
      <c r="D6" s="73">
        <v>4333.3333000000002</v>
      </c>
      <c r="E6" s="73">
        <v>3888.3433</v>
      </c>
      <c r="F6" s="73">
        <v>0</v>
      </c>
      <c r="G6" s="73">
        <v>0</v>
      </c>
      <c r="H6" s="73">
        <v>0</v>
      </c>
      <c r="I6" s="73">
        <v>5048</v>
      </c>
      <c r="J6" s="73">
        <v>30000</v>
      </c>
      <c r="K6" s="73">
        <v>24952</v>
      </c>
      <c r="L6" s="73">
        <v>0</v>
      </c>
      <c r="M6" s="73">
        <v>1738</v>
      </c>
      <c r="N6" s="73">
        <v>3566.6667000000002</v>
      </c>
      <c r="O6" s="73">
        <v>1828.6667</v>
      </c>
      <c r="P6" s="73">
        <v>178</v>
      </c>
      <c r="Q6" s="73">
        <v>208</v>
      </c>
      <c r="R6" s="73">
        <v>2850</v>
      </c>
      <c r="S6" s="73">
        <v>2464</v>
      </c>
      <c r="T6" s="73">
        <v>33.799999999999997</v>
      </c>
      <c r="U6" s="73">
        <v>333.33330000000001</v>
      </c>
      <c r="V6" s="73">
        <v>299.5333</v>
      </c>
      <c r="W6" s="73">
        <v>25.9</v>
      </c>
      <c r="X6" s="73">
        <v>283.33330000000001</v>
      </c>
      <c r="Y6" s="73">
        <v>257.43329999999997</v>
      </c>
      <c r="Z6" s="73" t="str">
        <f>_xlfn.XLOOKUP(REALIZADO[[#This Row],[PDV]],PROJEÇÃO[PDV],PROJEÇÃO[COORDENAÇÃO])</f>
        <v>ARIEL</v>
      </c>
    </row>
    <row r="7" spans="1:26" x14ac:dyDescent="0.35">
      <c r="A7" t="s">
        <v>84</v>
      </c>
      <c r="B7" t="s">
        <v>29</v>
      </c>
      <c r="C7" s="73">
        <v>445</v>
      </c>
      <c r="D7" s="73">
        <v>4333.3333000000002</v>
      </c>
      <c r="E7" s="73">
        <v>3888.3332999999998</v>
      </c>
      <c r="F7" s="73">
        <v>0</v>
      </c>
      <c r="G7" s="73">
        <v>0</v>
      </c>
      <c r="H7" s="73">
        <v>0</v>
      </c>
      <c r="I7" s="73">
        <v>11098</v>
      </c>
      <c r="J7" s="73">
        <v>30000</v>
      </c>
      <c r="K7" s="73">
        <v>18902</v>
      </c>
      <c r="L7" s="73">
        <v>0</v>
      </c>
      <c r="M7" s="73">
        <v>0</v>
      </c>
      <c r="N7" s="73">
        <v>3566.6667000000002</v>
      </c>
      <c r="O7" s="73">
        <v>3566.6667000000002</v>
      </c>
      <c r="P7" s="73">
        <v>89</v>
      </c>
      <c r="Q7" s="73">
        <v>505</v>
      </c>
      <c r="R7" s="73">
        <v>2850</v>
      </c>
      <c r="S7" s="73">
        <v>2256</v>
      </c>
      <c r="T7" s="73">
        <v>0</v>
      </c>
      <c r="U7" s="73">
        <v>333.33330000000001</v>
      </c>
      <c r="V7" s="73">
        <v>333.33330000000001</v>
      </c>
      <c r="W7" s="73">
        <v>0</v>
      </c>
      <c r="X7" s="73">
        <v>283.33330000000001</v>
      </c>
      <c r="Y7" s="73">
        <v>283.33330000000001</v>
      </c>
      <c r="Z7" s="73" t="str">
        <f>_xlfn.XLOOKUP(REALIZADO[[#This Row],[PDV]],PROJEÇÃO[PDV],PROJEÇÃO[COORDENAÇÃO])</f>
        <v>ARIEL</v>
      </c>
    </row>
    <row r="8" spans="1:26" x14ac:dyDescent="0.35">
      <c r="A8" t="s">
        <v>85</v>
      </c>
      <c r="B8" t="s">
        <v>36</v>
      </c>
      <c r="C8" s="73">
        <v>418.99</v>
      </c>
      <c r="D8" s="73">
        <v>2200</v>
      </c>
      <c r="E8" s="73">
        <v>1781.01</v>
      </c>
      <c r="F8" s="73">
        <v>20.010000000000002</v>
      </c>
      <c r="G8" s="73">
        <v>1275</v>
      </c>
      <c r="H8" s="73">
        <v>1254.99</v>
      </c>
      <c r="I8" s="73">
        <v>0</v>
      </c>
      <c r="J8" s="73">
        <v>33750</v>
      </c>
      <c r="K8" s="73">
        <v>33750</v>
      </c>
      <c r="L8" s="73">
        <v>0</v>
      </c>
      <c r="M8" s="73">
        <v>0</v>
      </c>
      <c r="N8" s="73">
        <v>4450</v>
      </c>
      <c r="O8" s="73">
        <v>4450</v>
      </c>
      <c r="P8" s="73">
        <v>0</v>
      </c>
      <c r="Q8" s="73">
        <v>0</v>
      </c>
      <c r="R8" s="73">
        <v>1700</v>
      </c>
      <c r="S8" s="73">
        <v>1700</v>
      </c>
      <c r="T8" s="73">
        <v>0</v>
      </c>
      <c r="U8" s="73">
        <v>195</v>
      </c>
      <c r="V8" s="73">
        <v>195</v>
      </c>
      <c r="W8" s="73">
        <v>137.69999999999999</v>
      </c>
      <c r="X8" s="73">
        <v>200</v>
      </c>
      <c r="Y8" s="73">
        <v>62.3</v>
      </c>
      <c r="Z8" s="73" t="str">
        <f>_xlfn.XLOOKUP(REALIZADO[[#This Row],[PDV]],PROJEÇÃO[PDV],PROJEÇÃO[COORDENAÇÃO])</f>
        <v>LUIZ</v>
      </c>
    </row>
    <row r="9" spans="1:26" x14ac:dyDescent="0.35">
      <c r="A9" t="s">
        <v>86</v>
      </c>
      <c r="B9" t="s">
        <v>36</v>
      </c>
      <c r="C9" s="73">
        <v>187.99</v>
      </c>
      <c r="D9" s="73">
        <v>2200</v>
      </c>
      <c r="E9" s="73">
        <v>2012.01</v>
      </c>
      <c r="F9" s="73">
        <v>0</v>
      </c>
      <c r="G9" s="73">
        <v>1275</v>
      </c>
      <c r="H9" s="73">
        <v>1275</v>
      </c>
      <c r="I9" s="73">
        <v>0</v>
      </c>
      <c r="J9" s="73">
        <v>33750</v>
      </c>
      <c r="K9" s="73">
        <v>33750</v>
      </c>
      <c r="L9" s="73">
        <v>0</v>
      </c>
      <c r="M9" s="73">
        <v>0</v>
      </c>
      <c r="N9" s="73">
        <v>4450</v>
      </c>
      <c r="O9" s="73">
        <v>4450</v>
      </c>
      <c r="P9" s="73">
        <v>0</v>
      </c>
      <c r="Q9" s="73">
        <v>0</v>
      </c>
      <c r="R9" s="73">
        <v>1700</v>
      </c>
      <c r="S9" s="73">
        <v>1700</v>
      </c>
      <c r="T9" s="73">
        <v>69.900000000000006</v>
      </c>
      <c r="U9" s="73">
        <v>195</v>
      </c>
      <c r="V9" s="73">
        <v>125.1</v>
      </c>
      <c r="W9" s="73">
        <v>0</v>
      </c>
      <c r="X9" s="73">
        <v>200</v>
      </c>
      <c r="Y9" s="73">
        <v>200</v>
      </c>
      <c r="Z9" s="73" t="str">
        <f>_xlfn.XLOOKUP(REALIZADO[[#This Row],[PDV]],PROJEÇÃO[PDV],PROJEÇÃO[COORDENAÇÃO])</f>
        <v>LUIZ</v>
      </c>
    </row>
    <row r="10" spans="1:26" x14ac:dyDescent="0.35">
      <c r="A10" t="s">
        <v>87</v>
      </c>
      <c r="B10" t="s">
        <v>38</v>
      </c>
      <c r="C10" s="73">
        <v>309</v>
      </c>
      <c r="D10" s="73">
        <v>2066.6667000000002</v>
      </c>
      <c r="E10" s="73">
        <v>1757.6667</v>
      </c>
      <c r="F10" s="73">
        <v>0</v>
      </c>
      <c r="G10" s="73">
        <v>1266.6667</v>
      </c>
      <c r="H10" s="73">
        <v>1266.6667</v>
      </c>
      <c r="I10" s="73">
        <v>3528</v>
      </c>
      <c r="J10" s="73">
        <v>23000</v>
      </c>
      <c r="K10" s="73">
        <v>19472</v>
      </c>
      <c r="L10" s="73">
        <v>209</v>
      </c>
      <c r="M10" s="73">
        <v>818</v>
      </c>
      <c r="N10" s="73">
        <v>2966.6667000000002</v>
      </c>
      <c r="O10" s="73">
        <v>1939.6667</v>
      </c>
      <c r="P10" s="73">
        <v>138</v>
      </c>
      <c r="Q10" s="73">
        <v>0</v>
      </c>
      <c r="R10" s="73">
        <v>1666.6667</v>
      </c>
      <c r="S10" s="73">
        <v>1528.6667</v>
      </c>
      <c r="T10" s="73">
        <v>0</v>
      </c>
      <c r="U10" s="73">
        <v>230</v>
      </c>
      <c r="V10" s="73">
        <v>230</v>
      </c>
      <c r="W10" s="73">
        <v>0</v>
      </c>
      <c r="X10" s="73">
        <v>200</v>
      </c>
      <c r="Y10" s="73">
        <v>200</v>
      </c>
      <c r="Z10" s="73" t="str">
        <f>_xlfn.XLOOKUP(REALIZADO[[#This Row],[PDV]],PROJEÇÃO[PDV],PROJEÇÃO[COORDENAÇÃO])</f>
        <v>LUIZ</v>
      </c>
    </row>
    <row r="11" spans="1:26" x14ac:dyDescent="0.35">
      <c r="A11" t="s">
        <v>88</v>
      </c>
      <c r="B11" t="s">
        <v>38</v>
      </c>
      <c r="C11" s="73">
        <v>0</v>
      </c>
      <c r="D11" s="73">
        <v>2066.6667000000002</v>
      </c>
      <c r="E11" s="73">
        <v>2066.6667000000002</v>
      </c>
      <c r="F11" s="73">
        <v>0</v>
      </c>
      <c r="G11" s="73">
        <v>1266.6667</v>
      </c>
      <c r="H11" s="73">
        <v>1266.6667</v>
      </c>
      <c r="I11" s="73">
        <v>0</v>
      </c>
      <c r="J11" s="73">
        <v>23000</v>
      </c>
      <c r="K11" s="73">
        <v>23000</v>
      </c>
      <c r="L11" s="73">
        <v>0</v>
      </c>
      <c r="M11" s="73">
        <v>0</v>
      </c>
      <c r="N11" s="73">
        <v>2966.6667000000002</v>
      </c>
      <c r="O11" s="73">
        <v>2966.6667000000002</v>
      </c>
      <c r="P11" s="73">
        <v>0</v>
      </c>
      <c r="Q11" s="73">
        <v>0</v>
      </c>
      <c r="R11" s="73">
        <v>1666.6667</v>
      </c>
      <c r="S11" s="73">
        <v>1666.6667</v>
      </c>
      <c r="T11" s="73">
        <v>0</v>
      </c>
      <c r="U11" s="73">
        <v>230</v>
      </c>
      <c r="V11" s="73">
        <v>230</v>
      </c>
      <c r="W11" s="73">
        <v>0</v>
      </c>
      <c r="X11" s="73">
        <v>200</v>
      </c>
      <c r="Y11" s="73">
        <v>200</v>
      </c>
      <c r="Z11" s="73" t="str">
        <f>_xlfn.XLOOKUP(REALIZADO[[#This Row],[PDV]],PROJEÇÃO[PDV],PROJEÇÃO[COORDENAÇÃO])</f>
        <v>LUIZ</v>
      </c>
    </row>
    <row r="12" spans="1:26" x14ac:dyDescent="0.35">
      <c r="A12" t="s">
        <v>89</v>
      </c>
      <c r="B12" t="s">
        <v>38</v>
      </c>
      <c r="C12" s="73">
        <v>218</v>
      </c>
      <c r="D12" s="73">
        <v>2066.6667000000002</v>
      </c>
      <c r="E12" s="73">
        <v>1848.6667</v>
      </c>
      <c r="F12" s="73">
        <v>85</v>
      </c>
      <c r="G12" s="73">
        <v>1266.6667</v>
      </c>
      <c r="H12" s="73">
        <v>1181.6667</v>
      </c>
      <c r="I12" s="73">
        <v>1699</v>
      </c>
      <c r="J12" s="73">
        <v>23000</v>
      </c>
      <c r="K12" s="73">
        <v>21301</v>
      </c>
      <c r="L12" s="73">
        <v>0</v>
      </c>
      <c r="M12" s="73">
        <v>0</v>
      </c>
      <c r="N12" s="73">
        <v>2966.6667000000002</v>
      </c>
      <c r="O12" s="73">
        <v>2966.6667000000002</v>
      </c>
      <c r="P12" s="73">
        <v>119</v>
      </c>
      <c r="Q12" s="73">
        <v>79</v>
      </c>
      <c r="R12" s="73">
        <v>1666.6667</v>
      </c>
      <c r="S12" s="73">
        <v>1468.6667</v>
      </c>
      <c r="T12" s="73">
        <v>0</v>
      </c>
      <c r="U12" s="73">
        <v>230</v>
      </c>
      <c r="V12" s="73">
        <v>230</v>
      </c>
      <c r="W12" s="73">
        <v>0</v>
      </c>
      <c r="X12" s="73">
        <v>200</v>
      </c>
      <c r="Y12" s="73">
        <v>200</v>
      </c>
      <c r="Z12" s="73" t="str">
        <f>_xlfn.XLOOKUP(REALIZADO[[#This Row],[PDV]],PROJEÇÃO[PDV],PROJEÇÃO[COORDENAÇÃO])</f>
        <v>LUIZ</v>
      </c>
    </row>
    <row r="13" spans="1:26" x14ac:dyDescent="0.35">
      <c r="A13" t="s">
        <v>90</v>
      </c>
      <c r="B13" t="s">
        <v>39</v>
      </c>
      <c r="C13" s="73">
        <v>353.99</v>
      </c>
      <c r="D13" s="73">
        <v>2530.3029999999999</v>
      </c>
      <c r="E13" s="73">
        <v>2176.3130000000001</v>
      </c>
      <c r="F13" s="73">
        <v>0</v>
      </c>
      <c r="G13" s="73">
        <v>1378.7879</v>
      </c>
      <c r="H13" s="73">
        <v>1378.7879</v>
      </c>
      <c r="I13" s="73">
        <v>0</v>
      </c>
      <c r="J13" s="73">
        <v>30303.030299999999</v>
      </c>
      <c r="K13" s="73">
        <v>30303.030299999999</v>
      </c>
      <c r="L13" s="73">
        <v>0</v>
      </c>
      <c r="M13" s="73">
        <v>0</v>
      </c>
      <c r="N13" s="73">
        <v>3863.6363999999999</v>
      </c>
      <c r="O13" s="73">
        <v>3863.6363999999999</v>
      </c>
      <c r="P13" s="73">
        <v>122.55</v>
      </c>
      <c r="Q13" s="73">
        <v>0</v>
      </c>
      <c r="R13" s="73">
        <v>1500</v>
      </c>
      <c r="S13" s="73">
        <v>1377.45</v>
      </c>
      <c r="T13" s="73">
        <v>0</v>
      </c>
      <c r="U13" s="73">
        <v>227.27269999999999</v>
      </c>
      <c r="V13" s="73">
        <v>227.27269999999999</v>
      </c>
      <c r="W13" s="73">
        <v>9.9</v>
      </c>
      <c r="X13" s="73">
        <v>151.51519999999999</v>
      </c>
      <c r="Y13" s="73">
        <v>141.61519999999999</v>
      </c>
      <c r="Z13" s="73" t="str">
        <f>_xlfn.XLOOKUP(REALIZADO[[#This Row],[PDV]],PROJEÇÃO[PDV],PROJEÇÃO[COORDENAÇÃO])</f>
        <v>LUIZ</v>
      </c>
    </row>
    <row r="14" spans="1:26" x14ac:dyDescent="0.35">
      <c r="A14" t="s">
        <v>91</v>
      </c>
      <c r="B14" t="s">
        <v>39</v>
      </c>
      <c r="C14" s="73">
        <v>94</v>
      </c>
      <c r="D14" s="73">
        <v>2530.3029999999999</v>
      </c>
      <c r="E14" s="73">
        <v>2436.3029999999999</v>
      </c>
      <c r="F14" s="73">
        <v>170</v>
      </c>
      <c r="G14" s="73">
        <v>1378.7879</v>
      </c>
      <c r="H14" s="73">
        <v>1208.7879</v>
      </c>
      <c r="I14" s="73">
        <v>10699</v>
      </c>
      <c r="J14" s="73">
        <v>30303.030299999999</v>
      </c>
      <c r="K14" s="73">
        <v>19604.030299999999</v>
      </c>
      <c r="L14" s="73">
        <v>0</v>
      </c>
      <c r="M14" s="73">
        <v>4107</v>
      </c>
      <c r="N14" s="73">
        <v>3863.6363999999999</v>
      </c>
      <c r="O14" s="73">
        <v>-243.36359999999999</v>
      </c>
      <c r="P14" s="73">
        <v>69</v>
      </c>
      <c r="Q14" s="73">
        <v>129</v>
      </c>
      <c r="R14" s="73">
        <v>1500</v>
      </c>
      <c r="S14" s="73">
        <v>1302</v>
      </c>
      <c r="T14" s="73">
        <v>34.9</v>
      </c>
      <c r="U14" s="73">
        <v>227.27269999999999</v>
      </c>
      <c r="V14" s="73">
        <v>192.37270000000001</v>
      </c>
      <c r="W14" s="73">
        <v>39.799999999999997</v>
      </c>
      <c r="X14" s="73">
        <v>151.51519999999999</v>
      </c>
      <c r="Y14" s="73">
        <v>111.7152</v>
      </c>
      <c r="Z14" s="73" t="str">
        <f>_xlfn.XLOOKUP(REALIZADO[[#This Row],[PDV]],PROJEÇÃO[PDV],PROJEÇÃO[COORDENAÇÃO])</f>
        <v>LUIZ</v>
      </c>
    </row>
    <row r="15" spans="1:26" x14ac:dyDescent="0.35">
      <c r="A15" t="s">
        <v>92</v>
      </c>
      <c r="B15" t="s">
        <v>39</v>
      </c>
      <c r="C15" s="73">
        <v>389</v>
      </c>
      <c r="D15" s="73">
        <v>2530.3029999999999</v>
      </c>
      <c r="E15" s="73">
        <v>2141.3029999999999</v>
      </c>
      <c r="F15" s="73">
        <v>450</v>
      </c>
      <c r="G15" s="73">
        <v>1378.7879</v>
      </c>
      <c r="H15" s="73">
        <v>928.78790000000004</v>
      </c>
      <c r="I15" s="73">
        <v>5999</v>
      </c>
      <c r="J15" s="73">
        <v>30303.030299999999</v>
      </c>
      <c r="K15" s="73">
        <v>24304.030299999999</v>
      </c>
      <c r="L15" s="73">
        <v>0</v>
      </c>
      <c r="M15" s="73">
        <v>3199</v>
      </c>
      <c r="N15" s="73">
        <v>3863.6363999999999</v>
      </c>
      <c r="O15" s="73">
        <v>664.63639999999998</v>
      </c>
      <c r="P15" s="73">
        <v>0</v>
      </c>
      <c r="Q15" s="73">
        <v>0</v>
      </c>
      <c r="R15" s="73">
        <v>1500</v>
      </c>
      <c r="S15" s="73">
        <v>1500</v>
      </c>
      <c r="T15" s="73">
        <v>0</v>
      </c>
      <c r="U15" s="73">
        <v>227.27269999999999</v>
      </c>
      <c r="V15" s="73">
        <v>227.27269999999999</v>
      </c>
      <c r="W15" s="73">
        <v>0</v>
      </c>
      <c r="X15" s="73">
        <v>151.51519999999999</v>
      </c>
      <c r="Y15" s="73">
        <v>151.51519999999999</v>
      </c>
      <c r="Z15" s="73" t="str">
        <f>_xlfn.XLOOKUP(REALIZADO[[#This Row],[PDV]],PROJEÇÃO[PDV],PROJEÇÃO[COORDENAÇÃO])</f>
        <v>LUIZ</v>
      </c>
    </row>
    <row r="16" spans="1:26" x14ac:dyDescent="0.35">
      <c r="A16" t="s">
        <v>93</v>
      </c>
      <c r="B16" t="s">
        <v>39</v>
      </c>
      <c r="C16" s="73">
        <v>45</v>
      </c>
      <c r="D16" s="73">
        <v>2530.3029999999999</v>
      </c>
      <c r="E16" s="73">
        <v>2485.3029999999999</v>
      </c>
      <c r="F16" s="73">
        <v>195</v>
      </c>
      <c r="G16" s="73">
        <v>1378.7879</v>
      </c>
      <c r="H16" s="73">
        <v>1183.7879</v>
      </c>
      <c r="I16" s="73">
        <v>1849</v>
      </c>
      <c r="J16" s="73">
        <v>30303.030299999999</v>
      </c>
      <c r="K16" s="73">
        <v>28454.030299999999</v>
      </c>
      <c r="L16" s="73">
        <v>0</v>
      </c>
      <c r="M16" s="73">
        <v>349</v>
      </c>
      <c r="N16" s="73">
        <v>3863.6363999999999</v>
      </c>
      <c r="O16" s="73">
        <v>3514.6363999999999</v>
      </c>
      <c r="P16" s="73">
        <v>69</v>
      </c>
      <c r="Q16" s="73">
        <v>79</v>
      </c>
      <c r="R16" s="73">
        <v>1500</v>
      </c>
      <c r="S16" s="73">
        <v>1352</v>
      </c>
      <c r="T16" s="73">
        <v>16.899999999999999</v>
      </c>
      <c r="U16" s="73">
        <v>227.27269999999999</v>
      </c>
      <c r="V16" s="73">
        <v>210.37270000000001</v>
      </c>
      <c r="W16" s="73">
        <v>30.8</v>
      </c>
      <c r="X16" s="73">
        <v>151.51519999999999</v>
      </c>
      <c r="Y16" s="73">
        <v>120.7152</v>
      </c>
      <c r="Z16" s="73" t="str">
        <f>_xlfn.XLOOKUP(REALIZADO[[#This Row],[PDV]],PROJEÇÃO[PDV],PROJEÇÃO[COORDENAÇÃO])</f>
        <v>LUIZ</v>
      </c>
    </row>
    <row r="17" spans="1:26" x14ac:dyDescent="0.35">
      <c r="A17" t="s">
        <v>94</v>
      </c>
      <c r="B17" t="s">
        <v>39</v>
      </c>
      <c r="C17" s="73">
        <v>0</v>
      </c>
      <c r="D17" s="73">
        <v>2530.3029999999999</v>
      </c>
      <c r="E17" s="73">
        <v>2530.3029999999999</v>
      </c>
      <c r="F17" s="73">
        <v>0</v>
      </c>
      <c r="G17" s="73">
        <v>1378.7879</v>
      </c>
      <c r="H17" s="73">
        <v>1378.7879</v>
      </c>
      <c r="I17" s="73">
        <v>0</v>
      </c>
      <c r="J17" s="73">
        <v>30303.030299999999</v>
      </c>
      <c r="K17" s="73">
        <v>30303.030299999999</v>
      </c>
      <c r="L17" s="73">
        <v>0</v>
      </c>
      <c r="M17" s="73">
        <v>0</v>
      </c>
      <c r="N17" s="73">
        <v>3863.6363999999999</v>
      </c>
      <c r="O17" s="73">
        <v>3863.6363999999999</v>
      </c>
      <c r="P17" s="73">
        <v>0</v>
      </c>
      <c r="Q17" s="73">
        <v>0</v>
      </c>
      <c r="R17" s="73">
        <v>1500</v>
      </c>
      <c r="S17" s="73">
        <v>1500</v>
      </c>
      <c r="T17" s="73">
        <v>0</v>
      </c>
      <c r="U17" s="73">
        <v>227.27269999999999</v>
      </c>
      <c r="V17" s="73">
        <v>227.27269999999999</v>
      </c>
      <c r="W17" s="73">
        <v>0</v>
      </c>
      <c r="X17" s="73">
        <v>151.51519999999999</v>
      </c>
      <c r="Y17" s="73">
        <v>151.51519999999999</v>
      </c>
      <c r="Z17" s="73" t="str">
        <f>_xlfn.XLOOKUP(REALIZADO[[#This Row],[PDV]],PROJEÇÃO[PDV],PROJEÇÃO[COORDENAÇÃO])</f>
        <v>LUIZ</v>
      </c>
    </row>
    <row r="18" spans="1:26" x14ac:dyDescent="0.35">
      <c r="A18" t="s">
        <v>95</v>
      </c>
      <c r="B18" t="s">
        <v>39</v>
      </c>
      <c r="C18" s="73">
        <v>0</v>
      </c>
      <c r="D18" s="73">
        <v>1518.1818000000001</v>
      </c>
      <c r="E18" s="73">
        <v>1518.1818000000001</v>
      </c>
      <c r="F18" s="73">
        <v>85</v>
      </c>
      <c r="G18" s="73">
        <v>827.27269999999999</v>
      </c>
      <c r="H18" s="73">
        <v>742.27269999999999</v>
      </c>
      <c r="I18" s="73">
        <v>749</v>
      </c>
      <c r="J18" s="73">
        <v>18181.818200000002</v>
      </c>
      <c r="K18" s="73">
        <v>17432.818200000002</v>
      </c>
      <c r="L18" s="73">
        <v>0</v>
      </c>
      <c r="M18" s="73">
        <v>259</v>
      </c>
      <c r="N18" s="73">
        <v>2318.1817999999998</v>
      </c>
      <c r="O18" s="73">
        <v>2059.1817999999998</v>
      </c>
      <c r="P18" s="73">
        <v>69</v>
      </c>
      <c r="Q18" s="73">
        <v>278</v>
      </c>
      <c r="R18" s="73">
        <v>900</v>
      </c>
      <c r="S18" s="73">
        <v>553</v>
      </c>
      <c r="T18" s="73">
        <v>0</v>
      </c>
      <c r="U18" s="73">
        <v>136.36359999999999</v>
      </c>
      <c r="V18" s="73">
        <v>136.36359999999999</v>
      </c>
      <c r="W18" s="73">
        <v>71.8</v>
      </c>
      <c r="X18" s="73">
        <v>90.909099999999995</v>
      </c>
      <c r="Y18" s="73">
        <v>19.109100000000002</v>
      </c>
      <c r="Z18" s="73" t="str">
        <f>_xlfn.XLOOKUP(REALIZADO[[#This Row],[PDV]],PROJEÇÃO[PDV],PROJEÇÃO[COORDENAÇÃO])</f>
        <v>LUIZ</v>
      </c>
    </row>
    <row r="19" spans="1:26" x14ac:dyDescent="0.35">
      <c r="A19" t="s">
        <v>96</v>
      </c>
      <c r="B19" t="s">
        <v>39</v>
      </c>
      <c r="C19" s="73">
        <v>0</v>
      </c>
      <c r="D19" s="73">
        <v>2530.3029999999999</v>
      </c>
      <c r="E19" s="73">
        <v>2530.3029999999999</v>
      </c>
      <c r="F19" s="73">
        <v>0</v>
      </c>
      <c r="G19" s="73">
        <v>1378.7879</v>
      </c>
      <c r="H19" s="73">
        <v>1378.7879</v>
      </c>
      <c r="I19" s="73">
        <v>1349</v>
      </c>
      <c r="J19" s="73">
        <v>30303.030299999999</v>
      </c>
      <c r="K19" s="73">
        <v>28954.030299999999</v>
      </c>
      <c r="L19" s="73">
        <v>0</v>
      </c>
      <c r="M19" s="73">
        <v>99</v>
      </c>
      <c r="N19" s="73">
        <v>3863.6363999999999</v>
      </c>
      <c r="O19" s="73">
        <v>3764.6363999999999</v>
      </c>
      <c r="P19" s="73">
        <v>69</v>
      </c>
      <c r="Q19" s="73">
        <v>65.7</v>
      </c>
      <c r="R19" s="73">
        <v>1500</v>
      </c>
      <c r="S19" s="73">
        <v>1365.3</v>
      </c>
      <c r="T19" s="73">
        <v>33.799999999999997</v>
      </c>
      <c r="U19" s="73">
        <v>227.27269999999999</v>
      </c>
      <c r="V19" s="73">
        <v>193.4727</v>
      </c>
      <c r="W19" s="73">
        <v>112.6</v>
      </c>
      <c r="X19" s="73">
        <v>151.51519999999999</v>
      </c>
      <c r="Y19" s="73">
        <v>38.915199999999999</v>
      </c>
      <c r="Z19" s="73" t="str">
        <f>_xlfn.XLOOKUP(REALIZADO[[#This Row],[PDV]],PROJEÇÃO[PDV],PROJEÇÃO[COORDENAÇÃO])</f>
        <v>LUIZ</v>
      </c>
    </row>
    <row r="20" spans="1:26" x14ac:dyDescent="0.35">
      <c r="A20" t="s">
        <v>97</v>
      </c>
      <c r="B20" t="s">
        <v>30</v>
      </c>
      <c r="C20" s="73">
        <v>194</v>
      </c>
      <c r="D20" s="73">
        <v>2781.25</v>
      </c>
      <c r="E20" s="73">
        <v>2587.25</v>
      </c>
      <c r="F20" s="73">
        <v>0</v>
      </c>
      <c r="G20" s="73">
        <v>0</v>
      </c>
      <c r="H20" s="73">
        <v>0</v>
      </c>
      <c r="I20" s="73">
        <v>10296</v>
      </c>
      <c r="J20" s="73">
        <v>43125</v>
      </c>
      <c r="K20" s="73">
        <v>32829</v>
      </c>
      <c r="L20" s="73">
        <v>0</v>
      </c>
      <c r="M20" s="73">
        <v>1799</v>
      </c>
      <c r="N20" s="73">
        <v>6500</v>
      </c>
      <c r="O20" s="73">
        <v>4701</v>
      </c>
      <c r="P20" s="73">
        <v>178</v>
      </c>
      <c r="Q20" s="73">
        <v>695</v>
      </c>
      <c r="R20" s="73">
        <v>3375</v>
      </c>
      <c r="S20" s="73">
        <v>2502</v>
      </c>
      <c r="T20" s="73">
        <v>33.799999999999997</v>
      </c>
      <c r="U20" s="73">
        <v>343.75</v>
      </c>
      <c r="V20" s="73">
        <v>309.95</v>
      </c>
      <c r="W20" s="73">
        <v>9.99</v>
      </c>
      <c r="X20" s="73">
        <v>281.25</v>
      </c>
      <c r="Y20" s="73">
        <v>271.26</v>
      </c>
      <c r="Z20" s="73" t="str">
        <f>_xlfn.XLOOKUP(REALIZADO[[#This Row],[PDV]],PROJEÇÃO[PDV],PROJEÇÃO[COORDENAÇÃO])</f>
        <v>ARIEL</v>
      </c>
    </row>
    <row r="21" spans="1:26" x14ac:dyDescent="0.35">
      <c r="A21" t="s">
        <v>98</v>
      </c>
      <c r="B21" t="s">
        <v>30</v>
      </c>
      <c r="C21" s="73">
        <v>134</v>
      </c>
      <c r="D21" s="73">
        <v>1668.75</v>
      </c>
      <c r="E21" s="73">
        <v>1534.75</v>
      </c>
      <c r="F21" s="73">
        <v>0</v>
      </c>
      <c r="G21" s="73">
        <v>0</v>
      </c>
      <c r="H21" s="73">
        <v>0</v>
      </c>
      <c r="I21" s="73">
        <v>6328</v>
      </c>
      <c r="J21" s="73">
        <v>25875</v>
      </c>
      <c r="K21" s="73">
        <v>19547</v>
      </c>
      <c r="L21" s="73">
        <v>0</v>
      </c>
      <c r="M21" s="73">
        <v>0</v>
      </c>
      <c r="N21" s="73">
        <v>3900</v>
      </c>
      <c r="O21" s="73">
        <v>3900</v>
      </c>
      <c r="P21" s="73">
        <v>297</v>
      </c>
      <c r="Q21" s="73">
        <v>298</v>
      </c>
      <c r="R21" s="73">
        <v>2025</v>
      </c>
      <c r="S21" s="73">
        <v>1430</v>
      </c>
      <c r="T21" s="73">
        <v>16.899999999999999</v>
      </c>
      <c r="U21" s="73">
        <v>206.25</v>
      </c>
      <c r="V21" s="73">
        <v>189.35</v>
      </c>
      <c r="W21" s="73">
        <v>20.9</v>
      </c>
      <c r="X21" s="73">
        <v>168.75</v>
      </c>
      <c r="Y21" s="73">
        <v>147.85</v>
      </c>
      <c r="Z21" s="73" t="str">
        <f>_xlfn.XLOOKUP(REALIZADO[[#This Row],[PDV]],PROJEÇÃO[PDV],PROJEÇÃO[COORDENAÇÃO])</f>
        <v>ARIEL</v>
      </c>
    </row>
    <row r="22" spans="1:26" x14ac:dyDescent="0.35">
      <c r="A22" t="s">
        <v>99</v>
      </c>
      <c r="B22" t="s">
        <v>43</v>
      </c>
      <c r="C22" s="73">
        <v>203</v>
      </c>
      <c r="D22" s="73">
        <v>2100</v>
      </c>
      <c r="E22" s="73">
        <v>1897</v>
      </c>
      <c r="F22" s="73">
        <v>0</v>
      </c>
      <c r="G22" s="73">
        <v>983.33330000000001</v>
      </c>
      <c r="H22" s="73">
        <v>983.33330000000001</v>
      </c>
      <c r="I22" s="73">
        <v>1299</v>
      </c>
      <c r="J22" s="73">
        <v>30000</v>
      </c>
      <c r="K22" s="73">
        <v>28701</v>
      </c>
      <c r="L22" s="73">
        <v>0</v>
      </c>
      <c r="M22" s="73">
        <v>0</v>
      </c>
      <c r="N22" s="73">
        <v>3333.3332999999998</v>
      </c>
      <c r="O22" s="73">
        <v>3333.3332999999998</v>
      </c>
      <c r="P22" s="73">
        <v>0</v>
      </c>
      <c r="Q22" s="73">
        <v>0</v>
      </c>
      <c r="R22" s="73">
        <v>2200</v>
      </c>
      <c r="S22" s="73">
        <v>2200</v>
      </c>
      <c r="T22" s="73">
        <v>0</v>
      </c>
      <c r="U22" s="73">
        <v>200</v>
      </c>
      <c r="V22" s="73">
        <v>200</v>
      </c>
      <c r="W22" s="73">
        <v>92.77</v>
      </c>
      <c r="X22" s="73">
        <v>230</v>
      </c>
      <c r="Y22" s="73">
        <v>137.22999999999999</v>
      </c>
      <c r="Z22" s="73" t="str">
        <f>_xlfn.XLOOKUP(REALIZADO[[#This Row],[PDV]],PROJEÇÃO[PDV],PROJEÇÃO[COORDENAÇÃO])</f>
        <v>LUIZ</v>
      </c>
    </row>
    <row r="23" spans="1:26" x14ac:dyDescent="0.35">
      <c r="A23" t="s">
        <v>100</v>
      </c>
      <c r="B23" t="s">
        <v>43</v>
      </c>
      <c r="C23" s="73">
        <v>127</v>
      </c>
      <c r="D23" s="73">
        <v>2100</v>
      </c>
      <c r="E23" s="73">
        <v>1973</v>
      </c>
      <c r="F23" s="73">
        <v>110</v>
      </c>
      <c r="G23" s="73">
        <v>983.33330000000001</v>
      </c>
      <c r="H23" s="73">
        <v>873.33330000000001</v>
      </c>
      <c r="I23" s="73">
        <v>11847</v>
      </c>
      <c r="J23" s="73">
        <v>30000</v>
      </c>
      <c r="K23" s="73">
        <v>18153</v>
      </c>
      <c r="L23" s="73">
        <v>0</v>
      </c>
      <c r="M23" s="73">
        <v>229</v>
      </c>
      <c r="N23" s="73">
        <v>3333.3332999999998</v>
      </c>
      <c r="O23" s="73">
        <v>3104.3332999999998</v>
      </c>
      <c r="P23" s="73">
        <v>138</v>
      </c>
      <c r="Q23" s="73">
        <v>497</v>
      </c>
      <c r="R23" s="73">
        <v>2200</v>
      </c>
      <c r="S23" s="73">
        <v>1565</v>
      </c>
      <c r="T23" s="73">
        <v>0</v>
      </c>
      <c r="U23" s="73">
        <v>200</v>
      </c>
      <c r="V23" s="73">
        <v>200</v>
      </c>
      <c r="W23" s="73">
        <v>24.99</v>
      </c>
      <c r="X23" s="73">
        <v>230</v>
      </c>
      <c r="Y23" s="73">
        <v>205.01</v>
      </c>
      <c r="Z23" s="73" t="str">
        <f>_xlfn.XLOOKUP(REALIZADO[[#This Row],[PDV]],PROJEÇÃO[PDV],PROJEÇÃO[COORDENAÇÃO])</f>
        <v>LUIZ</v>
      </c>
    </row>
    <row r="24" spans="1:26" x14ac:dyDescent="0.35">
      <c r="A24" t="s">
        <v>101</v>
      </c>
      <c r="B24" t="s">
        <v>43</v>
      </c>
      <c r="C24" s="73">
        <v>206</v>
      </c>
      <c r="D24" s="73">
        <v>2100</v>
      </c>
      <c r="E24" s="73">
        <v>1894</v>
      </c>
      <c r="F24" s="73">
        <v>280</v>
      </c>
      <c r="G24" s="73">
        <v>983.33330000000001</v>
      </c>
      <c r="H24" s="73">
        <v>703.33330000000001</v>
      </c>
      <c r="I24" s="73">
        <v>4948</v>
      </c>
      <c r="J24" s="73">
        <v>30000</v>
      </c>
      <c r="K24" s="73">
        <v>25052</v>
      </c>
      <c r="L24" s="73">
        <v>0</v>
      </c>
      <c r="M24" s="73">
        <v>189</v>
      </c>
      <c r="N24" s="73">
        <v>3333.3332999999998</v>
      </c>
      <c r="O24" s="73">
        <v>3144.3332999999998</v>
      </c>
      <c r="P24" s="73">
        <v>119</v>
      </c>
      <c r="Q24" s="73">
        <v>418</v>
      </c>
      <c r="R24" s="73">
        <v>2200</v>
      </c>
      <c r="S24" s="73">
        <v>1663</v>
      </c>
      <c r="T24" s="73">
        <v>33.799999999999997</v>
      </c>
      <c r="U24" s="73">
        <v>200</v>
      </c>
      <c r="V24" s="73">
        <v>166.2</v>
      </c>
      <c r="W24" s="73">
        <v>141.69999999999999</v>
      </c>
      <c r="X24" s="73">
        <v>230</v>
      </c>
      <c r="Y24" s="73">
        <v>88.3</v>
      </c>
      <c r="Z24" s="73" t="str">
        <f>_xlfn.XLOOKUP(REALIZADO[[#This Row],[PDV]],PROJEÇÃO[PDV],PROJEÇÃO[COORDENAÇÃO])</f>
        <v>LUIZ</v>
      </c>
    </row>
    <row r="25" spans="1:26" x14ac:dyDescent="0.35">
      <c r="A25" t="s">
        <v>102</v>
      </c>
      <c r="B25" t="s">
        <v>44</v>
      </c>
      <c r="C25" s="73">
        <v>228</v>
      </c>
      <c r="D25" s="73">
        <v>3375</v>
      </c>
      <c r="E25" s="73">
        <v>3147</v>
      </c>
      <c r="F25" s="73">
        <v>305</v>
      </c>
      <c r="G25" s="73">
        <v>1218.75</v>
      </c>
      <c r="H25" s="73">
        <v>913.75</v>
      </c>
      <c r="I25" s="73">
        <v>759.05</v>
      </c>
      <c r="J25" s="73">
        <v>34375</v>
      </c>
      <c r="K25" s="73">
        <v>33615.949999999997</v>
      </c>
      <c r="L25" s="73">
        <v>0</v>
      </c>
      <c r="M25" s="73">
        <v>0</v>
      </c>
      <c r="N25" s="73">
        <v>4687.5</v>
      </c>
      <c r="O25" s="73">
        <v>4687.5</v>
      </c>
      <c r="P25" s="73">
        <v>234.65</v>
      </c>
      <c r="Q25" s="73">
        <v>75.05</v>
      </c>
      <c r="R25" s="73">
        <v>2656.25</v>
      </c>
      <c r="S25" s="73">
        <v>2346.5500000000002</v>
      </c>
      <c r="T25" s="73">
        <v>86.8</v>
      </c>
      <c r="U25" s="73">
        <v>278.125</v>
      </c>
      <c r="V25" s="73">
        <v>191.32499999999999</v>
      </c>
      <c r="W25" s="73">
        <v>20.9</v>
      </c>
      <c r="X25" s="73">
        <v>281.25</v>
      </c>
      <c r="Y25" s="73">
        <v>260.35000000000002</v>
      </c>
      <c r="Z25" s="73" t="str">
        <f>_xlfn.XLOOKUP(REALIZADO[[#This Row],[PDV]],PROJEÇÃO[PDV],PROJEÇÃO[COORDENAÇÃO])</f>
        <v>THAYANDRA</v>
      </c>
    </row>
    <row r="26" spans="1:26" x14ac:dyDescent="0.35">
      <c r="A26" t="s">
        <v>103</v>
      </c>
      <c r="B26" t="s">
        <v>44</v>
      </c>
      <c r="C26" s="73">
        <v>124</v>
      </c>
      <c r="D26" s="73">
        <v>2025</v>
      </c>
      <c r="E26" s="73">
        <v>1901</v>
      </c>
      <c r="F26" s="73">
        <v>95</v>
      </c>
      <c r="G26" s="73">
        <v>731.25</v>
      </c>
      <c r="H26" s="73">
        <v>636.25</v>
      </c>
      <c r="I26" s="73">
        <v>0</v>
      </c>
      <c r="J26" s="73">
        <v>20625</v>
      </c>
      <c r="K26" s="73">
        <v>20625</v>
      </c>
      <c r="L26" s="73">
        <v>0</v>
      </c>
      <c r="M26" s="73">
        <v>0</v>
      </c>
      <c r="N26" s="73">
        <v>2812.5</v>
      </c>
      <c r="O26" s="73">
        <v>2812.5</v>
      </c>
      <c r="P26" s="73">
        <v>0</v>
      </c>
      <c r="Q26" s="73">
        <v>0</v>
      </c>
      <c r="R26" s="73">
        <v>1593.75</v>
      </c>
      <c r="S26" s="73">
        <v>1593.75</v>
      </c>
      <c r="T26" s="73">
        <v>68.7</v>
      </c>
      <c r="U26" s="73">
        <v>166.875</v>
      </c>
      <c r="V26" s="73">
        <v>98.174999999999997</v>
      </c>
      <c r="W26" s="73">
        <v>40.89</v>
      </c>
      <c r="X26" s="73">
        <v>168.75</v>
      </c>
      <c r="Y26" s="73">
        <v>127.86</v>
      </c>
      <c r="Z26" s="73" t="str">
        <f>_xlfn.XLOOKUP(REALIZADO[[#This Row],[PDV]],PROJEÇÃO[PDV],PROJEÇÃO[COORDENAÇÃO])</f>
        <v>THAYANDRA</v>
      </c>
    </row>
    <row r="27" spans="1:26" x14ac:dyDescent="0.35">
      <c r="A27" t="s">
        <v>104</v>
      </c>
      <c r="B27" t="s">
        <v>44</v>
      </c>
      <c r="C27" s="73">
        <v>317.01</v>
      </c>
      <c r="D27" s="73">
        <v>2025</v>
      </c>
      <c r="E27" s="73">
        <v>1707.99</v>
      </c>
      <c r="F27" s="73">
        <v>20.010000000000002</v>
      </c>
      <c r="G27" s="73">
        <v>731.25</v>
      </c>
      <c r="H27" s="73">
        <v>711.24</v>
      </c>
      <c r="I27" s="73">
        <v>9097</v>
      </c>
      <c r="J27" s="73">
        <v>20625</v>
      </c>
      <c r="K27" s="73">
        <v>11528</v>
      </c>
      <c r="L27" s="73">
        <v>0</v>
      </c>
      <c r="M27" s="73">
        <v>2099</v>
      </c>
      <c r="N27" s="73">
        <v>2812.5</v>
      </c>
      <c r="O27" s="73">
        <v>713.5</v>
      </c>
      <c r="P27" s="73">
        <v>268.3</v>
      </c>
      <c r="Q27" s="73">
        <v>337</v>
      </c>
      <c r="R27" s="73">
        <v>1593.75</v>
      </c>
      <c r="S27" s="73">
        <v>988.45</v>
      </c>
      <c r="T27" s="73">
        <v>0</v>
      </c>
      <c r="U27" s="73">
        <v>166.875</v>
      </c>
      <c r="V27" s="73">
        <v>166.875</v>
      </c>
      <c r="W27" s="73">
        <v>0</v>
      </c>
      <c r="X27" s="73">
        <v>168.75</v>
      </c>
      <c r="Y27" s="73">
        <v>168.75</v>
      </c>
      <c r="Z27" s="73" t="str">
        <f>_xlfn.XLOOKUP(REALIZADO[[#This Row],[PDV]],PROJEÇÃO[PDV],PROJEÇÃO[COORDENAÇÃO])</f>
        <v>THAYANDRA</v>
      </c>
    </row>
    <row r="28" spans="1:26" x14ac:dyDescent="0.35">
      <c r="A28" t="s">
        <v>105</v>
      </c>
      <c r="B28" t="s">
        <v>44</v>
      </c>
      <c r="C28" s="73">
        <v>313</v>
      </c>
      <c r="D28" s="73">
        <v>3375</v>
      </c>
      <c r="E28" s="73">
        <v>3062</v>
      </c>
      <c r="F28" s="73">
        <v>120</v>
      </c>
      <c r="G28" s="73">
        <v>1218.75</v>
      </c>
      <c r="H28" s="73">
        <v>1098.75</v>
      </c>
      <c r="I28" s="73">
        <v>1299</v>
      </c>
      <c r="J28" s="73">
        <v>34375</v>
      </c>
      <c r="K28" s="73">
        <v>33076</v>
      </c>
      <c r="L28" s="73">
        <v>0</v>
      </c>
      <c r="M28" s="73">
        <v>999</v>
      </c>
      <c r="N28" s="73">
        <v>4687.5</v>
      </c>
      <c r="O28" s="73">
        <v>3688.5</v>
      </c>
      <c r="P28" s="73">
        <v>89</v>
      </c>
      <c r="Q28" s="73">
        <v>238.6</v>
      </c>
      <c r="R28" s="73">
        <v>2656.25</v>
      </c>
      <c r="S28" s="73">
        <v>2328.65</v>
      </c>
      <c r="T28" s="73">
        <v>0</v>
      </c>
      <c r="U28" s="73">
        <v>278.125</v>
      </c>
      <c r="V28" s="73">
        <v>278.125</v>
      </c>
      <c r="W28" s="73">
        <v>80.8</v>
      </c>
      <c r="X28" s="73">
        <v>281.25</v>
      </c>
      <c r="Y28" s="73">
        <v>200.45</v>
      </c>
      <c r="Z28" s="73" t="str">
        <f>_xlfn.XLOOKUP(REALIZADO[[#This Row],[PDV]],PROJEÇÃO[PDV],PROJEÇÃO[COORDENAÇÃO])</f>
        <v>THAYANDRA</v>
      </c>
    </row>
    <row r="29" spans="1:26" x14ac:dyDescent="0.35">
      <c r="A29" t="s">
        <v>106</v>
      </c>
      <c r="B29" t="s">
        <v>40</v>
      </c>
      <c r="C29" s="73">
        <v>0</v>
      </c>
      <c r="D29" s="73">
        <v>1607.1429000000001</v>
      </c>
      <c r="E29" s="73">
        <v>1607.1429000000001</v>
      </c>
      <c r="F29" s="73">
        <v>230</v>
      </c>
      <c r="G29" s="73">
        <v>1053.5714</v>
      </c>
      <c r="H29" s="73">
        <v>823.57140000000004</v>
      </c>
      <c r="I29" s="73">
        <v>1549</v>
      </c>
      <c r="J29" s="73">
        <v>30357.142899999999</v>
      </c>
      <c r="K29" s="73">
        <v>28808.142899999999</v>
      </c>
      <c r="L29" s="73">
        <v>0</v>
      </c>
      <c r="M29" s="73">
        <v>199</v>
      </c>
      <c r="N29" s="73">
        <v>2107.1428999999998</v>
      </c>
      <c r="O29" s="73">
        <v>1908.1429000000001</v>
      </c>
      <c r="P29" s="73">
        <v>178</v>
      </c>
      <c r="Q29" s="73">
        <v>467</v>
      </c>
      <c r="R29" s="73">
        <v>2107.1428999999998</v>
      </c>
      <c r="S29" s="73">
        <v>1462.1429000000001</v>
      </c>
      <c r="T29" s="73">
        <v>0</v>
      </c>
      <c r="U29" s="73">
        <v>142.8571</v>
      </c>
      <c r="V29" s="73">
        <v>142.8571</v>
      </c>
      <c r="W29" s="73">
        <v>0</v>
      </c>
      <c r="X29" s="73">
        <v>178.57140000000001</v>
      </c>
      <c r="Y29" s="73">
        <v>178.57140000000001</v>
      </c>
      <c r="Z29" s="73" t="str">
        <f>_xlfn.XLOOKUP(REALIZADO[[#This Row],[PDV]],PROJEÇÃO[PDV],PROJEÇÃO[COORDENAÇÃO])</f>
        <v>THAYANDRA</v>
      </c>
    </row>
    <row r="30" spans="1:26" x14ac:dyDescent="0.35">
      <c r="A30" t="s">
        <v>107</v>
      </c>
      <c r="B30" t="s">
        <v>40</v>
      </c>
      <c r="C30" s="73">
        <v>88</v>
      </c>
      <c r="D30" s="73">
        <v>1285.7143000000001</v>
      </c>
      <c r="E30" s="73">
        <v>1197.7143000000001</v>
      </c>
      <c r="F30" s="73">
        <v>100</v>
      </c>
      <c r="G30" s="73">
        <v>842.85709999999995</v>
      </c>
      <c r="H30" s="73">
        <v>742.85709999999995</v>
      </c>
      <c r="I30" s="73">
        <v>1999</v>
      </c>
      <c r="J30" s="73">
        <v>24285.7143</v>
      </c>
      <c r="K30" s="73">
        <v>22286.7143</v>
      </c>
      <c r="L30" s="73">
        <v>0</v>
      </c>
      <c r="M30" s="73">
        <v>648</v>
      </c>
      <c r="N30" s="73">
        <v>1685.7143000000001</v>
      </c>
      <c r="O30" s="73">
        <v>1037.7143000000001</v>
      </c>
      <c r="P30" s="73">
        <v>89</v>
      </c>
      <c r="Q30" s="73">
        <v>139</v>
      </c>
      <c r="R30" s="73">
        <v>1685.7143000000001</v>
      </c>
      <c r="S30" s="73">
        <v>1457.7143000000001</v>
      </c>
      <c r="T30" s="73">
        <v>16.899999999999999</v>
      </c>
      <c r="U30" s="73">
        <v>114.28570000000001</v>
      </c>
      <c r="V30" s="73">
        <v>97.3857</v>
      </c>
      <c r="W30" s="73">
        <v>0</v>
      </c>
      <c r="X30" s="73">
        <v>142.8571</v>
      </c>
      <c r="Y30" s="73">
        <v>142.8571</v>
      </c>
      <c r="Z30" s="73" t="str">
        <f>_xlfn.XLOOKUP(REALIZADO[[#This Row],[PDV]],PROJEÇÃO[PDV],PROJEÇÃO[COORDENAÇÃO])</f>
        <v>THAYANDRA</v>
      </c>
    </row>
    <row r="31" spans="1:26" x14ac:dyDescent="0.35">
      <c r="A31" t="s">
        <v>108</v>
      </c>
      <c r="B31" t="s">
        <v>40</v>
      </c>
      <c r="C31" s="73">
        <v>0</v>
      </c>
      <c r="D31" s="73">
        <v>1607.1429000000001</v>
      </c>
      <c r="E31" s="73">
        <v>1607.1429000000001</v>
      </c>
      <c r="F31" s="73">
        <v>0</v>
      </c>
      <c r="G31" s="73">
        <v>1053.5714</v>
      </c>
      <c r="H31" s="73">
        <v>1053.5714</v>
      </c>
      <c r="I31" s="73">
        <v>0</v>
      </c>
      <c r="J31" s="73">
        <v>30357.142899999999</v>
      </c>
      <c r="K31" s="73">
        <v>30357.142899999999</v>
      </c>
      <c r="L31" s="73">
        <v>0</v>
      </c>
      <c r="M31" s="73">
        <v>0</v>
      </c>
      <c r="N31" s="73">
        <v>2107.1428999999998</v>
      </c>
      <c r="O31" s="73">
        <v>2107.1428999999998</v>
      </c>
      <c r="P31" s="73">
        <v>0</v>
      </c>
      <c r="Q31" s="73">
        <v>0</v>
      </c>
      <c r="R31" s="73">
        <v>2107.1428999999998</v>
      </c>
      <c r="S31" s="73">
        <v>2107.1428999999998</v>
      </c>
      <c r="T31" s="73">
        <v>0</v>
      </c>
      <c r="U31" s="73">
        <v>142.8571</v>
      </c>
      <c r="V31" s="73">
        <v>142.8571</v>
      </c>
      <c r="W31" s="73">
        <v>0</v>
      </c>
      <c r="X31" s="73">
        <v>178.57140000000001</v>
      </c>
      <c r="Y31" s="73">
        <v>178.57140000000001</v>
      </c>
      <c r="Z31" s="73" t="str">
        <f>_xlfn.XLOOKUP(REALIZADO[[#This Row],[PDV]],PROJEÇÃO[PDV],PROJEÇÃO[COORDENAÇÃO])</f>
        <v>THAYANDRA</v>
      </c>
    </row>
    <row r="32" spans="1:26" x14ac:dyDescent="0.35">
      <c r="A32" t="s">
        <v>109</v>
      </c>
      <c r="B32" t="s">
        <v>46</v>
      </c>
      <c r="C32" s="73">
        <v>132</v>
      </c>
      <c r="D32" s="73">
        <v>2109.0909000000001</v>
      </c>
      <c r="E32" s="73">
        <v>1977.0908999999999</v>
      </c>
      <c r="F32" s="73">
        <v>200</v>
      </c>
      <c r="G32" s="73">
        <v>909.09090000000003</v>
      </c>
      <c r="H32" s="73">
        <v>709.09090000000003</v>
      </c>
      <c r="I32" s="73">
        <v>1399</v>
      </c>
      <c r="J32" s="73">
        <v>23636.363600000001</v>
      </c>
      <c r="K32" s="73">
        <v>22237.363600000001</v>
      </c>
      <c r="L32" s="73">
        <v>0</v>
      </c>
      <c r="M32" s="73">
        <v>0</v>
      </c>
      <c r="N32" s="73">
        <v>2527.2727</v>
      </c>
      <c r="O32" s="73">
        <v>2527.2727</v>
      </c>
      <c r="P32" s="73">
        <v>69</v>
      </c>
      <c r="Q32" s="73">
        <v>99</v>
      </c>
      <c r="R32" s="73">
        <v>1290.9091000000001</v>
      </c>
      <c r="S32" s="73">
        <v>1122.9091000000001</v>
      </c>
      <c r="T32" s="73">
        <v>0</v>
      </c>
      <c r="U32" s="73">
        <v>123.63639999999999</v>
      </c>
      <c r="V32" s="73">
        <v>123.63639999999999</v>
      </c>
      <c r="W32" s="73">
        <v>0</v>
      </c>
      <c r="X32" s="73">
        <v>145.4545</v>
      </c>
      <c r="Y32" s="73">
        <v>145.4545</v>
      </c>
      <c r="Z32" s="73" t="str">
        <f>_xlfn.XLOOKUP(REALIZADO[[#This Row],[PDV]],PROJEÇÃO[PDV],PROJEÇÃO[COORDENAÇÃO])</f>
        <v>THAYANDRA</v>
      </c>
    </row>
    <row r="33" spans="1:26" x14ac:dyDescent="0.35">
      <c r="A33" t="s">
        <v>110</v>
      </c>
      <c r="B33" t="s">
        <v>46</v>
      </c>
      <c r="C33" s="73">
        <v>255.98</v>
      </c>
      <c r="D33" s="73">
        <v>2636.3636000000001</v>
      </c>
      <c r="E33" s="73">
        <v>2380.3836000000001</v>
      </c>
      <c r="F33" s="73">
        <v>110</v>
      </c>
      <c r="G33" s="73">
        <v>1136.3635999999999</v>
      </c>
      <c r="H33" s="73">
        <v>1026.3635999999999</v>
      </c>
      <c r="I33" s="73">
        <v>0</v>
      </c>
      <c r="J33" s="73">
        <v>29545.4545</v>
      </c>
      <c r="K33" s="73">
        <v>29545.4545</v>
      </c>
      <c r="L33" s="73">
        <v>0</v>
      </c>
      <c r="M33" s="73">
        <v>0</v>
      </c>
      <c r="N33" s="73">
        <v>3159.0909000000001</v>
      </c>
      <c r="O33" s="73">
        <v>3159.0909000000001</v>
      </c>
      <c r="P33" s="73">
        <v>0</v>
      </c>
      <c r="Q33" s="73">
        <v>0</v>
      </c>
      <c r="R33" s="73">
        <v>1613.6364000000001</v>
      </c>
      <c r="S33" s="73">
        <v>1613.6364000000001</v>
      </c>
      <c r="T33" s="73">
        <v>0</v>
      </c>
      <c r="U33" s="73">
        <v>154.5455</v>
      </c>
      <c r="V33" s="73">
        <v>154.5455</v>
      </c>
      <c r="W33" s="73">
        <v>0</v>
      </c>
      <c r="X33" s="73">
        <v>181.81819999999999</v>
      </c>
      <c r="Y33" s="73">
        <v>181.81819999999999</v>
      </c>
      <c r="Z33" s="73" t="str">
        <f>_xlfn.XLOOKUP(REALIZADO[[#This Row],[PDV]],PROJEÇÃO[PDV],PROJEÇÃO[COORDENAÇÃO])</f>
        <v>THAYANDRA</v>
      </c>
    </row>
    <row r="34" spans="1:26" x14ac:dyDescent="0.35">
      <c r="A34" t="s">
        <v>111</v>
      </c>
      <c r="B34" t="s">
        <v>46</v>
      </c>
      <c r="C34" s="73">
        <v>302</v>
      </c>
      <c r="D34" s="73">
        <v>2636.3636000000001</v>
      </c>
      <c r="E34" s="73">
        <v>2334.3636000000001</v>
      </c>
      <c r="F34" s="73">
        <v>215</v>
      </c>
      <c r="G34" s="73">
        <v>1136.3635999999999</v>
      </c>
      <c r="H34" s="73">
        <v>921.36360000000002</v>
      </c>
      <c r="I34" s="73">
        <v>15296</v>
      </c>
      <c r="J34" s="73">
        <v>29545.4545</v>
      </c>
      <c r="K34" s="73">
        <v>14249.4545</v>
      </c>
      <c r="L34" s="73">
        <v>0</v>
      </c>
      <c r="M34" s="73">
        <v>0</v>
      </c>
      <c r="N34" s="73">
        <v>3159.0909000000001</v>
      </c>
      <c r="O34" s="73">
        <v>3159.0909000000001</v>
      </c>
      <c r="P34" s="73">
        <v>207</v>
      </c>
      <c r="Q34" s="73">
        <v>348</v>
      </c>
      <c r="R34" s="73">
        <v>1613.6364000000001</v>
      </c>
      <c r="S34" s="73">
        <v>1058.6364000000001</v>
      </c>
      <c r="T34" s="73">
        <v>0</v>
      </c>
      <c r="U34" s="73">
        <v>154.5455</v>
      </c>
      <c r="V34" s="73">
        <v>154.5455</v>
      </c>
      <c r="W34" s="73">
        <v>39.9</v>
      </c>
      <c r="X34" s="73">
        <v>181.81819999999999</v>
      </c>
      <c r="Y34" s="73">
        <v>141.91820000000001</v>
      </c>
      <c r="Z34" s="73" t="str">
        <f>_xlfn.XLOOKUP(REALIZADO[[#This Row],[PDV]],PROJEÇÃO[PDV],PROJEÇÃO[COORDENAÇÃO])</f>
        <v>THAYANDRA</v>
      </c>
    </row>
    <row r="35" spans="1:26" x14ac:dyDescent="0.35">
      <c r="A35" t="s">
        <v>112</v>
      </c>
      <c r="B35" t="s">
        <v>46</v>
      </c>
      <c r="C35" s="73">
        <v>0</v>
      </c>
      <c r="D35" s="73">
        <v>2109.0909000000001</v>
      </c>
      <c r="E35" s="73">
        <v>2109.0909000000001</v>
      </c>
      <c r="F35" s="73">
        <v>0</v>
      </c>
      <c r="G35" s="73">
        <v>909.09090000000003</v>
      </c>
      <c r="H35" s="73">
        <v>909.09090000000003</v>
      </c>
      <c r="I35" s="73">
        <v>0</v>
      </c>
      <c r="J35" s="73">
        <v>23636.363600000001</v>
      </c>
      <c r="K35" s="73">
        <v>23636.363600000001</v>
      </c>
      <c r="L35" s="73">
        <v>0</v>
      </c>
      <c r="M35" s="73">
        <v>0</v>
      </c>
      <c r="N35" s="73">
        <v>2527.2727</v>
      </c>
      <c r="O35" s="73">
        <v>2527.2727</v>
      </c>
      <c r="P35" s="73">
        <v>0</v>
      </c>
      <c r="Q35" s="73">
        <v>0</v>
      </c>
      <c r="R35" s="73">
        <v>1290.9091000000001</v>
      </c>
      <c r="S35" s="73">
        <v>1290.9091000000001</v>
      </c>
      <c r="T35" s="73">
        <v>0</v>
      </c>
      <c r="U35" s="73">
        <v>123.63639999999999</v>
      </c>
      <c r="V35" s="73">
        <v>123.63639999999999</v>
      </c>
      <c r="W35" s="73">
        <v>0</v>
      </c>
      <c r="X35" s="73">
        <v>145.4545</v>
      </c>
      <c r="Y35" s="73">
        <v>145.4545</v>
      </c>
      <c r="Z35" s="73" t="str">
        <f>_xlfn.XLOOKUP(REALIZADO[[#This Row],[PDV]],PROJEÇÃO[PDV],PROJEÇÃO[COORDENAÇÃO])</f>
        <v>THAYANDRA</v>
      </c>
    </row>
    <row r="36" spans="1:26" x14ac:dyDescent="0.35">
      <c r="A36" t="s">
        <v>113</v>
      </c>
      <c r="B36" t="s">
        <v>46</v>
      </c>
      <c r="C36" s="73">
        <v>925.03</v>
      </c>
      <c r="D36" s="73">
        <v>2109.0909000000001</v>
      </c>
      <c r="E36" s="73">
        <v>1184.0608999999999</v>
      </c>
      <c r="F36" s="73">
        <v>340</v>
      </c>
      <c r="G36" s="73">
        <v>909.09090000000003</v>
      </c>
      <c r="H36" s="73">
        <v>569.09090000000003</v>
      </c>
      <c r="I36" s="73">
        <v>1599</v>
      </c>
      <c r="J36" s="73">
        <v>23636.363600000001</v>
      </c>
      <c r="K36" s="73">
        <v>22037.363600000001</v>
      </c>
      <c r="L36" s="73">
        <v>0</v>
      </c>
      <c r="M36" s="73">
        <v>0</v>
      </c>
      <c r="N36" s="73">
        <v>2527.2727</v>
      </c>
      <c r="O36" s="73">
        <v>2527.2727</v>
      </c>
      <c r="P36" s="73">
        <v>454</v>
      </c>
      <c r="Q36" s="73">
        <v>129</v>
      </c>
      <c r="R36" s="73">
        <v>1290.9091000000001</v>
      </c>
      <c r="S36" s="73">
        <v>707.90909999999997</v>
      </c>
      <c r="T36" s="73">
        <v>0</v>
      </c>
      <c r="U36" s="73">
        <v>123.63639999999999</v>
      </c>
      <c r="V36" s="73">
        <v>123.63639999999999</v>
      </c>
      <c r="W36" s="73">
        <v>39.799999999999997</v>
      </c>
      <c r="X36" s="73">
        <v>145.4545</v>
      </c>
      <c r="Y36" s="73">
        <v>105.6545</v>
      </c>
      <c r="Z36" s="73" t="str">
        <f>_xlfn.XLOOKUP(REALIZADO[[#This Row],[PDV]],PROJEÇÃO[PDV],PROJEÇÃO[COORDENAÇÃO])</f>
        <v>THAYANDRA</v>
      </c>
    </row>
    <row r="37" spans="1:26" x14ac:dyDescent="0.35">
      <c r="A37" t="s">
        <v>114</v>
      </c>
      <c r="B37" t="s">
        <v>47</v>
      </c>
      <c r="C37" s="73">
        <v>0</v>
      </c>
      <c r="D37" s="73">
        <v>1923.0769</v>
      </c>
      <c r="E37" s="73">
        <v>1923.0769</v>
      </c>
      <c r="F37" s="73">
        <v>0</v>
      </c>
      <c r="G37" s="73">
        <v>1134.6153999999999</v>
      </c>
      <c r="H37" s="73">
        <v>1134.6153999999999</v>
      </c>
      <c r="I37" s="73">
        <v>0</v>
      </c>
      <c r="J37" s="73">
        <v>19230.769199999999</v>
      </c>
      <c r="K37" s="73">
        <v>19230.769199999999</v>
      </c>
      <c r="L37" s="73">
        <v>0</v>
      </c>
      <c r="M37" s="73">
        <v>0</v>
      </c>
      <c r="N37" s="73">
        <v>2230.7692000000002</v>
      </c>
      <c r="O37" s="73">
        <v>2230.7692000000002</v>
      </c>
      <c r="P37" s="73">
        <v>0</v>
      </c>
      <c r="Q37" s="73">
        <v>0</v>
      </c>
      <c r="R37" s="73">
        <v>1538.4614999999999</v>
      </c>
      <c r="S37" s="73">
        <v>1538.4614999999999</v>
      </c>
      <c r="T37" s="73">
        <v>0</v>
      </c>
      <c r="U37" s="73">
        <v>134.61539999999999</v>
      </c>
      <c r="V37" s="73">
        <v>134.61539999999999</v>
      </c>
      <c r="W37" s="73">
        <v>0</v>
      </c>
      <c r="X37" s="73">
        <v>153.84620000000001</v>
      </c>
      <c r="Y37" s="73">
        <v>153.84620000000001</v>
      </c>
      <c r="Z37" s="73" t="str">
        <f>_xlfn.XLOOKUP(REALIZADO[[#This Row],[PDV]],PROJEÇÃO[PDV],PROJEÇÃO[COORDENAÇÃO])</f>
        <v>LUIZ</v>
      </c>
    </row>
    <row r="38" spans="1:26" x14ac:dyDescent="0.35">
      <c r="A38" t="s">
        <v>115</v>
      </c>
      <c r="B38" t="s">
        <v>47</v>
      </c>
      <c r="C38" s="73">
        <v>312</v>
      </c>
      <c r="D38" s="73">
        <v>1153.8462</v>
      </c>
      <c r="E38" s="73">
        <v>841.84619999999995</v>
      </c>
      <c r="F38" s="73">
        <v>0</v>
      </c>
      <c r="G38" s="73">
        <v>680.76919999999996</v>
      </c>
      <c r="H38" s="73">
        <v>680.76919999999996</v>
      </c>
      <c r="I38" s="73">
        <v>2699</v>
      </c>
      <c r="J38" s="73">
        <v>11538.461499999999</v>
      </c>
      <c r="K38" s="73">
        <v>8839.4614999999994</v>
      </c>
      <c r="L38" s="73">
        <v>0</v>
      </c>
      <c r="M38" s="73">
        <v>0</v>
      </c>
      <c r="N38" s="73">
        <v>1338.4614999999999</v>
      </c>
      <c r="O38" s="73">
        <v>1338.4614999999999</v>
      </c>
      <c r="P38" s="73">
        <v>149</v>
      </c>
      <c r="Q38" s="73">
        <v>129</v>
      </c>
      <c r="R38" s="73">
        <v>923.07690000000002</v>
      </c>
      <c r="S38" s="73">
        <v>645.07690000000002</v>
      </c>
      <c r="T38" s="73">
        <v>34.9</v>
      </c>
      <c r="U38" s="73">
        <v>80.769199999999998</v>
      </c>
      <c r="V38" s="73">
        <v>45.869199999999999</v>
      </c>
      <c r="W38" s="73">
        <v>59.9</v>
      </c>
      <c r="X38" s="73">
        <v>92.307699999999997</v>
      </c>
      <c r="Y38" s="73">
        <v>32.407699999999998</v>
      </c>
      <c r="Z38" s="73" t="str">
        <f>_xlfn.XLOOKUP(REALIZADO[[#This Row],[PDV]],PROJEÇÃO[PDV],PROJEÇÃO[COORDENAÇÃO])</f>
        <v>LUIZ</v>
      </c>
    </row>
    <row r="39" spans="1:26" x14ac:dyDescent="0.35">
      <c r="A39" t="s">
        <v>116</v>
      </c>
      <c r="B39" t="s">
        <v>47</v>
      </c>
      <c r="C39" s="73">
        <v>174</v>
      </c>
      <c r="D39" s="73">
        <v>1923.0769</v>
      </c>
      <c r="E39" s="73">
        <v>1749.0769</v>
      </c>
      <c r="F39" s="73">
        <v>755</v>
      </c>
      <c r="G39" s="73">
        <v>1134.6153999999999</v>
      </c>
      <c r="H39" s="73">
        <v>379.61540000000002</v>
      </c>
      <c r="I39" s="73">
        <v>1649</v>
      </c>
      <c r="J39" s="73">
        <v>19230.769199999999</v>
      </c>
      <c r="K39" s="73">
        <v>17581.769199999999</v>
      </c>
      <c r="L39" s="73">
        <v>0</v>
      </c>
      <c r="M39" s="73">
        <v>2099</v>
      </c>
      <c r="N39" s="73">
        <v>2230.7692000000002</v>
      </c>
      <c r="O39" s="73">
        <v>131.76920000000001</v>
      </c>
      <c r="P39" s="73">
        <v>134.55000000000001</v>
      </c>
      <c r="Q39" s="73">
        <v>164.55</v>
      </c>
      <c r="R39" s="73">
        <v>1538.4614999999999</v>
      </c>
      <c r="S39" s="73">
        <v>1239.3615</v>
      </c>
      <c r="T39" s="73">
        <v>34.9</v>
      </c>
      <c r="U39" s="73">
        <v>134.61539999999999</v>
      </c>
      <c r="V39" s="73">
        <v>99.715400000000002</v>
      </c>
      <c r="W39" s="73">
        <v>59.9</v>
      </c>
      <c r="X39" s="73">
        <v>153.84620000000001</v>
      </c>
      <c r="Y39" s="73">
        <v>93.946200000000005</v>
      </c>
      <c r="Z39" s="73" t="str">
        <f>_xlfn.XLOOKUP(REALIZADO[[#This Row],[PDV]],PROJEÇÃO[PDV],PROJEÇÃO[COORDENAÇÃO])</f>
        <v>LUIZ</v>
      </c>
    </row>
    <row r="40" spans="1:26" x14ac:dyDescent="0.35">
      <c r="A40" t="s">
        <v>117</v>
      </c>
      <c r="B40" t="s">
        <v>41</v>
      </c>
      <c r="C40" s="73">
        <v>262</v>
      </c>
      <c r="D40" s="73">
        <v>2875</v>
      </c>
      <c r="E40" s="73">
        <v>2613</v>
      </c>
      <c r="F40" s="73">
        <v>280</v>
      </c>
      <c r="G40" s="73">
        <v>1596.1538</v>
      </c>
      <c r="H40" s="73">
        <v>1316.1538</v>
      </c>
      <c r="I40" s="73">
        <v>13648</v>
      </c>
      <c r="J40" s="73">
        <v>50961.538500000002</v>
      </c>
      <c r="K40" s="73">
        <v>37313.538500000002</v>
      </c>
      <c r="L40" s="73">
        <v>0</v>
      </c>
      <c r="M40" s="73">
        <v>3998</v>
      </c>
      <c r="N40" s="73">
        <v>4519.2308000000003</v>
      </c>
      <c r="O40" s="73">
        <v>521.23080000000004</v>
      </c>
      <c r="P40" s="73">
        <v>89</v>
      </c>
      <c r="Q40" s="73">
        <v>239</v>
      </c>
      <c r="R40" s="73">
        <v>2365.3845999999999</v>
      </c>
      <c r="S40" s="73">
        <v>2037.3846000000001</v>
      </c>
      <c r="T40" s="73">
        <v>0</v>
      </c>
      <c r="U40" s="73">
        <v>307.69229999999999</v>
      </c>
      <c r="V40" s="73">
        <v>307.69229999999999</v>
      </c>
      <c r="W40" s="73">
        <v>0</v>
      </c>
      <c r="X40" s="73">
        <v>278.84620000000001</v>
      </c>
      <c r="Y40" s="73">
        <v>278.84620000000001</v>
      </c>
      <c r="Z40" s="73" t="str">
        <f>_xlfn.XLOOKUP(REALIZADO[[#This Row],[PDV]],PROJEÇÃO[PDV],PROJEÇÃO[COORDENAÇÃO])</f>
        <v>LUIZ</v>
      </c>
    </row>
    <row r="41" spans="1:26" x14ac:dyDescent="0.35">
      <c r="A41" t="s">
        <v>118</v>
      </c>
      <c r="B41" t="s">
        <v>41</v>
      </c>
      <c r="C41" s="73">
        <v>49</v>
      </c>
      <c r="D41" s="73">
        <v>1725</v>
      </c>
      <c r="E41" s="73">
        <v>1676</v>
      </c>
      <c r="F41" s="73">
        <v>110</v>
      </c>
      <c r="G41" s="73">
        <v>957.69230000000005</v>
      </c>
      <c r="H41" s="73">
        <v>847.69230000000005</v>
      </c>
      <c r="I41" s="73">
        <v>0</v>
      </c>
      <c r="J41" s="73">
        <v>30576.9231</v>
      </c>
      <c r="K41" s="73">
        <v>30576.9231</v>
      </c>
      <c r="L41" s="73">
        <v>0</v>
      </c>
      <c r="M41" s="73">
        <v>69</v>
      </c>
      <c r="N41" s="73">
        <v>2711.5385000000001</v>
      </c>
      <c r="O41" s="73">
        <v>2642.5385000000001</v>
      </c>
      <c r="P41" s="73">
        <v>0</v>
      </c>
      <c r="Q41" s="73">
        <v>0</v>
      </c>
      <c r="R41" s="73">
        <v>1419.2308</v>
      </c>
      <c r="S41" s="73">
        <v>1419.2308</v>
      </c>
      <c r="T41" s="73">
        <v>0</v>
      </c>
      <c r="U41" s="73">
        <v>184.61539999999999</v>
      </c>
      <c r="V41" s="73">
        <v>184.61539999999999</v>
      </c>
      <c r="W41" s="73">
        <v>0</v>
      </c>
      <c r="X41" s="73">
        <v>167.30770000000001</v>
      </c>
      <c r="Y41" s="73">
        <v>167.30770000000001</v>
      </c>
      <c r="Z41" s="73" t="str">
        <f>_xlfn.XLOOKUP(REALIZADO[[#This Row],[PDV]],PROJEÇÃO[PDV],PROJEÇÃO[COORDENAÇÃO])</f>
        <v>LUIZ</v>
      </c>
    </row>
    <row r="42" spans="1:26" x14ac:dyDescent="0.35">
      <c r="A42" t="s">
        <v>119</v>
      </c>
      <c r="B42" t="s">
        <v>41</v>
      </c>
      <c r="C42" s="73">
        <v>597</v>
      </c>
      <c r="D42" s="73">
        <v>1725</v>
      </c>
      <c r="E42" s="73">
        <v>1128</v>
      </c>
      <c r="F42" s="73">
        <v>450</v>
      </c>
      <c r="G42" s="73">
        <v>957.69230000000005</v>
      </c>
      <c r="H42" s="73">
        <v>507.69229999999999</v>
      </c>
      <c r="I42" s="73">
        <v>0</v>
      </c>
      <c r="J42" s="73">
        <v>30576.9231</v>
      </c>
      <c r="K42" s="73">
        <v>30576.9231</v>
      </c>
      <c r="L42" s="73">
        <v>0</v>
      </c>
      <c r="M42" s="73">
        <v>179</v>
      </c>
      <c r="N42" s="73">
        <v>2711.5385000000001</v>
      </c>
      <c r="O42" s="73">
        <v>2532.5385000000001</v>
      </c>
      <c r="P42" s="73">
        <v>84.55</v>
      </c>
      <c r="Q42" s="73">
        <v>0</v>
      </c>
      <c r="R42" s="73">
        <v>1419.2308</v>
      </c>
      <c r="S42" s="73">
        <v>1334.6808000000001</v>
      </c>
      <c r="T42" s="73">
        <v>34.9</v>
      </c>
      <c r="U42" s="73">
        <v>184.61539999999999</v>
      </c>
      <c r="V42" s="73">
        <v>149.71539999999999</v>
      </c>
      <c r="W42" s="73">
        <v>0</v>
      </c>
      <c r="X42" s="73">
        <v>167.30770000000001</v>
      </c>
      <c r="Y42" s="73">
        <v>167.30770000000001</v>
      </c>
      <c r="Z42" s="73" t="str">
        <f>_xlfn.XLOOKUP(REALIZADO[[#This Row],[PDV]],PROJEÇÃO[PDV],PROJEÇÃO[COORDENAÇÃO])</f>
        <v>LUIZ</v>
      </c>
    </row>
    <row r="43" spans="1:26" x14ac:dyDescent="0.35">
      <c r="A43" t="s">
        <v>120</v>
      </c>
      <c r="B43" t="s">
        <v>41</v>
      </c>
      <c r="C43" s="73">
        <v>375</v>
      </c>
      <c r="D43" s="73">
        <v>2875</v>
      </c>
      <c r="E43" s="73">
        <v>2500</v>
      </c>
      <c r="F43" s="73">
        <v>230</v>
      </c>
      <c r="G43" s="73">
        <v>1596.1538</v>
      </c>
      <c r="H43" s="73">
        <v>1366.1538</v>
      </c>
      <c r="I43" s="73">
        <v>849</v>
      </c>
      <c r="J43" s="73">
        <v>50961.538500000002</v>
      </c>
      <c r="K43" s="73">
        <v>50112.538500000002</v>
      </c>
      <c r="L43" s="73">
        <v>0</v>
      </c>
      <c r="M43" s="73">
        <v>0</v>
      </c>
      <c r="N43" s="73">
        <v>4519.2308000000003</v>
      </c>
      <c r="O43" s="73">
        <v>4519.2308000000003</v>
      </c>
      <c r="P43" s="73">
        <v>158</v>
      </c>
      <c r="Q43" s="73">
        <v>427</v>
      </c>
      <c r="R43" s="73">
        <v>2365.3845999999999</v>
      </c>
      <c r="S43" s="73">
        <v>1780.3846000000001</v>
      </c>
      <c r="T43" s="73">
        <v>34.9</v>
      </c>
      <c r="U43" s="73">
        <v>307.69229999999999</v>
      </c>
      <c r="V43" s="73">
        <v>272.79230000000001</v>
      </c>
      <c r="W43" s="73">
        <v>30.89</v>
      </c>
      <c r="X43" s="73">
        <v>278.84620000000001</v>
      </c>
      <c r="Y43" s="73">
        <v>247.9562</v>
      </c>
      <c r="Z43" s="73" t="str">
        <f>_xlfn.XLOOKUP(REALIZADO[[#This Row],[PDV]],PROJEÇÃO[PDV],PROJEÇÃO[COORDENAÇÃO])</f>
        <v>LUIZ</v>
      </c>
    </row>
    <row r="44" spans="1:26" x14ac:dyDescent="0.35">
      <c r="A44" t="s">
        <v>121</v>
      </c>
      <c r="B44" t="s">
        <v>41</v>
      </c>
      <c r="C44" s="73">
        <v>0</v>
      </c>
      <c r="D44" s="73">
        <v>2875</v>
      </c>
      <c r="E44" s="73">
        <v>2875</v>
      </c>
      <c r="F44" s="73">
        <v>0</v>
      </c>
      <c r="G44" s="73">
        <v>1596.1538</v>
      </c>
      <c r="H44" s="73">
        <v>1596.1538</v>
      </c>
      <c r="I44" s="73">
        <v>0</v>
      </c>
      <c r="J44" s="73">
        <v>50961.538500000002</v>
      </c>
      <c r="K44" s="73">
        <v>50961.538500000002</v>
      </c>
      <c r="L44" s="73">
        <v>0</v>
      </c>
      <c r="M44" s="73">
        <v>0</v>
      </c>
      <c r="N44" s="73">
        <v>4519.2308000000003</v>
      </c>
      <c r="O44" s="73">
        <v>4519.2308000000003</v>
      </c>
      <c r="P44" s="73">
        <v>0</v>
      </c>
      <c r="Q44" s="73">
        <v>0</v>
      </c>
      <c r="R44" s="73">
        <v>2365.3845999999999</v>
      </c>
      <c r="S44" s="73">
        <v>2365.3845999999999</v>
      </c>
      <c r="T44" s="73">
        <v>0</v>
      </c>
      <c r="U44" s="73">
        <v>307.69229999999999</v>
      </c>
      <c r="V44" s="73">
        <v>307.69229999999999</v>
      </c>
      <c r="W44" s="73">
        <v>0</v>
      </c>
      <c r="X44" s="73">
        <v>278.84620000000001</v>
      </c>
      <c r="Y44" s="73">
        <v>278.84620000000001</v>
      </c>
      <c r="Z44" s="73" t="str">
        <f>_xlfn.XLOOKUP(REALIZADO[[#This Row],[PDV]],PROJEÇÃO[PDV],PROJEÇÃO[COORDENAÇÃO])</f>
        <v>LUIZ</v>
      </c>
    </row>
    <row r="45" spans="1:26" x14ac:dyDescent="0.35">
      <c r="A45" t="s">
        <v>122</v>
      </c>
      <c r="B45" t="s">
        <v>41</v>
      </c>
      <c r="C45" s="73">
        <v>469</v>
      </c>
      <c r="D45" s="73">
        <v>2875</v>
      </c>
      <c r="E45" s="73">
        <v>2406</v>
      </c>
      <c r="F45" s="73">
        <v>380</v>
      </c>
      <c r="G45" s="73">
        <v>1596.1538</v>
      </c>
      <c r="H45" s="73">
        <v>1216.1538</v>
      </c>
      <c r="I45" s="73">
        <v>849</v>
      </c>
      <c r="J45" s="73">
        <v>50961.538500000002</v>
      </c>
      <c r="K45" s="73">
        <v>50112.538500000002</v>
      </c>
      <c r="L45" s="73">
        <v>0</v>
      </c>
      <c r="M45" s="73">
        <v>0</v>
      </c>
      <c r="N45" s="73">
        <v>4519.2308000000003</v>
      </c>
      <c r="O45" s="73">
        <v>4519.2308000000003</v>
      </c>
      <c r="P45" s="73">
        <v>89</v>
      </c>
      <c r="Q45" s="73">
        <v>208</v>
      </c>
      <c r="R45" s="73">
        <v>2365.3845999999999</v>
      </c>
      <c r="S45" s="73">
        <v>2068.3845999999999</v>
      </c>
      <c r="T45" s="73">
        <v>0</v>
      </c>
      <c r="U45" s="73">
        <v>307.69229999999999</v>
      </c>
      <c r="V45" s="73">
        <v>307.69229999999999</v>
      </c>
      <c r="W45" s="73">
        <v>69.88</v>
      </c>
      <c r="X45" s="73">
        <v>278.84620000000001</v>
      </c>
      <c r="Y45" s="73">
        <v>208.96619999999999</v>
      </c>
      <c r="Z45" s="73" t="str">
        <f>_xlfn.XLOOKUP(REALIZADO[[#This Row],[PDV]],PROJEÇÃO[PDV],PROJEÇÃO[COORDENAÇÃO])</f>
        <v>LUIZ</v>
      </c>
    </row>
    <row r="46" spans="1:26" x14ac:dyDescent="0.35">
      <c r="A46" t="s">
        <v>123</v>
      </c>
      <c r="B46" t="s">
        <v>31</v>
      </c>
      <c r="C46" s="73">
        <v>116</v>
      </c>
      <c r="D46" s="73">
        <v>2595</v>
      </c>
      <c r="E46" s="73">
        <v>2479</v>
      </c>
      <c r="F46" s="73">
        <v>0</v>
      </c>
      <c r="G46" s="73">
        <v>0</v>
      </c>
      <c r="H46" s="73">
        <v>0</v>
      </c>
      <c r="I46" s="73">
        <v>0</v>
      </c>
      <c r="J46" s="73">
        <v>42500</v>
      </c>
      <c r="K46" s="73">
        <v>42500</v>
      </c>
      <c r="L46" s="73">
        <v>0</v>
      </c>
      <c r="M46" s="73">
        <v>0</v>
      </c>
      <c r="N46" s="73">
        <v>5500</v>
      </c>
      <c r="O46" s="73">
        <v>5500</v>
      </c>
      <c r="P46" s="73">
        <v>0</v>
      </c>
      <c r="Q46" s="73">
        <v>0</v>
      </c>
      <c r="R46" s="73">
        <v>3850</v>
      </c>
      <c r="S46" s="73">
        <v>3850</v>
      </c>
      <c r="T46" s="73">
        <v>0</v>
      </c>
      <c r="U46" s="73">
        <v>240</v>
      </c>
      <c r="V46" s="73">
        <v>240</v>
      </c>
      <c r="W46" s="73">
        <v>0</v>
      </c>
      <c r="X46" s="73">
        <v>190</v>
      </c>
      <c r="Y46" s="73">
        <v>190</v>
      </c>
      <c r="Z46" s="73" t="str">
        <f>_xlfn.XLOOKUP(REALIZADO[[#This Row],[PDV]],PROJEÇÃO[PDV],PROJEÇÃO[COORDENAÇÃO])</f>
        <v>ARIEL</v>
      </c>
    </row>
    <row r="47" spans="1:26" x14ac:dyDescent="0.35">
      <c r="A47" t="s">
        <v>124</v>
      </c>
      <c r="B47" t="s">
        <v>31</v>
      </c>
      <c r="C47" s="73">
        <v>643.72</v>
      </c>
      <c r="D47" s="73">
        <v>2595</v>
      </c>
      <c r="E47" s="73">
        <v>1951.28</v>
      </c>
      <c r="F47" s="73">
        <v>0</v>
      </c>
      <c r="G47" s="73">
        <v>0</v>
      </c>
      <c r="H47" s="73">
        <v>0</v>
      </c>
      <c r="I47" s="73">
        <v>3477</v>
      </c>
      <c r="J47" s="73">
        <v>42500</v>
      </c>
      <c r="K47" s="73">
        <v>39023</v>
      </c>
      <c r="L47" s="73">
        <v>0</v>
      </c>
      <c r="M47" s="73">
        <v>2099</v>
      </c>
      <c r="N47" s="73">
        <v>5500</v>
      </c>
      <c r="O47" s="73">
        <v>3401</v>
      </c>
      <c r="P47" s="73">
        <v>227</v>
      </c>
      <c r="Q47" s="73">
        <v>237</v>
      </c>
      <c r="R47" s="73">
        <v>3850</v>
      </c>
      <c r="S47" s="73">
        <v>3386</v>
      </c>
      <c r="T47" s="73">
        <v>0</v>
      </c>
      <c r="U47" s="73">
        <v>240</v>
      </c>
      <c r="V47" s="73">
        <v>240</v>
      </c>
      <c r="W47" s="73">
        <v>0</v>
      </c>
      <c r="X47" s="73">
        <v>190</v>
      </c>
      <c r="Y47" s="73">
        <v>190</v>
      </c>
      <c r="Z47" s="73" t="str">
        <f>_xlfn.XLOOKUP(REALIZADO[[#This Row],[PDV]],PROJEÇÃO[PDV],PROJEÇÃO[COORDENAÇÃO])</f>
        <v>ARIEL</v>
      </c>
    </row>
    <row r="48" spans="1:26" x14ac:dyDescent="0.35">
      <c r="A48" t="s">
        <v>125</v>
      </c>
      <c r="B48" t="s">
        <v>48</v>
      </c>
      <c r="C48" s="73">
        <v>440.51</v>
      </c>
      <c r="D48" s="73">
        <v>3159.7222000000002</v>
      </c>
      <c r="E48" s="73">
        <v>2719.2121999999999</v>
      </c>
      <c r="F48" s="73">
        <v>330</v>
      </c>
      <c r="G48" s="73">
        <v>1333.3333</v>
      </c>
      <c r="H48" s="73">
        <v>1003.3333</v>
      </c>
      <c r="I48" s="73">
        <v>12796</v>
      </c>
      <c r="J48" s="73">
        <v>68055.555600000007</v>
      </c>
      <c r="K48" s="73">
        <v>55259.5556</v>
      </c>
      <c r="L48" s="73">
        <v>0</v>
      </c>
      <c r="M48" s="73">
        <v>0</v>
      </c>
      <c r="N48" s="73">
        <v>6944.4444000000003</v>
      </c>
      <c r="O48" s="73">
        <v>6944.4444000000003</v>
      </c>
      <c r="P48" s="73">
        <v>396</v>
      </c>
      <c r="Q48" s="73">
        <v>129</v>
      </c>
      <c r="R48" s="73">
        <v>4166.6666999999998</v>
      </c>
      <c r="S48" s="73">
        <v>3641.6667000000002</v>
      </c>
      <c r="T48" s="73">
        <v>0</v>
      </c>
      <c r="U48" s="73">
        <v>423.61110000000002</v>
      </c>
      <c r="V48" s="73">
        <v>423.61110000000002</v>
      </c>
      <c r="W48" s="73">
        <v>19.989999999999998</v>
      </c>
      <c r="X48" s="73">
        <v>395.83330000000001</v>
      </c>
      <c r="Y48" s="73">
        <v>375.8433</v>
      </c>
      <c r="Z48" s="73" t="str">
        <f>_xlfn.XLOOKUP(REALIZADO[[#This Row],[PDV]],PROJEÇÃO[PDV],PROJEÇÃO[COORDENAÇÃO])</f>
        <v>THAYANDRA</v>
      </c>
    </row>
    <row r="49" spans="1:26" x14ac:dyDescent="0.35">
      <c r="A49" t="s">
        <v>126</v>
      </c>
      <c r="B49" t="s">
        <v>48</v>
      </c>
      <c r="C49" s="73">
        <v>728</v>
      </c>
      <c r="D49" s="73">
        <v>3159.7222000000002</v>
      </c>
      <c r="E49" s="73">
        <v>2431.7222000000002</v>
      </c>
      <c r="F49" s="73">
        <v>380</v>
      </c>
      <c r="G49" s="73">
        <v>1333.3333</v>
      </c>
      <c r="H49" s="73">
        <v>953.33330000000001</v>
      </c>
      <c r="I49" s="73">
        <v>16694</v>
      </c>
      <c r="J49" s="73">
        <v>68055.555600000007</v>
      </c>
      <c r="K49" s="73">
        <v>51361.5556</v>
      </c>
      <c r="L49" s="73">
        <v>0</v>
      </c>
      <c r="M49" s="73">
        <v>209</v>
      </c>
      <c r="N49" s="73">
        <v>6944.4444000000003</v>
      </c>
      <c r="O49" s="73">
        <v>6735.4444000000003</v>
      </c>
      <c r="P49" s="73">
        <v>634</v>
      </c>
      <c r="Q49" s="73">
        <v>357</v>
      </c>
      <c r="R49" s="73">
        <v>4166.6666999999998</v>
      </c>
      <c r="S49" s="73">
        <v>3175.6667000000002</v>
      </c>
      <c r="T49" s="73">
        <v>34.9</v>
      </c>
      <c r="U49" s="73">
        <v>423.61110000000002</v>
      </c>
      <c r="V49" s="73">
        <v>388.71109999999999</v>
      </c>
      <c r="W49" s="73">
        <v>278.5</v>
      </c>
      <c r="X49" s="73">
        <v>395.83330000000001</v>
      </c>
      <c r="Y49" s="73">
        <v>117.33329999999999</v>
      </c>
      <c r="Z49" s="73" t="str">
        <f>_xlfn.XLOOKUP(REALIZADO[[#This Row],[PDV]],PROJEÇÃO[PDV],PROJEÇÃO[COORDENAÇÃO])</f>
        <v>THAYANDRA</v>
      </c>
    </row>
    <row r="50" spans="1:26" x14ac:dyDescent="0.35">
      <c r="A50" t="s">
        <v>127</v>
      </c>
      <c r="B50" t="s">
        <v>48</v>
      </c>
      <c r="C50" s="73">
        <v>0</v>
      </c>
      <c r="D50" s="73">
        <v>2527.7777999999998</v>
      </c>
      <c r="E50" s="73">
        <v>2527.7777999999998</v>
      </c>
      <c r="F50" s="73">
        <v>0</v>
      </c>
      <c r="G50" s="73">
        <v>1066.6667</v>
      </c>
      <c r="H50" s="73">
        <v>1066.6667</v>
      </c>
      <c r="I50" s="73">
        <v>0</v>
      </c>
      <c r="J50" s="73">
        <v>54444.4444</v>
      </c>
      <c r="K50" s="73">
        <v>54444.4444</v>
      </c>
      <c r="L50" s="73">
        <v>0</v>
      </c>
      <c r="M50" s="73">
        <v>0</v>
      </c>
      <c r="N50" s="73">
        <v>5555.5555999999997</v>
      </c>
      <c r="O50" s="73">
        <v>5555.5555999999997</v>
      </c>
      <c r="P50" s="73">
        <v>0</v>
      </c>
      <c r="Q50" s="73">
        <v>0</v>
      </c>
      <c r="R50" s="73">
        <v>3333.3332999999998</v>
      </c>
      <c r="S50" s="73">
        <v>3333.3332999999998</v>
      </c>
      <c r="T50" s="73">
        <v>0</v>
      </c>
      <c r="U50" s="73">
        <v>338.88889999999998</v>
      </c>
      <c r="V50" s="73">
        <v>338.88889999999998</v>
      </c>
      <c r="W50" s="73">
        <v>0</v>
      </c>
      <c r="X50" s="73">
        <v>316.66669999999999</v>
      </c>
      <c r="Y50" s="73">
        <v>316.66669999999999</v>
      </c>
      <c r="Z50" s="73" t="str">
        <f>_xlfn.XLOOKUP(REALIZADO[[#This Row],[PDV]],PROJEÇÃO[PDV],PROJEÇÃO[COORDENAÇÃO])</f>
        <v>THAYANDRA</v>
      </c>
    </row>
    <row r="51" spans="1:26" x14ac:dyDescent="0.35">
      <c r="A51" t="s">
        <v>128</v>
      </c>
      <c r="B51" t="s">
        <v>48</v>
      </c>
      <c r="C51" s="73">
        <v>403</v>
      </c>
      <c r="D51" s="73">
        <v>2527.7777999999998</v>
      </c>
      <c r="E51" s="73">
        <v>2124.7777999999998</v>
      </c>
      <c r="F51" s="73">
        <v>114</v>
      </c>
      <c r="G51" s="73">
        <v>1066.6667</v>
      </c>
      <c r="H51" s="73">
        <v>952.66669999999999</v>
      </c>
      <c r="I51" s="73">
        <v>11946</v>
      </c>
      <c r="J51" s="73">
        <v>54444.4444</v>
      </c>
      <c r="K51" s="73">
        <v>42498.4444</v>
      </c>
      <c r="L51" s="73">
        <v>0</v>
      </c>
      <c r="M51" s="73">
        <v>0</v>
      </c>
      <c r="N51" s="73">
        <v>5555.5555999999997</v>
      </c>
      <c r="O51" s="73">
        <v>5555.5555999999997</v>
      </c>
      <c r="P51" s="73">
        <v>476</v>
      </c>
      <c r="Q51" s="73">
        <v>367</v>
      </c>
      <c r="R51" s="73">
        <v>3333.3332999999998</v>
      </c>
      <c r="S51" s="73">
        <v>2490.3332999999998</v>
      </c>
      <c r="T51" s="73">
        <v>104.8</v>
      </c>
      <c r="U51" s="73">
        <v>338.88889999999998</v>
      </c>
      <c r="V51" s="73">
        <v>234.0889</v>
      </c>
      <c r="W51" s="73">
        <v>59.9</v>
      </c>
      <c r="X51" s="73">
        <v>316.66669999999999</v>
      </c>
      <c r="Y51" s="73">
        <v>256.76670000000001</v>
      </c>
      <c r="Z51" s="73" t="str">
        <f>_xlfn.XLOOKUP(REALIZADO[[#This Row],[PDV]],PROJEÇÃO[PDV],PROJEÇÃO[COORDENAÇÃO])</f>
        <v>THAYANDRA</v>
      </c>
    </row>
    <row r="52" spans="1:26" x14ac:dyDescent="0.35">
      <c r="A52" t="s">
        <v>129</v>
      </c>
      <c r="B52" t="s">
        <v>48</v>
      </c>
      <c r="C52" s="73">
        <v>1185</v>
      </c>
      <c r="D52" s="73">
        <v>3159.7222000000002</v>
      </c>
      <c r="E52" s="73">
        <v>1974.7221999999999</v>
      </c>
      <c r="F52" s="73">
        <v>220</v>
      </c>
      <c r="G52" s="73">
        <v>1333.3333</v>
      </c>
      <c r="H52" s="73">
        <v>1113.3333</v>
      </c>
      <c r="I52" s="73">
        <v>44892</v>
      </c>
      <c r="J52" s="73">
        <v>68055.555600000007</v>
      </c>
      <c r="K52" s="73">
        <v>23163.5556</v>
      </c>
      <c r="L52" s="73">
        <v>0</v>
      </c>
      <c r="M52" s="73">
        <v>1427</v>
      </c>
      <c r="N52" s="73">
        <v>6944.4444000000003</v>
      </c>
      <c r="O52" s="73">
        <v>5517.4444000000003</v>
      </c>
      <c r="P52" s="73">
        <v>892</v>
      </c>
      <c r="Q52" s="73">
        <v>1233</v>
      </c>
      <c r="R52" s="73">
        <v>4166.6666999999998</v>
      </c>
      <c r="S52" s="73">
        <v>2041.6667</v>
      </c>
      <c r="T52" s="73">
        <v>215.7</v>
      </c>
      <c r="U52" s="73">
        <v>423.61110000000002</v>
      </c>
      <c r="V52" s="73">
        <v>207.9111</v>
      </c>
      <c r="W52" s="73">
        <v>50</v>
      </c>
      <c r="X52" s="73">
        <v>395.83330000000001</v>
      </c>
      <c r="Y52" s="73">
        <v>345.83330000000001</v>
      </c>
      <c r="Z52" s="73" t="str">
        <f>_xlfn.XLOOKUP(REALIZADO[[#This Row],[PDV]],PROJEÇÃO[PDV],PROJEÇÃO[COORDENAÇÃO])</f>
        <v>THAYANDRA</v>
      </c>
    </row>
    <row r="53" spans="1:26" x14ac:dyDescent="0.35">
      <c r="A53" t="s">
        <v>130</v>
      </c>
      <c r="B53" t="s">
        <v>48</v>
      </c>
      <c r="C53" s="73">
        <v>87</v>
      </c>
      <c r="D53" s="73">
        <v>2527.7777999999998</v>
      </c>
      <c r="E53" s="73">
        <v>2440.7777999999998</v>
      </c>
      <c r="F53" s="73">
        <v>90</v>
      </c>
      <c r="G53" s="73">
        <v>1066.6667</v>
      </c>
      <c r="H53" s="73">
        <v>976.66669999999999</v>
      </c>
      <c r="I53" s="73">
        <v>3978</v>
      </c>
      <c r="J53" s="73">
        <v>54444.4444</v>
      </c>
      <c r="K53" s="73">
        <v>50466.4444</v>
      </c>
      <c r="L53" s="73">
        <v>0</v>
      </c>
      <c r="M53" s="73">
        <v>0</v>
      </c>
      <c r="N53" s="73">
        <v>5555.5555999999997</v>
      </c>
      <c r="O53" s="73">
        <v>5555.5555999999997</v>
      </c>
      <c r="P53" s="73">
        <v>446</v>
      </c>
      <c r="Q53" s="73">
        <v>0</v>
      </c>
      <c r="R53" s="73">
        <v>3333.3332999999998</v>
      </c>
      <c r="S53" s="73">
        <v>2887.3332999999998</v>
      </c>
      <c r="T53" s="73">
        <v>34.9</v>
      </c>
      <c r="U53" s="73">
        <v>338.88889999999998</v>
      </c>
      <c r="V53" s="73">
        <v>303.9889</v>
      </c>
      <c r="W53" s="73">
        <v>59.9</v>
      </c>
      <c r="X53" s="73">
        <v>316.66669999999999</v>
      </c>
      <c r="Y53" s="73">
        <v>256.76670000000001</v>
      </c>
      <c r="Z53" s="73" t="str">
        <f>_xlfn.XLOOKUP(REALIZADO[[#This Row],[PDV]],PROJEÇÃO[PDV],PROJEÇÃO[COORDENAÇÃO])</f>
        <v>THAYANDRA</v>
      </c>
    </row>
    <row r="54" spans="1:26" x14ac:dyDescent="0.35">
      <c r="A54" t="s">
        <v>131</v>
      </c>
      <c r="B54" t="s">
        <v>48</v>
      </c>
      <c r="C54" s="73">
        <v>445</v>
      </c>
      <c r="D54" s="73">
        <v>2527.7777999999998</v>
      </c>
      <c r="E54" s="73">
        <v>2082.7777999999998</v>
      </c>
      <c r="F54" s="73">
        <v>290</v>
      </c>
      <c r="G54" s="73">
        <v>1066.6667</v>
      </c>
      <c r="H54" s="73">
        <v>776.66669999999999</v>
      </c>
      <c r="I54" s="73">
        <v>5299</v>
      </c>
      <c r="J54" s="73">
        <v>54444.4444</v>
      </c>
      <c r="K54" s="73">
        <v>49145.4444</v>
      </c>
      <c r="L54" s="73">
        <v>0</v>
      </c>
      <c r="M54" s="73">
        <v>928</v>
      </c>
      <c r="N54" s="73">
        <v>5555.5555999999997</v>
      </c>
      <c r="O54" s="73">
        <v>4627.5555999999997</v>
      </c>
      <c r="P54" s="73">
        <v>89</v>
      </c>
      <c r="Q54" s="73">
        <v>626</v>
      </c>
      <c r="R54" s="73">
        <v>3333.3332999999998</v>
      </c>
      <c r="S54" s="73">
        <v>2618.3332999999998</v>
      </c>
      <c r="T54" s="73">
        <v>69.900000000000006</v>
      </c>
      <c r="U54" s="73">
        <v>338.88889999999998</v>
      </c>
      <c r="V54" s="73">
        <v>268.9889</v>
      </c>
      <c r="W54" s="73">
        <v>182.6</v>
      </c>
      <c r="X54" s="73">
        <v>316.66669999999999</v>
      </c>
      <c r="Y54" s="73">
        <v>134.0667</v>
      </c>
      <c r="Z54" s="73" t="str">
        <f>_xlfn.XLOOKUP(REALIZADO[[#This Row],[PDV]],PROJEÇÃO[PDV],PROJEÇÃO[COORDENAÇÃO])</f>
        <v>THAYANDRA</v>
      </c>
    </row>
    <row r="55" spans="1:26" x14ac:dyDescent="0.35">
      <c r="A55" t="s">
        <v>132</v>
      </c>
      <c r="B55" t="s">
        <v>48</v>
      </c>
      <c r="C55" s="73">
        <v>388</v>
      </c>
      <c r="D55" s="73">
        <v>3159.7222000000002</v>
      </c>
      <c r="E55" s="73">
        <v>2771.7222000000002</v>
      </c>
      <c r="F55" s="73">
        <v>120</v>
      </c>
      <c r="G55" s="73">
        <v>1333.3333</v>
      </c>
      <c r="H55" s="73">
        <v>1213.3333</v>
      </c>
      <c r="I55" s="73">
        <v>10497</v>
      </c>
      <c r="J55" s="73">
        <v>68055.555600000007</v>
      </c>
      <c r="K55" s="73">
        <v>57558.5556</v>
      </c>
      <c r="L55" s="73">
        <v>0</v>
      </c>
      <c r="M55" s="73">
        <v>0</v>
      </c>
      <c r="N55" s="73">
        <v>6944.4444000000003</v>
      </c>
      <c r="O55" s="73">
        <v>6944.4444000000003</v>
      </c>
      <c r="P55" s="73">
        <v>386</v>
      </c>
      <c r="Q55" s="73">
        <v>0</v>
      </c>
      <c r="R55" s="73">
        <v>4166.6666999999998</v>
      </c>
      <c r="S55" s="73">
        <v>3780.6667000000002</v>
      </c>
      <c r="T55" s="73">
        <v>69.900000000000006</v>
      </c>
      <c r="U55" s="73">
        <v>423.61110000000002</v>
      </c>
      <c r="V55" s="73">
        <v>353.71109999999999</v>
      </c>
      <c r="W55" s="73">
        <v>0</v>
      </c>
      <c r="X55" s="73">
        <v>395.83330000000001</v>
      </c>
      <c r="Y55" s="73">
        <v>395.83330000000001</v>
      </c>
      <c r="Z55" s="73" t="str">
        <f>_xlfn.XLOOKUP(REALIZADO[[#This Row],[PDV]],PROJEÇÃO[PDV],PROJEÇÃO[COORDENAÇÃO])</f>
        <v>THAYANDRA</v>
      </c>
    </row>
    <row r="56" spans="1:26" x14ac:dyDescent="0.35">
      <c r="A56" t="s">
        <v>133</v>
      </c>
      <c r="B56" t="s">
        <v>42</v>
      </c>
      <c r="C56" s="73">
        <v>313.95999999999998</v>
      </c>
      <c r="D56" s="73">
        <v>2716.6667000000002</v>
      </c>
      <c r="E56" s="73">
        <v>2402.7067000000002</v>
      </c>
      <c r="F56" s="73">
        <v>80</v>
      </c>
      <c r="G56" s="73">
        <v>1533.3333</v>
      </c>
      <c r="H56" s="73">
        <v>1453.3333</v>
      </c>
      <c r="I56" s="73">
        <v>12347</v>
      </c>
      <c r="J56" s="73">
        <v>69666.666700000002</v>
      </c>
      <c r="K56" s="73">
        <v>57319.666700000002</v>
      </c>
      <c r="L56" s="73">
        <v>0</v>
      </c>
      <c r="M56" s="73">
        <v>1478</v>
      </c>
      <c r="N56" s="73">
        <v>4750</v>
      </c>
      <c r="O56" s="73">
        <v>3272</v>
      </c>
      <c r="P56" s="73">
        <v>138</v>
      </c>
      <c r="Q56" s="73">
        <v>416</v>
      </c>
      <c r="R56" s="73">
        <v>3666.6667000000002</v>
      </c>
      <c r="S56" s="73">
        <v>3112.6667000000002</v>
      </c>
      <c r="T56" s="73">
        <v>0</v>
      </c>
      <c r="U56" s="73">
        <v>296.66669999999999</v>
      </c>
      <c r="V56" s="73">
        <v>296.66669999999999</v>
      </c>
      <c r="W56" s="73">
        <v>0</v>
      </c>
      <c r="X56" s="73">
        <v>300</v>
      </c>
      <c r="Y56" s="73">
        <v>300</v>
      </c>
      <c r="Z56" s="73" t="str">
        <f>_xlfn.XLOOKUP(REALIZADO[[#This Row],[PDV]],PROJEÇÃO[PDV],PROJEÇÃO[COORDENAÇÃO])</f>
        <v>THAYANDRA</v>
      </c>
    </row>
    <row r="57" spans="1:26" x14ac:dyDescent="0.35">
      <c r="A57" t="s">
        <v>134</v>
      </c>
      <c r="B57" t="s">
        <v>42</v>
      </c>
      <c r="C57" s="73">
        <v>111</v>
      </c>
      <c r="D57" s="73">
        <v>2716.6667000000002</v>
      </c>
      <c r="E57" s="73">
        <v>2605.6667000000002</v>
      </c>
      <c r="F57" s="73">
        <v>100</v>
      </c>
      <c r="G57" s="73">
        <v>1533.3333</v>
      </c>
      <c r="H57" s="73">
        <v>1433.3333</v>
      </c>
      <c r="I57" s="73">
        <v>0</v>
      </c>
      <c r="J57" s="73">
        <v>69666.666700000002</v>
      </c>
      <c r="K57" s="73">
        <v>69666.666700000002</v>
      </c>
      <c r="L57" s="73">
        <v>0</v>
      </c>
      <c r="M57" s="73">
        <v>209</v>
      </c>
      <c r="N57" s="73">
        <v>4750</v>
      </c>
      <c r="O57" s="73">
        <v>4541</v>
      </c>
      <c r="P57" s="73">
        <v>0</v>
      </c>
      <c r="Q57" s="73">
        <v>0</v>
      </c>
      <c r="R57" s="73">
        <v>3666.6667000000002</v>
      </c>
      <c r="S57" s="73">
        <v>3666.6667000000002</v>
      </c>
      <c r="T57" s="73">
        <v>0</v>
      </c>
      <c r="U57" s="73">
        <v>296.66669999999999</v>
      </c>
      <c r="V57" s="73">
        <v>296.66669999999999</v>
      </c>
      <c r="W57" s="73">
        <v>0</v>
      </c>
      <c r="X57" s="73">
        <v>300</v>
      </c>
      <c r="Y57" s="73">
        <v>300</v>
      </c>
      <c r="Z57" s="73" t="str">
        <f>_xlfn.XLOOKUP(REALIZADO[[#This Row],[PDV]],PROJEÇÃO[PDV],PROJEÇÃO[COORDENAÇÃO])</f>
        <v>THAYANDRA</v>
      </c>
    </row>
    <row r="58" spans="1:26" x14ac:dyDescent="0.35">
      <c r="A58" t="s">
        <v>135</v>
      </c>
      <c r="B58" t="s">
        <v>42</v>
      </c>
      <c r="C58" s="73">
        <v>478</v>
      </c>
      <c r="D58" s="73">
        <v>2716.6667000000002</v>
      </c>
      <c r="E58" s="73">
        <v>2238.6667000000002</v>
      </c>
      <c r="F58" s="73">
        <v>110</v>
      </c>
      <c r="G58" s="73">
        <v>1533.3333</v>
      </c>
      <c r="H58" s="73">
        <v>1423.3333</v>
      </c>
      <c r="I58" s="73">
        <v>2699</v>
      </c>
      <c r="J58" s="73">
        <v>69666.666700000002</v>
      </c>
      <c r="K58" s="73">
        <v>66967.666700000002</v>
      </c>
      <c r="L58" s="73">
        <v>0</v>
      </c>
      <c r="M58" s="73">
        <v>1299</v>
      </c>
      <c r="N58" s="73">
        <v>4750</v>
      </c>
      <c r="O58" s="73">
        <v>3451</v>
      </c>
      <c r="P58" s="73">
        <v>119</v>
      </c>
      <c r="Q58" s="73">
        <v>129</v>
      </c>
      <c r="R58" s="73">
        <v>3666.6667000000002</v>
      </c>
      <c r="S58" s="73">
        <v>3418.6667000000002</v>
      </c>
      <c r="T58" s="73">
        <v>0</v>
      </c>
      <c r="U58" s="73">
        <v>296.66669999999999</v>
      </c>
      <c r="V58" s="73">
        <v>296.66669999999999</v>
      </c>
      <c r="W58" s="73">
        <v>28.9</v>
      </c>
      <c r="X58" s="73">
        <v>300</v>
      </c>
      <c r="Y58" s="73">
        <v>271.10000000000002</v>
      </c>
      <c r="Z58" s="73" t="str">
        <f>_xlfn.XLOOKUP(REALIZADO[[#This Row],[PDV]],PROJEÇÃO[PDV],PROJEÇÃO[COORDENAÇÃO])</f>
        <v>THAYANDRA</v>
      </c>
    </row>
    <row r="59" spans="1:26" x14ac:dyDescent="0.35">
      <c r="A59" t="s">
        <v>136</v>
      </c>
      <c r="B59" t="s">
        <v>32</v>
      </c>
      <c r="C59" s="73">
        <v>115</v>
      </c>
      <c r="D59" s="73">
        <v>2562.5</v>
      </c>
      <c r="E59" s="73">
        <v>2447.5</v>
      </c>
      <c r="F59" s="73">
        <v>0</v>
      </c>
      <c r="G59" s="73">
        <v>0</v>
      </c>
      <c r="H59" s="73">
        <v>0</v>
      </c>
      <c r="I59" s="73">
        <v>3327</v>
      </c>
      <c r="J59" s="73">
        <v>41500</v>
      </c>
      <c r="K59" s="73">
        <v>38173</v>
      </c>
      <c r="L59" s="73">
        <v>0</v>
      </c>
      <c r="M59" s="73">
        <v>479</v>
      </c>
      <c r="N59" s="73">
        <v>3487.5</v>
      </c>
      <c r="O59" s="73">
        <v>3008.5</v>
      </c>
      <c r="P59" s="73">
        <v>416</v>
      </c>
      <c r="Q59" s="73">
        <v>198</v>
      </c>
      <c r="R59" s="73">
        <v>2625</v>
      </c>
      <c r="S59" s="73">
        <v>2011</v>
      </c>
      <c r="T59" s="73">
        <v>16.899999999999999</v>
      </c>
      <c r="U59" s="73">
        <v>237.5</v>
      </c>
      <c r="V59" s="73">
        <v>220.6</v>
      </c>
      <c r="W59" s="73">
        <v>0</v>
      </c>
      <c r="X59" s="73">
        <v>237.5</v>
      </c>
      <c r="Y59" s="73">
        <v>237.5</v>
      </c>
      <c r="Z59" s="73" t="str">
        <f>_xlfn.XLOOKUP(REALIZADO[[#This Row],[PDV]],PROJEÇÃO[PDV],PROJEÇÃO[COORDENAÇÃO])</f>
        <v>ARIEL</v>
      </c>
    </row>
    <row r="60" spans="1:26" x14ac:dyDescent="0.35">
      <c r="A60" t="s">
        <v>137</v>
      </c>
      <c r="B60" t="s">
        <v>32</v>
      </c>
      <c r="C60" s="73">
        <v>398.01</v>
      </c>
      <c r="D60" s="73">
        <v>2562.5</v>
      </c>
      <c r="E60" s="73">
        <v>2164.4899999999998</v>
      </c>
      <c r="F60" s="73">
        <v>0</v>
      </c>
      <c r="G60" s="73">
        <v>0</v>
      </c>
      <c r="H60" s="73">
        <v>0</v>
      </c>
      <c r="I60" s="73">
        <v>2198</v>
      </c>
      <c r="J60" s="73">
        <v>41500</v>
      </c>
      <c r="K60" s="73">
        <v>39302</v>
      </c>
      <c r="L60" s="73">
        <v>0</v>
      </c>
      <c r="M60" s="73">
        <v>209</v>
      </c>
      <c r="N60" s="73">
        <v>3487.5</v>
      </c>
      <c r="O60" s="73">
        <v>3278.5</v>
      </c>
      <c r="P60" s="73">
        <v>0</v>
      </c>
      <c r="Q60" s="73">
        <v>98</v>
      </c>
      <c r="R60" s="73">
        <v>2625</v>
      </c>
      <c r="S60" s="73">
        <v>2527</v>
      </c>
      <c r="T60" s="73">
        <v>0</v>
      </c>
      <c r="U60" s="73">
        <v>237.5</v>
      </c>
      <c r="V60" s="73">
        <v>237.5</v>
      </c>
      <c r="W60" s="73">
        <v>64.69</v>
      </c>
      <c r="X60" s="73">
        <v>237.5</v>
      </c>
      <c r="Y60" s="73">
        <v>172.81</v>
      </c>
      <c r="Z60" s="73" t="str">
        <f>_xlfn.XLOOKUP(REALIZADO[[#This Row],[PDV]],PROJEÇÃO[PDV],PROJEÇÃO[COORDENAÇÃO])</f>
        <v>ARIEL</v>
      </c>
    </row>
    <row r="61" spans="1:26" x14ac:dyDescent="0.35">
      <c r="A61" t="s">
        <v>138</v>
      </c>
      <c r="B61" t="s">
        <v>32</v>
      </c>
      <c r="C61" s="73">
        <v>155</v>
      </c>
      <c r="D61" s="73">
        <v>2562.5</v>
      </c>
      <c r="E61" s="73">
        <v>2407.5</v>
      </c>
      <c r="F61" s="73">
        <v>0</v>
      </c>
      <c r="G61" s="73">
        <v>0</v>
      </c>
      <c r="H61" s="73">
        <v>0</v>
      </c>
      <c r="I61" s="73">
        <v>0</v>
      </c>
      <c r="J61" s="73">
        <v>41500</v>
      </c>
      <c r="K61" s="73">
        <v>41500</v>
      </c>
      <c r="L61" s="73">
        <v>0</v>
      </c>
      <c r="M61" s="73">
        <v>0</v>
      </c>
      <c r="N61" s="73">
        <v>3487.5</v>
      </c>
      <c r="O61" s="73">
        <v>3487.5</v>
      </c>
      <c r="P61" s="73">
        <v>258</v>
      </c>
      <c r="Q61" s="73">
        <v>79</v>
      </c>
      <c r="R61" s="73">
        <v>2625</v>
      </c>
      <c r="S61" s="73">
        <v>2288</v>
      </c>
      <c r="T61" s="73">
        <v>0</v>
      </c>
      <c r="U61" s="73">
        <v>237.5</v>
      </c>
      <c r="V61" s="73">
        <v>237.5</v>
      </c>
      <c r="W61" s="73">
        <v>9.9</v>
      </c>
      <c r="X61" s="73">
        <v>237.5</v>
      </c>
      <c r="Y61" s="73">
        <v>227.6</v>
      </c>
      <c r="Z61" s="73" t="str">
        <f>_xlfn.XLOOKUP(REALIZADO[[#This Row],[PDV]],PROJEÇÃO[PDV],PROJEÇÃO[COORDENAÇÃO])</f>
        <v>ARIEL</v>
      </c>
    </row>
    <row r="62" spans="1:26" x14ac:dyDescent="0.35">
      <c r="A62" t="s">
        <v>139</v>
      </c>
      <c r="B62" t="s">
        <v>32</v>
      </c>
      <c r="C62" s="73">
        <v>194</v>
      </c>
      <c r="D62" s="73">
        <v>2562.5</v>
      </c>
      <c r="E62" s="73">
        <v>2368.5</v>
      </c>
      <c r="F62" s="73">
        <v>0</v>
      </c>
      <c r="G62" s="73">
        <v>0</v>
      </c>
      <c r="H62" s="73">
        <v>0</v>
      </c>
      <c r="I62" s="73">
        <v>2149</v>
      </c>
      <c r="J62" s="73">
        <v>41500</v>
      </c>
      <c r="K62" s="73">
        <v>39351</v>
      </c>
      <c r="L62" s="73">
        <v>0</v>
      </c>
      <c r="M62" s="73">
        <v>69</v>
      </c>
      <c r="N62" s="73">
        <v>3487.5</v>
      </c>
      <c r="O62" s="73">
        <v>3418.5</v>
      </c>
      <c r="P62" s="73">
        <v>0</v>
      </c>
      <c r="Q62" s="73">
        <v>0</v>
      </c>
      <c r="R62" s="73">
        <v>2625</v>
      </c>
      <c r="S62" s="73">
        <v>2625</v>
      </c>
      <c r="T62" s="73">
        <v>0</v>
      </c>
      <c r="U62" s="73">
        <v>237.5</v>
      </c>
      <c r="V62" s="73">
        <v>237.5</v>
      </c>
      <c r="W62" s="73">
        <v>0</v>
      </c>
      <c r="X62" s="73">
        <v>237.5</v>
      </c>
      <c r="Y62" s="73">
        <v>237.5</v>
      </c>
      <c r="Z62" s="73" t="str">
        <f>_xlfn.XLOOKUP(REALIZADO[[#This Row],[PDV]],PROJEÇÃO[PDV],PROJEÇÃO[COORDENAÇÃO])</f>
        <v>ARIEL</v>
      </c>
    </row>
    <row r="63" spans="1:26" x14ac:dyDescent="0.35">
      <c r="A63" t="s">
        <v>140</v>
      </c>
      <c r="B63" t="s">
        <v>49</v>
      </c>
      <c r="C63" s="73">
        <v>384</v>
      </c>
      <c r="D63" s="73">
        <v>6690</v>
      </c>
      <c r="E63" s="73">
        <v>6306</v>
      </c>
      <c r="F63" s="73">
        <v>200</v>
      </c>
      <c r="G63" s="73">
        <v>2800</v>
      </c>
      <c r="H63" s="73">
        <v>2600</v>
      </c>
      <c r="I63" s="73">
        <v>0</v>
      </c>
      <c r="J63" s="73">
        <v>83000</v>
      </c>
      <c r="K63" s="73">
        <v>83000</v>
      </c>
      <c r="L63" s="73">
        <v>0</v>
      </c>
      <c r="M63" s="73">
        <v>229</v>
      </c>
      <c r="N63" s="73">
        <v>6700</v>
      </c>
      <c r="O63" s="73">
        <v>6471</v>
      </c>
      <c r="P63" s="73">
        <v>0</v>
      </c>
      <c r="Q63" s="73">
        <v>456</v>
      </c>
      <c r="R63" s="73">
        <v>4500</v>
      </c>
      <c r="S63" s="73">
        <v>4044</v>
      </c>
      <c r="T63" s="73">
        <v>0</v>
      </c>
      <c r="U63" s="73">
        <v>600</v>
      </c>
      <c r="V63" s="73">
        <v>600</v>
      </c>
      <c r="W63" s="73">
        <v>29.9</v>
      </c>
      <c r="X63" s="73">
        <v>450</v>
      </c>
      <c r="Y63" s="73">
        <v>420.1</v>
      </c>
      <c r="Z63" s="73" t="str">
        <f>_xlfn.XLOOKUP(REALIZADO[[#This Row],[PDV]],PROJEÇÃO[PDV],PROJEÇÃO[COORDENAÇÃO])</f>
        <v>THAYANDRA</v>
      </c>
    </row>
    <row r="64" spans="1:26" x14ac:dyDescent="0.35">
      <c r="A64" t="s">
        <v>141</v>
      </c>
      <c r="B64" t="s">
        <v>33</v>
      </c>
      <c r="C64" s="73">
        <v>13</v>
      </c>
      <c r="D64" s="73">
        <v>1105.3846000000001</v>
      </c>
      <c r="E64" s="73">
        <v>1092.3846000000001</v>
      </c>
      <c r="F64" s="73">
        <v>0</v>
      </c>
      <c r="G64" s="73">
        <v>0</v>
      </c>
      <c r="H64" s="73">
        <v>0</v>
      </c>
      <c r="I64" s="73">
        <v>2398</v>
      </c>
      <c r="J64" s="73">
        <v>12000</v>
      </c>
      <c r="K64" s="73">
        <v>9602</v>
      </c>
      <c r="L64" s="73">
        <v>0</v>
      </c>
      <c r="M64" s="73">
        <v>0</v>
      </c>
      <c r="N64" s="73">
        <v>1176.9231</v>
      </c>
      <c r="O64" s="73">
        <v>1176.9231</v>
      </c>
      <c r="P64" s="73">
        <v>188</v>
      </c>
      <c r="Q64" s="73">
        <v>198</v>
      </c>
      <c r="R64" s="73">
        <v>1084.6153999999999</v>
      </c>
      <c r="S64" s="73">
        <v>698.61540000000002</v>
      </c>
      <c r="T64" s="73">
        <v>0</v>
      </c>
      <c r="U64" s="73">
        <v>92.307699999999997</v>
      </c>
      <c r="V64" s="73">
        <v>92.307699999999997</v>
      </c>
      <c r="W64" s="73">
        <v>0</v>
      </c>
      <c r="X64" s="73">
        <v>105</v>
      </c>
      <c r="Y64" s="73">
        <v>105</v>
      </c>
      <c r="Z64" s="73" t="str">
        <f>_xlfn.XLOOKUP(REALIZADO[[#This Row],[PDV]],PROJEÇÃO[PDV],PROJEÇÃO[COORDENAÇÃO])</f>
        <v>ARIEL</v>
      </c>
    </row>
    <row r="65" spans="1:26" x14ac:dyDescent="0.35">
      <c r="A65" t="s">
        <v>142</v>
      </c>
      <c r="B65" t="s">
        <v>33</v>
      </c>
      <c r="C65" s="73">
        <v>421</v>
      </c>
      <c r="D65" s="73">
        <v>1842.3077000000001</v>
      </c>
      <c r="E65" s="73">
        <v>1421.3077000000001</v>
      </c>
      <c r="F65" s="73">
        <v>0</v>
      </c>
      <c r="G65" s="73">
        <v>0</v>
      </c>
      <c r="H65" s="73">
        <v>0</v>
      </c>
      <c r="I65" s="73">
        <v>2988</v>
      </c>
      <c r="J65" s="73">
        <v>20000</v>
      </c>
      <c r="K65" s="73">
        <v>17012</v>
      </c>
      <c r="L65" s="73">
        <v>0</v>
      </c>
      <c r="M65" s="73">
        <v>179</v>
      </c>
      <c r="N65" s="73">
        <v>1961.5385000000001</v>
      </c>
      <c r="O65" s="73">
        <v>1782.5385000000001</v>
      </c>
      <c r="P65" s="73">
        <v>69</v>
      </c>
      <c r="Q65" s="73">
        <v>99</v>
      </c>
      <c r="R65" s="73">
        <v>1807.6922999999999</v>
      </c>
      <c r="S65" s="73">
        <v>1639.6922999999999</v>
      </c>
      <c r="T65" s="73">
        <v>104.8</v>
      </c>
      <c r="U65" s="73">
        <v>153.84620000000001</v>
      </c>
      <c r="V65" s="73">
        <v>49.046199999999999</v>
      </c>
      <c r="W65" s="73">
        <v>104.89</v>
      </c>
      <c r="X65" s="73">
        <v>175</v>
      </c>
      <c r="Y65" s="73">
        <v>70.11</v>
      </c>
      <c r="Z65" s="73" t="str">
        <f>_xlfn.XLOOKUP(REALIZADO[[#This Row],[PDV]],PROJEÇÃO[PDV],PROJEÇÃO[COORDENAÇÃO])</f>
        <v>ARIEL</v>
      </c>
    </row>
    <row r="66" spans="1:26" x14ac:dyDescent="0.35">
      <c r="A66" t="s">
        <v>143</v>
      </c>
      <c r="B66" t="s">
        <v>33</v>
      </c>
      <c r="C66" s="73">
        <v>13</v>
      </c>
      <c r="D66" s="73">
        <v>1842.3077000000001</v>
      </c>
      <c r="E66" s="73">
        <v>1829.3077000000001</v>
      </c>
      <c r="F66" s="73">
        <v>0</v>
      </c>
      <c r="G66" s="73">
        <v>0</v>
      </c>
      <c r="H66" s="73">
        <v>0</v>
      </c>
      <c r="I66" s="73">
        <v>3997</v>
      </c>
      <c r="J66" s="73">
        <v>20000</v>
      </c>
      <c r="K66" s="73">
        <v>16003</v>
      </c>
      <c r="L66" s="73">
        <v>0</v>
      </c>
      <c r="M66" s="73">
        <v>69</v>
      </c>
      <c r="N66" s="73">
        <v>1961.5385000000001</v>
      </c>
      <c r="O66" s="73">
        <v>1892.5385000000001</v>
      </c>
      <c r="P66" s="73">
        <v>336</v>
      </c>
      <c r="Q66" s="73">
        <v>257</v>
      </c>
      <c r="R66" s="73">
        <v>1807.6922999999999</v>
      </c>
      <c r="S66" s="73">
        <v>1214.6922999999999</v>
      </c>
      <c r="T66" s="73">
        <v>34.9</v>
      </c>
      <c r="U66" s="73">
        <v>153.84620000000001</v>
      </c>
      <c r="V66" s="73">
        <v>118.9462</v>
      </c>
      <c r="W66" s="73">
        <v>19.989999999999998</v>
      </c>
      <c r="X66" s="73">
        <v>175</v>
      </c>
      <c r="Y66" s="73">
        <v>155.01</v>
      </c>
      <c r="Z66" s="73" t="str">
        <f>_xlfn.XLOOKUP(REALIZADO[[#This Row],[PDV]],PROJEÇÃO[PDV],PROJEÇÃO[COORDENAÇÃO])</f>
        <v>ARIEL</v>
      </c>
    </row>
    <row r="67" spans="1:26" x14ac:dyDescent="0.35">
      <c r="A67" t="s">
        <v>144</v>
      </c>
      <c r="B67" t="s">
        <v>34</v>
      </c>
      <c r="C67" s="73">
        <v>370</v>
      </c>
      <c r="D67" s="73">
        <v>4968.75</v>
      </c>
      <c r="E67" s="73">
        <v>4598.75</v>
      </c>
      <c r="F67" s="73">
        <v>0</v>
      </c>
      <c r="G67" s="73">
        <v>0</v>
      </c>
      <c r="H67" s="73">
        <v>0</v>
      </c>
      <c r="I67" s="73">
        <v>9298</v>
      </c>
      <c r="J67" s="73">
        <v>50625</v>
      </c>
      <c r="K67" s="73">
        <v>41327</v>
      </c>
      <c r="L67" s="73">
        <v>0</v>
      </c>
      <c r="M67" s="73">
        <v>149</v>
      </c>
      <c r="N67" s="73">
        <v>6625</v>
      </c>
      <c r="O67" s="73">
        <v>6476</v>
      </c>
      <c r="P67" s="73">
        <v>149</v>
      </c>
      <c r="Q67" s="73">
        <v>79</v>
      </c>
      <c r="R67" s="73">
        <v>5312.5</v>
      </c>
      <c r="S67" s="73">
        <v>5084.5</v>
      </c>
      <c r="T67" s="73">
        <v>34.9</v>
      </c>
      <c r="U67" s="73">
        <v>500</v>
      </c>
      <c r="V67" s="73">
        <v>465.1</v>
      </c>
      <c r="W67" s="73">
        <v>0</v>
      </c>
      <c r="X67" s="73">
        <v>468.75</v>
      </c>
      <c r="Y67" s="73">
        <v>468.75</v>
      </c>
      <c r="Z67" s="73" t="str">
        <f>_xlfn.XLOOKUP(REALIZADO[[#This Row],[PDV]],PROJEÇÃO[PDV],PROJEÇÃO[COORDENAÇÃO])</f>
        <v>ARIEL</v>
      </c>
    </row>
    <row r="68" spans="1:26" x14ac:dyDescent="0.35">
      <c r="A68" t="s">
        <v>145</v>
      </c>
      <c r="B68" t="s">
        <v>34</v>
      </c>
      <c r="C68" s="73">
        <v>186</v>
      </c>
      <c r="D68" s="73">
        <v>2981.25</v>
      </c>
      <c r="E68" s="73">
        <v>2795.25</v>
      </c>
      <c r="F68" s="73">
        <v>0</v>
      </c>
      <c r="G68" s="73">
        <v>0</v>
      </c>
      <c r="H68" s="73">
        <v>0</v>
      </c>
      <c r="I68" s="73">
        <v>2699</v>
      </c>
      <c r="J68" s="73">
        <v>30375</v>
      </c>
      <c r="K68" s="73">
        <v>27676</v>
      </c>
      <c r="L68" s="73">
        <v>0</v>
      </c>
      <c r="M68" s="73">
        <v>229</v>
      </c>
      <c r="N68" s="73">
        <v>3975</v>
      </c>
      <c r="O68" s="73">
        <v>3746</v>
      </c>
      <c r="P68" s="73">
        <v>218</v>
      </c>
      <c r="Q68" s="73">
        <v>417</v>
      </c>
      <c r="R68" s="73">
        <v>3187.5</v>
      </c>
      <c r="S68" s="73">
        <v>2552.5</v>
      </c>
      <c r="T68" s="73">
        <v>0</v>
      </c>
      <c r="U68" s="73">
        <v>300</v>
      </c>
      <c r="V68" s="73">
        <v>300</v>
      </c>
      <c r="W68" s="73">
        <v>0</v>
      </c>
      <c r="X68" s="73">
        <v>281.25</v>
      </c>
      <c r="Y68" s="73">
        <v>281.25</v>
      </c>
      <c r="Z68" s="73" t="str">
        <f>_xlfn.XLOOKUP(REALIZADO[[#This Row],[PDV]],PROJEÇÃO[PDV],PROJEÇÃO[COORDENAÇÃO])</f>
        <v>ARIEL</v>
      </c>
    </row>
    <row r="69" spans="1:26" x14ac:dyDescent="0.35">
      <c r="A69" t="s">
        <v>146</v>
      </c>
      <c r="B69" t="s">
        <v>35</v>
      </c>
      <c r="C69" s="73">
        <v>221.99</v>
      </c>
      <c r="D69" s="73">
        <v>3750</v>
      </c>
      <c r="E69" s="73">
        <v>3528.01</v>
      </c>
      <c r="F69" s="73">
        <v>0</v>
      </c>
      <c r="G69" s="73">
        <v>0</v>
      </c>
      <c r="H69" s="73">
        <v>0</v>
      </c>
      <c r="I69" s="73">
        <v>0</v>
      </c>
      <c r="J69" s="73">
        <v>41000</v>
      </c>
      <c r="K69" s="73">
        <v>41000</v>
      </c>
      <c r="L69" s="73">
        <v>0</v>
      </c>
      <c r="M69" s="73">
        <v>0</v>
      </c>
      <c r="N69" s="73">
        <v>4250</v>
      </c>
      <c r="O69" s="73">
        <v>4250</v>
      </c>
      <c r="P69" s="73">
        <v>0</v>
      </c>
      <c r="Q69" s="73">
        <v>0</v>
      </c>
      <c r="R69" s="73">
        <v>3200</v>
      </c>
      <c r="S69" s="73">
        <v>3200</v>
      </c>
      <c r="T69" s="73">
        <v>27.8</v>
      </c>
      <c r="U69" s="73">
        <v>330</v>
      </c>
      <c r="V69" s="73">
        <v>302.2</v>
      </c>
      <c r="W69" s="73">
        <v>0</v>
      </c>
      <c r="X69" s="73">
        <v>350</v>
      </c>
      <c r="Y69" s="73">
        <v>350</v>
      </c>
      <c r="Z69" s="73" t="str">
        <f>_xlfn.XLOOKUP(REALIZADO[[#This Row],[PDV]],PROJEÇÃO[PDV],PROJEÇÃO[COORDENAÇÃO])</f>
        <v>ARIEL</v>
      </c>
    </row>
    <row r="70" spans="1:26" x14ac:dyDescent="0.35">
      <c r="A70" t="s">
        <v>147</v>
      </c>
      <c r="B70" t="s">
        <v>35</v>
      </c>
      <c r="C70" s="73">
        <v>206</v>
      </c>
      <c r="D70" s="73">
        <v>3750</v>
      </c>
      <c r="E70" s="73">
        <v>3544</v>
      </c>
      <c r="F70" s="73">
        <v>0</v>
      </c>
      <c r="G70" s="73">
        <v>0</v>
      </c>
      <c r="H70" s="73">
        <v>0</v>
      </c>
      <c r="I70" s="73">
        <v>0</v>
      </c>
      <c r="J70" s="73">
        <v>41000</v>
      </c>
      <c r="K70" s="73">
        <v>41000</v>
      </c>
      <c r="L70" s="73">
        <v>0</v>
      </c>
      <c r="M70" s="73">
        <v>0</v>
      </c>
      <c r="N70" s="73">
        <v>4250</v>
      </c>
      <c r="O70" s="73">
        <v>4250</v>
      </c>
      <c r="P70" s="73">
        <v>69</v>
      </c>
      <c r="Q70" s="73">
        <v>0</v>
      </c>
      <c r="R70" s="73">
        <v>3200</v>
      </c>
      <c r="S70" s="73">
        <v>3131</v>
      </c>
      <c r="T70" s="73">
        <v>0</v>
      </c>
      <c r="U70" s="73">
        <v>330</v>
      </c>
      <c r="V70" s="73">
        <v>330</v>
      </c>
      <c r="W70" s="73">
        <v>20.9</v>
      </c>
      <c r="X70" s="73">
        <v>350</v>
      </c>
      <c r="Y70" s="73">
        <v>329.1</v>
      </c>
      <c r="Z70" s="73" t="str">
        <f>_xlfn.XLOOKUP(REALIZADO[[#This Row],[PDV]],PROJEÇÃO[PDV],PROJEÇÃO[COORDENAÇÃO])</f>
        <v>ARIEL</v>
      </c>
    </row>
    <row r="71" spans="1:26" x14ac:dyDescent="0.35">
      <c r="A71" t="s">
        <v>148</v>
      </c>
      <c r="B71" t="s">
        <v>50</v>
      </c>
      <c r="C71" s="73">
        <v>256</v>
      </c>
      <c r="D71" s="73">
        <v>3989.5832999999998</v>
      </c>
      <c r="E71" s="73">
        <v>3733.5832999999998</v>
      </c>
      <c r="F71" s="73">
        <v>0</v>
      </c>
      <c r="G71" s="73">
        <v>1666.6667</v>
      </c>
      <c r="H71" s="73">
        <v>1666.6667</v>
      </c>
      <c r="I71" s="73">
        <v>4599</v>
      </c>
      <c r="J71" s="73">
        <v>39375</v>
      </c>
      <c r="K71" s="73">
        <v>34776</v>
      </c>
      <c r="L71" s="73">
        <v>0</v>
      </c>
      <c r="M71" s="73">
        <v>0</v>
      </c>
      <c r="N71" s="73">
        <v>7500</v>
      </c>
      <c r="O71" s="73">
        <v>7500</v>
      </c>
      <c r="P71" s="73">
        <v>0</v>
      </c>
      <c r="Q71" s="73">
        <v>0</v>
      </c>
      <c r="R71" s="73">
        <v>2812.5</v>
      </c>
      <c r="S71" s="73">
        <v>2812.5</v>
      </c>
      <c r="T71" s="73">
        <v>16.899999999999999</v>
      </c>
      <c r="U71" s="73">
        <v>427.08330000000001</v>
      </c>
      <c r="V71" s="73">
        <v>410.18329999999997</v>
      </c>
      <c r="W71" s="73">
        <v>20.9</v>
      </c>
      <c r="X71" s="73">
        <v>291.66669999999999</v>
      </c>
      <c r="Y71" s="73">
        <v>270.76670000000001</v>
      </c>
      <c r="Z71" s="73" t="str">
        <f>_xlfn.XLOOKUP(REALIZADO[[#This Row],[PDV]],PROJEÇÃO[PDV],PROJEÇÃO[COORDENAÇÃO])</f>
        <v>THAYANDRA</v>
      </c>
    </row>
    <row r="72" spans="1:26" x14ac:dyDescent="0.35">
      <c r="A72" t="s">
        <v>149</v>
      </c>
      <c r="B72" t="s">
        <v>50</v>
      </c>
      <c r="C72" s="73">
        <v>506</v>
      </c>
      <c r="D72" s="73">
        <v>3989.5832999999998</v>
      </c>
      <c r="E72" s="73">
        <v>3483.5832999999998</v>
      </c>
      <c r="F72" s="73">
        <v>20</v>
      </c>
      <c r="G72" s="73">
        <v>1666.6667</v>
      </c>
      <c r="H72" s="73">
        <v>1646.6667</v>
      </c>
      <c r="I72" s="73">
        <v>799</v>
      </c>
      <c r="J72" s="73">
        <v>39375</v>
      </c>
      <c r="K72" s="73">
        <v>38576</v>
      </c>
      <c r="L72" s="73">
        <v>0</v>
      </c>
      <c r="M72" s="73">
        <v>229</v>
      </c>
      <c r="N72" s="73">
        <v>7500</v>
      </c>
      <c r="O72" s="73">
        <v>7271</v>
      </c>
      <c r="P72" s="73">
        <v>89</v>
      </c>
      <c r="Q72" s="73">
        <v>298</v>
      </c>
      <c r="R72" s="73">
        <v>2812.5</v>
      </c>
      <c r="S72" s="73">
        <v>2425.5</v>
      </c>
      <c r="T72" s="73">
        <v>33.799999999999997</v>
      </c>
      <c r="U72" s="73">
        <v>427.08330000000001</v>
      </c>
      <c r="V72" s="73">
        <v>393.2833</v>
      </c>
      <c r="W72" s="73">
        <v>0</v>
      </c>
      <c r="X72" s="73">
        <v>291.66669999999999</v>
      </c>
      <c r="Y72" s="73">
        <v>291.66669999999999</v>
      </c>
      <c r="Z72" s="73" t="str">
        <f>_xlfn.XLOOKUP(REALIZADO[[#This Row],[PDV]],PROJEÇÃO[PDV],PROJEÇÃO[COORDENAÇÃO])</f>
        <v>THAYANDRA</v>
      </c>
    </row>
    <row r="73" spans="1:26" x14ac:dyDescent="0.35">
      <c r="A73" t="s">
        <v>150</v>
      </c>
      <c r="B73" t="s">
        <v>50</v>
      </c>
      <c r="C73" s="73">
        <v>398.75</v>
      </c>
      <c r="D73" s="73">
        <v>3989.5832999999998</v>
      </c>
      <c r="E73" s="73">
        <v>3590.8332999999998</v>
      </c>
      <c r="F73" s="73">
        <v>40</v>
      </c>
      <c r="G73" s="73">
        <v>1666.6667</v>
      </c>
      <c r="H73" s="73">
        <v>1626.6667</v>
      </c>
      <c r="I73" s="73">
        <v>5297</v>
      </c>
      <c r="J73" s="73">
        <v>39375</v>
      </c>
      <c r="K73" s="73">
        <v>34078</v>
      </c>
      <c r="L73" s="73">
        <v>0</v>
      </c>
      <c r="M73" s="73">
        <v>0</v>
      </c>
      <c r="N73" s="73">
        <v>7500</v>
      </c>
      <c r="O73" s="73">
        <v>7500</v>
      </c>
      <c r="P73" s="73">
        <v>0</v>
      </c>
      <c r="Q73" s="73">
        <v>296</v>
      </c>
      <c r="R73" s="73">
        <v>2812.5</v>
      </c>
      <c r="S73" s="73">
        <v>2516.5</v>
      </c>
      <c r="T73" s="73">
        <v>30.8</v>
      </c>
      <c r="U73" s="73">
        <v>427.08330000000001</v>
      </c>
      <c r="V73" s="73">
        <v>396.2833</v>
      </c>
      <c r="W73" s="73">
        <v>189.6</v>
      </c>
      <c r="X73" s="73">
        <v>291.66669999999999</v>
      </c>
      <c r="Y73" s="73">
        <v>102.0667</v>
      </c>
      <c r="Z73" s="73" t="str">
        <f>_xlfn.XLOOKUP(REALIZADO[[#This Row],[PDV]],PROJEÇÃO[PDV],PROJEÇÃO[COORDENAÇÃO])</f>
        <v>THAYANDRA</v>
      </c>
    </row>
    <row r="74" spans="1:26" x14ac:dyDescent="0.35">
      <c r="A74" t="s">
        <v>151</v>
      </c>
      <c r="B74" t="s">
        <v>50</v>
      </c>
      <c r="C74" s="73">
        <v>445</v>
      </c>
      <c r="D74" s="73">
        <v>3191.6667000000002</v>
      </c>
      <c r="E74" s="73">
        <v>2746.6667000000002</v>
      </c>
      <c r="F74" s="73">
        <v>90</v>
      </c>
      <c r="G74" s="73">
        <v>1333.3333</v>
      </c>
      <c r="H74" s="73">
        <v>1243.3333</v>
      </c>
      <c r="I74" s="73">
        <v>0</v>
      </c>
      <c r="J74" s="73">
        <v>31500</v>
      </c>
      <c r="K74" s="73">
        <v>31500</v>
      </c>
      <c r="L74" s="73">
        <v>0</v>
      </c>
      <c r="M74" s="73">
        <v>0</v>
      </c>
      <c r="N74" s="73">
        <v>6000</v>
      </c>
      <c r="O74" s="73">
        <v>6000</v>
      </c>
      <c r="P74" s="73">
        <v>0</v>
      </c>
      <c r="Q74" s="73">
        <v>0</v>
      </c>
      <c r="R74" s="73">
        <v>2250</v>
      </c>
      <c r="S74" s="73">
        <v>2250</v>
      </c>
      <c r="T74" s="73">
        <v>34.9</v>
      </c>
      <c r="U74" s="73">
        <v>341.66669999999999</v>
      </c>
      <c r="V74" s="73">
        <v>306.76670000000001</v>
      </c>
      <c r="W74" s="73">
        <v>0</v>
      </c>
      <c r="X74" s="73">
        <v>233.33330000000001</v>
      </c>
      <c r="Y74" s="73">
        <v>233.33330000000001</v>
      </c>
      <c r="Z74" s="73" t="str">
        <f>_xlfn.XLOOKUP(REALIZADO[[#This Row],[PDV]],PROJEÇÃO[PDV],PROJEÇÃO[COORDENAÇÃO])</f>
        <v>THAYANDRA</v>
      </c>
    </row>
    <row r="75" spans="1:26" x14ac:dyDescent="0.35">
      <c r="A75" t="s">
        <v>152</v>
      </c>
      <c r="B75" t="s">
        <v>50</v>
      </c>
      <c r="C75" s="73">
        <v>431.77</v>
      </c>
      <c r="D75" s="73">
        <v>3989.5832999999998</v>
      </c>
      <c r="E75" s="73">
        <v>3557.8132999999998</v>
      </c>
      <c r="F75" s="73">
        <v>162</v>
      </c>
      <c r="G75" s="73">
        <v>1666.6667</v>
      </c>
      <c r="H75" s="73">
        <v>1504.6667</v>
      </c>
      <c r="I75" s="73">
        <v>8197</v>
      </c>
      <c r="J75" s="73">
        <v>39375</v>
      </c>
      <c r="K75" s="73">
        <v>31178</v>
      </c>
      <c r="L75" s="73">
        <v>0</v>
      </c>
      <c r="M75" s="73">
        <v>4747</v>
      </c>
      <c r="N75" s="73">
        <v>7500</v>
      </c>
      <c r="O75" s="73">
        <v>2753</v>
      </c>
      <c r="P75" s="73">
        <v>407</v>
      </c>
      <c r="Q75" s="73">
        <v>79</v>
      </c>
      <c r="R75" s="73">
        <v>2812.5</v>
      </c>
      <c r="S75" s="73">
        <v>2326.5</v>
      </c>
      <c r="T75" s="73">
        <v>68.7</v>
      </c>
      <c r="U75" s="73">
        <v>427.08330000000001</v>
      </c>
      <c r="V75" s="73">
        <v>358.38330000000002</v>
      </c>
      <c r="W75" s="73">
        <v>24.98</v>
      </c>
      <c r="X75" s="73">
        <v>291.66669999999999</v>
      </c>
      <c r="Y75" s="73">
        <v>266.68669999999997</v>
      </c>
      <c r="Z75" s="73" t="str">
        <f>_xlfn.XLOOKUP(REALIZADO[[#This Row],[PDV]],PROJEÇÃO[PDV],PROJEÇÃO[COORDENAÇÃO])</f>
        <v>THAYANDRA</v>
      </c>
    </row>
    <row r="76" spans="1:26" x14ac:dyDescent="0.35">
      <c r="A76" t="s">
        <v>153</v>
      </c>
      <c r="B76" t="s">
        <v>27</v>
      </c>
      <c r="C76" s="73">
        <v>0</v>
      </c>
      <c r="D76" s="73">
        <v>0</v>
      </c>
      <c r="E76" s="73">
        <v>0</v>
      </c>
      <c r="F76" s="73">
        <v>0</v>
      </c>
      <c r="G76" s="73">
        <v>0</v>
      </c>
      <c r="H76" s="73">
        <v>0</v>
      </c>
      <c r="I76" s="73">
        <v>0</v>
      </c>
      <c r="J76" s="73">
        <v>0</v>
      </c>
      <c r="K76" s="73">
        <v>0</v>
      </c>
      <c r="L76" s="73">
        <v>0</v>
      </c>
      <c r="M76" s="73">
        <v>0</v>
      </c>
      <c r="N76" s="73">
        <v>0</v>
      </c>
      <c r="O76" s="73">
        <v>0</v>
      </c>
      <c r="P76" s="73">
        <v>0</v>
      </c>
      <c r="Q76" s="73">
        <v>0</v>
      </c>
      <c r="R76" s="73">
        <v>0</v>
      </c>
      <c r="S76" s="73">
        <v>0</v>
      </c>
      <c r="T76" s="73">
        <v>0</v>
      </c>
      <c r="U76" s="73">
        <v>0</v>
      </c>
      <c r="V76" s="73">
        <v>0</v>
      </c>
      <c r="W76" s="73">
        <v>0</v>
      </c>
      <c r="X76" s="73">
        <v>0</v>
      </c>
      <c r="Y76" s="73">
        <v>0</v>
      </c>
      <c r="Z76" s="73" t="str">
        <f>_xlfn.XLOOKUP(REALIZADO[[#This Row],[PDV]],PROJEÇÃO[PDV],PROJEÇÃO[COORDENAÇÃO])</f>
        <v>ARIEL</v>
      </c>
    </row>
    <row r="77" spans="1:26" x14ac:dyDescent="0.35">
      <c r="A77" t="s">
        <v>154</v>
      </c>
      <c r="B77" t="s">
        <v>30</v>
      </c>
      <c r="C77" s="73">
        <v>0</v>
      </c>
      <c r="D77" s="73">
        <v>0</v>
      </c>
      <c r="E77" s="73">
        <v>0</v>
      </c>
      <c r="F77" s="73">
        <v>0</v>
      </c>
      <c r="G77" s="73">
        <v>0</v>
      </c>
      <c r="H77" s="73">
        <v>0</v>
      </c>
      <c r="I77" s="73">
        <v>0</v>
      </c>
      <c r="J77" s="73">
        <v>0</v>
      </c>
      <c r="K77" s="73">
        <v>0</v>
      </c>
      <c r="L77" s="73">
        <v>0</v>
      </c>
      <c r="M77" s="73">
        <v>0</v>
      </c>
      <c r="N77" s="73">
        <v>0</v>
      </c>
      <c r="O77" s="73">
        <v>0</v>
      </c>
      <c r="P77" s="73">
        <v>0</v>
      </c>
      <c r="Q77" s="73">
        <v>0</v>
      </c>
      <c r="R77" s="73">
        <v>0</v>
      </c>
      <c r="S77" s="73">
        <v>0</v>
      </c>
      <c r="T77" s="73">
        <v>0</v>
      </c>
      <c r="U77" s="73">
        <v>0</v>
      </c>
      <c r="V77" s="73">
        <v>0</v>
      </c>
      <c r="W77" s="73">
        <v>0</v>
      </c>
      <c r="X77" s="73">
        <v>0</v>
      </c>
      <c r="Y77" s="73">
        <v>0</v>
      </c>
      <c r="Z77" s="73" t="str">
        <f>_xlfn.XLOOKUP(REALIZADO[[#This Row],[PDV]],PROJEÇÃO[PDV],PROJEÇÃO[COORDENAÇÃO])</f>
        <v>ARIEL</v>
      </c>
    </row>
    <row r="78" spans="1:26" x14ac:dyDescent="0.35">
      <c r="A78" t="s">
        <v>155</v>
      </c>
      <c r="B78" t="s">
        <v>44</v>
      </c>
      <c r="C78" s="73">
        <v>0</v>
      </c>
      <c r="D78" s="73">
        <v>0</v>
      </c>
      <c r="E78" s="73">
        <v>0</v>
      </c>
      <c r="F78" s="73">
        <v>0</v>
      </c>
      <c r="G78" s="73">
        <v>0</v>
      </c>
      <c r="H78" s="73">
        <v>0</v>
      </c>
      <c r="I78" s="73">
        <v>0</v>
      </c>
      <c r="J78" s="73">
        <v>0</v>
      </c>
      <c r="K78" s="73">
        <v>0</v>
      </c>
      <c r="L78" s="73">
        <v>0</v>
      </c>
      <c r="M78" s="73">
        <v>0</v>
      </c>
      <c r="N78" s="73">
        <v>0</v>
      </c>
      <c r="O78" s="73">
        <v>0</v>
      </c>
      <c r="P78" s="73">
        <v>0</v>
      </c>
      <c r="Q78" s="73">
        <v>0</v>
      </c>
      <c r="R78" s="73">
        <v>0</v>
      </c>
      <c r="S78" s="73">
        <v>0</v>
      </c>
      <c r="T78" s="73">
        <v>0</v>
      </c>
      <c r="U78" s="73">
        <v>0</v>
      </c>
      <c r="V78" s="73">
        <v>0</v>
      </c>
      <c r="W78" s="73">
        <v>0</v>
      </c>
      <c r="X78" s="73">
        <v>0</v>
      </c>
      <c r="Y78" s="73">
        <v>0</v>
      </c>
      <c r="Z78" s="73" t="str">
        <f>_xlfn.XLOOKUP(REALIZADO[[#This Row],[PDV]],PROJEÇÃO[PDV],PROJEÇÃO[COORDENAÇÃO])</f>
        <v>THAYANDRA</v>
      </c>
    </row>
    <row r="79" spans="1:26" x14ac:dyDescent="0.35">
      <c r="A79" t="s">
        <v>156</v>
      </c>
      <c r="B79" t="s">
        <v>31</v>
      </c>
      <c r="C79" s="73">
        <v>0</v>
      </c>
      <c r="D79" s="73">
        <v>0</v>
      </c>
      <c r="E79" s="73">
        <v>0</v>
      </c>
      <c r="F79" s="73">
        <v>0</v>
      </c>
      <c r="G79" s="73">
        <v>0</v>
      </c>
      <c r="H79" s="73">
        <v>0</v>
      </c>
      <c r="I79" s="73">
        <v>0</v>
      </c>
      <c r="J79" s="73">
        <v>0</v>
      </c>
      <c r="K79" s="73">
        <v>0</v>
      </c>
      <c r="L79" s="73">
        <v>0</v>
      </c>
      <c r="M79" s="73">
        <v>0</v>
      </c>
      <c r="N79" s="73">
        <v>0</v>
      </c>
      <c r="O79" s="73">
        <v>0</v>
      </c>
      <c r="P79" s="73">
        <v>0</v>
      </c>
      <c r="Q79" s="73">
        <v>0</v>
      </c>
      <c r="R79" s="73">
        <v>0</v>
      </c>
      <c r="S79" s="73">
        <v>0</v>
      </c>
      <c r="T79" s="73">
        <v>0</v>
      </c>
      <c r="U79" s="73">
        <v>0</v>
      </c>
      <c r="V79" s="73">
        <v>0</v>
      </c>
      <c r="W79" s="73">
        <v>0</v>
      </c>
      <c r="X79" s="73">
        <v>0</v>
      </c>
      <c r="Y79" s="73">
        <v>0</v>
      </c>
      <c r="Z79" s="73" t="str">
        <f>_xlfn.XLOOKUP(REALIZADO[[#This Row],[PDV]],PROJEÇÃO[PDV],PROJEÇÃO[COORDENAÇÃO])</f>
        <v>ARIEL</v>
      </c>
    </row>
    <row r="80" spans="1:26" x14ac:dyDescent="0.35">
      <c r="A80" t="s">
        <v>157</v>
      </c>
      <c r="B80" t="s">
        <v>49</v>
      </c>
      <c r="C80" s="73">
        <v>174</v>
      </c>
      <c r="D80" s="73">
        <v>0</v>
      </c>
      <c r="E80" s="73">
        <v>-174</v>
      </c>
      <c r="F80" s="73">
        <v>0</v>
      </c>
      <c r="G80" s="73">
        <v>0</v>
      </c>
      <c r="H80" s="73">
        <v>0</v>
      </c>
      <c r="I80" s="73">
        <v>0</v>
      </c>
      <c r="J80" s="73">
        <v>0</v>
      </c>
      <c r="K80" s="73">
        <v>0</v>
      </c>
      <c r="L80" s="73">
        <v>0</v>
      </c>
      <c r="M80" s="73">
        <v>0</v>
      </c>
      <c r="N80" s="73">
        <v>0</v>
      </c>
      <c r="O80" s="73">
        <v>0</v>
      </c>
      <c r="P80" s="73">
        <v>0</v>
      </c>
      <c r="Q80" s="73">
        <v>0</v>
      </c>
      <c r="R80" s="73">
        <v>0</v>
      </c>
      <c r="S80" s="73">
        <v>0</v>
      </c>
      <c r="T80" s="73">
        <v>0</v>
      </c>
      <c r="U80" s="73">
        <v>0</v>
      </c>
      <c r="V80" s="73">
        <v>0</v>
      </c>
      <c r="W80" s="73">
        <v>0</v>
      </c>
      <c r="X80" s="73">
        <v>0</v>
      </c>
      <c r="Y80" s="73">
        <v>0</v>
      </c>
      <c r="Z80" s="73" t="str">
        <f>_xlfn.XLOOKUP(REALIZADO[[#This Row],[PDV]],PROJEÇÃO[PDV],PROJEÇÃO[COORDENAÇÃO])</f>
        <v>THAYANDRA</v>
      </c>
    </row>
    <row r="81" spans="1:26" x14ac:dyDescent="0.35">
      <c r="A81" t="s">
        <v>158</v>
      </c>
      <c r="B81" t="s">
        <v>50</v>
      </c>
      <c r="C81" s="73">
        <v>0</v>
      </c>
      <c r="D81" s="73">
        <v>0</v>
      </c>
      <c r="E81" s="73">
        <v>0</v>
      </c>
      <c r="F81" s="73">
        <v>0</v>
      </c>
      <c r="G81" s="73">
        <v>0</v>
      </c>
      <c r="H81" s="73">
        <v>0</v>
      </c>
      <c r="I81" s="73">
        <v>0</v>
      </c>
      <c r="J81" s="73">
        <v>0</v>
      </c>
      <c r="K81" s="73">
        <v>0</v>
      </c>
      <c r="L81" s="73">
        <v>0</v>
      </c>
      <c r="M81" s="73">
        <v>0</v>
      </c>
      <c r="N81" s="73">
        <v>0</v>
      </c>
      <c r="O81" s="73">
        <v>0</v>
      </c>
      <c r="P81" s="73">
        <v>0</v>
      </c>
      <c r="Q81" s="73">
        <v>0</v>
      </c>
      <c r="R81" s="73">
        <v>0</v>
      </c>
      <c r="S81" s="73">
        <v>0</v>
      </c>
      <c r="T81" s="73">
        <v>0</v>
      </c>
      <c r="U81" s="73">
        <v>0</v>
      </c>
      <c r="V81" s="73">
        <v>0</v>
      </c>
      <c r="W81" s="73">
        <v>0</v>
      </c>
      <c r="X81" s="73">
        <v>0</v>
      </c>
      <c r="Y81" s="73">
        <v>0</v>
      </c>
      <c r="Z81" s="73" t="str">
        <f>_xlfn.XLOOKUP(REALIZADO[[#This Row],[PDV]],PROJEÇÃO[PDV],PROJEÇÃO[COORDENAÇÃO])</f>
        <v>THAYANDRA</v>
      </c>
    </row>
    <row r="82" spans="1:26" x14ac:dyDescent="0.35">
      <c r="A82" t="s">
        <v>159</v>
      </c>
      <c r="B82" t="s">
        <v>29</v>
      </c>
      <c r="C82" s="73">
        <v>0</v>
      </c>
      <c r="D82" s="73">
        <v>0</v>
      </c>
      <c r="E82" s="73">
        <v>0</v>
      </c>
      <c r="F82" s="73">
        <v>0</v>
      </c>
      <c r="G82" s="73">
        <v>0</v>
      </c>
      <c r="H82" s="73">
        <v>0</v>
      </c>
      <c r="I82" s="73">
        <v>0</v>
      </c>
      <c r="J82" s="73">
        <v>0</v>
      </c>
      <c r="K82" s="73">
        <v>0</v>
      </c>
      <c r="L82" s="73">
        <v>0</v>
      </c>
      <c r="M82" s="73">
        <v>0</v>
      </c>
      <c r="N82" s="73">
        <v>0</v>
      </c>
      <c r="O82" s="73">
        <v>0</v>
      </c>
      <c r="P82" s="73">
        <v>0</v>
      </c>
      <c r="Q82" s="73">
        <v>0</v>
      </c>
      <c r="R82" s="73">
        <v>0</v>
      </c>
      <c r="S82" s="73">
        <v>0</v>
      </c>
      <c r="T82" s="73">
        <v>0</v>
      </c>
      <c r="U82" s="73">
        <v>0</v>
      </c>
      <c r="V82" s="73">
        <v>0</v>
      </c>
      <c r="W82" s="73">
        <v>0</v>
      </c>
      <c r="X82" s="73">
        <v>0</v>
      </c>
      <c r="Y82" s="73">
        <v>0</v>
      </c>
      <c r="Z82" s="73" t="str">
        <f>_xlfn.XLOOKUP(REALIZADO[[#This Row],[PDV]],PROJEÇÃO[PDV],PROJEÇÃO[COORDENAÇÃO])</f>
        <v>ARIEL</v>
      </c>
    </row>
    <row r="83" spans="1:26" x14ac:dyDescent="0.35">
      <c r="A83" t="s">
        <v>160</v>
      </c>
      <c r="B83" t="s">
        <v>36</v>
      </c>
      <c r="C83" s="73">
        <v>0</v>
      </c>
      <c r="D83" s="73">
        <v>0</v>
      </c>
      <c r="E83" s="73">
        <v>0</v>
      </c>
      <c r="F83" s="73">
        <v>0</v>
      </c>
      <c r="G83" s="73">
        <v>0</v>
      </c>
      <c r="H83" s="73">
        <v>0</v>
      </c>
      <c r="I83" s="73">
        <v>0</v>
      </c>
      <c r="J83" s="73">
        <v>0</v>
      </c>
      <c r="K83" s="73">
        <v>0</v>
      </c>
      <c r="L83" s="73">
        <v>0</v>
      </c>
      <c r="M83" s="73">
        <v>0</v>
      </c>
      <c r="N83" s="73">
        <v>0</v>
      </c>
      <c r="O83" s="73">
        <v>0</v>
      </c>
      <c r="P83" s="73">
        <v>0</v>
      </c>
      <c r="Q83" s="73">
        <v>0</v>
      </c>
      <c r="R83" s="73">
        <v>0</v>
      </c>
      <c r="S83" s="73">
        <v>0</v>
      </c>
      <c r="T83" s="73">
        <v>0</v>
      </c>
      <c r="U83" s="73">
        <v>0</v>
      </c>
      <c r="V83" s="73">
        <v>0</v>
      </c>
      <c r="W83" s="73">
        <v>0</v>
      </c>
      <c r="X83" s="73">
        <v>0</v>
      </c>
      <c r="Y83" s="73">
        <v>0</v>
      </c>
      <c r="Z83" s="73" t="str">
        <f>_xlfn.XLOOKUP(REALIZADO[[#This Row],[PDV]],PROJEÇÃO[PDV],PROJEÇÃO[COORDENAÇÃO])</f>
        <v>LUIZ</v>
      </c>
    </row>
    <row r="84" spans="1:26" x14ac:dyDescent="0.35">
      <c r="A84" t="s">
        <v>161</v>
      </c>
      <c r="B84" t="s">
        <v>38</v>
      </c>
      <c r="C84" s="73">
        <v>0</v>
      </c>
      <c r="D84" s="73">
        <v>0</v>
      </c>
      <c r="E84" s="73">
        <v>0</v>
      </c>
      <c r="F84" s="73">
        <v>0</v>
      </c>
      <c r="G84" s="73">
        <v>0</v>
      </c>
      <c r="H84" s="73">
        <v>0</v>
      </c>
      <c r="I84" s="73">
        <v>0</v>
      </c>
      <c r="J84" s="73">
        <v>0</v>
      </c>
      <c r="K84" s="73">
        <v>0</v>
      </c>
      <c r="L84" s="73">
        <v>0</v>
      </c>
      <c r="M84" s="73">
        <v>0</v>
      </c>
      <c r="N84" s="73">
        <v>0</v>
      </c>
      <c r="O84" s="73">
        <v>0</v>
      </c>
      <c r="P84" s="73">
        <v>0</v>
      </c>
      <c r="Q84" s="73">
        <v>0</v>
      </c>
      <c r="R84" s="73">
        <v>0</v>
      </c>
      <c r="S84" s="73">
        <v>0</v>
      </c>
      <c r="T84" s="73">
        <v>0</v>
      </c>
      <c r="U84" s="73">
        <v>0</v>
      </c>
      <c r="V84" s="73">
        <v>0</v>
      </c>
      <c r="W84" s="73">
        <v>0</v>
      </c>
      <c r="X84" s="73">
        <v>0</v>
      </c>
      <c r="Y84" s="73">
        <v>0</v>
      </c>
      <c r="Z84" s="73" t="str">
        <f>_xlfn.XLOOKUP(REALIZADO[[#This Row],[PDV]],PROJEÇÃO[PDV],PROJEÇÃO[COORDENAÇÃO])</f>
        <v>LUIZ</v>
      </c>
    </row>
    <row r="85" spans="1:26" x14ac:dyDescent="0.35">
      <c r="A85" t="s">
        <v>162</v>
      </c>
      <c r="B85" t="s">
        <v>43</v>
      </c>
      <c r="C85" s="73">
        <v>0</v>
      </c>
      <c r="D85" s="73">
        <v>0</v>
      </c>
      <c r="E85" s="73">
        <v>0</v>
      </c>
      <c r="F85" s="73">
        <v>0</v>
      </c>
      <c r="G85" s="73">
        <v>0</v>
      </c>
      <c r="H85" s="73">
        <v>0</v>
      </c>
      <c r="I85" s="73">
        <v>0</v>
      </c>
      <c r="J85" s="73">
        <v>0</v>
      </c>
      <c r="K85" s="73">
        <v>0</v>
      </c>
      <c r="L85" s="73">
        <v>0</v>
      </c>
      <c r="M85" s="73">
        <v>0</v>
      </c>
      <c r="N85" s="73">
        <v>0</v>
      </c>
      <c r="O85" s="73">
        <v>0</v>
      </c>
      <c r="P85" s="73">
        <v>0</v>
      </c>
      <c r="Q85" s="73">
        <v>0</v>
      </c>
      <c r="R85" s="73">
        <v>0</v>
      </c>
      <c r="S85" s="73">
        <v>0</v>
      </c>
      <c r="T85" s="73">
        <v>0</v>
      </c>
      <c r="U85" s="73">
        <v>0</v>
      </c>
      <c r="V85" s="73">
        <v>0</v>
      </c>
      <c r="W85" s="73">
        <v>0</v>
      </c>
      <c r="X85" s="73">
        <v>0</v>
      </c>
      <c r="Y85" s="73">
        <v>0</v>
      </c>
      <c r="Z85" s="73" t="str">
        <f>_xlfn.XLOOKUP(REALIZADO[[#This Row],[PDV]],PROJEÇÃO[PDV],PROJEÇÃO[COORDENAÇÃO])</f>
        <v>LUIZ</v>
      </c>
    </row>
    <row r="86" spans="1:26" x14ac:dyDescent="0.35">
      <c r="A86" t="s">
        <v>163</v>
      </c>
      <c r="B86" t="s">
        <v>40</v>
      </c>
      <c r="C86" s="73">
        <v>227.75</v>
      </c>
      <c r="D86" s="73">
        <v>0</v>
      </c>
      <c r="E86" s="73">
        <v>-227.75</v>
      </c>
      <c r="F86" s="73">
        <v>200</v>
      </c>
      <c r="G86" s="73">
        <v>0</v>
      </c>
      <c r="H86" s="73">
        <v>-200</v>
      </c>
      <c r="I86" s="73">
        <v>2399</v>
      </c>
      <c r="J86" s="73">
        <v>0</v>
      </c>
      <c r="K86" s="73">
        <v>-2399</v>
      </c>
      <c r="L86" s="73">
        <v>0</v>
      </c>
      <c r="M86" s="73">
        <v>999</v>
      </c>
      <c r="N86" s="73">
        <v>0</v>
      </c>
      <c r="O86" s="73">
        <v>-999</v>
      </c>
      <c r="P86" s="73">
        <v>89</v>
      </c>
      <c r="Q86" s="73">
        <v>129</v>
      </c>
      <c r="R86" s="73">
        <v>0</v>
      </c>
      <c r="S86" s="73">
        <v>-218</v>
      </c>
      <c r="T86" s="73">
        <v>0</v>
      </c>
      <c r="U86" s="73">
        <v>0</v>
      </c>
      <c r="V86" s="73">
        <v>0</v>
      </c>
      <c r="W86" s="73">
        <v>0</v>
      </c>
      <c r="X86" s="73">
        <v>0</v>
      </c>
      <c r="Y86" s="73">
        <v>0</v>
      </c>
      <c r="Z86" s="73" t="str">
        <f>_xlfn.XLOOKUP(REALIZADO[[#This Row],[PDV]],PROJEÇÃO[PDV],PROJEÇÃO[COORDENAÇÃO])</f>
        <v>THAYANDRA</v>
      </c>
    </row>
    <row r="87" spans="1:26" x14ac:dyDescent="0.35">
      <c r="A87" t="s">
        <v>164</v>
      </c>
      <c r="B87" t="s">
        <v>46</v>
      </c>
      <c r="C87" s="73">
        <v>0</v>
      </c>
      <c r="D87" s="73">
        <v>0</v>
      </c>
      <c r="E87" s="73">
        <v>0</v>
      </c>
      <c r="F87" s="73">
        <v>0</v>
      </c>
      <c r="G87" s="73">
        <v>0</v>
      </c>
      <c r="H87" s="73">
        <v>0</v>
      </c>
      <c r="I87" s="73">
        <v>0</v>
      </c>
      <c r="J87" s="73">
        <v>0</v>
      </c>
      <c r="K87" s="73">
        <v>0</v>
      </c>
      <c r="L87" s="73">
        <v>0</v>
      </c>
      <c r="M87" s="73">
        <v>0</v>
      </c>
      <c r="N87" s="73">
        <v>0</v>
      </c>
      <c r="O87" s="73">
        <v>0</v>
      </c>
      <c r="P87" s="73">
        <v>0</v>
      </c>
      <c r="Q87" s="73">
        <v>0</v>
      </c>
      <c r="R87" s="73">
        <v>0</v>
      </c>
      <c r="S87" s="73">
        <v>0</v>
      </c>
      <c r="T87" s="73">
        <v>0</v>
      </c>
      <c r="U87" s="73">
        <v>0</v>
      </c>
      <c r="V87" s="73">
        <v>0</v>
      </c>
      <c r="W87" s="73">
        <v>0</v>
      </c>
      <c r="X87" s="73">
        <v>0</v>
      </c>
      <c r="Y87" s="73">
        <v>0</v>
      </c>
      <c r="Z87" s="73" t="str">
        <f>_xlfn.XLOOKUP(REALIZADO[[#This Row],[PDV]],PROJEÇÃO[PDV],PROJEÇÃO[COORDENAÇÃO])</f>
        <v>THAYANDRA</v>
      </c>
    </row>
    <row r="88" spans="1:26" x14ac:dyDescent="0.35">
      <c r="A88" t="s">
        <v>165</v>
      </c>
      <c r="B88" t="s">
        <v>47</v>
      </c>
      <c r="C88" s="73">
        <v>0</v>
      </c>
      <c r="D88" s="73">
        <v>0</v>
      </c>
      <c r="E88" s="73">
        <v>0</v>
      </c>
      <c r="F88" s="73">
        <v>0</v>
      </c>
      <c r="G88" s="73">
        <v>0</v>
      </c>
      <c r="H88" s="73">
        <v>0</v>
      </c>
      <c r="I88" s="73">
        <v>0</v>
      </c>
      <c r="J88" s="73">
        <v>0</v>
      </c>
      <c r="K88" s="73">
        <v>0</v>
      </c>
      <c r="L88" s="73">
        <v>0</v>
      </c>
      <c r="M88" s="73">
        <v>0</v>
      </c>
      <c r="N88" s="73">
        <v>0</v>
      </c>
      <c r="O88" s="73">
        <v>0</v>
      </c>
      <c r="P88" s="73">
        <v>0</v>
      </c>
      <c r="Q88" s="73">
        <v>0</v>
      </c>
      <c r="R88" s="73">
        <v>0</v>
      </c>
      <c r="S88" s="73">
        <v>0</v>
      </c>
      <c r="T88" s="73">
        <v>0</v>
      </c>
      <c r="U88" s="73">
        <v>0</v>
      </c>
      <c r="V88" s="73">
        <v>0</v>
      </c>
      <c r="W88" s="73">
        <v>0</v>
      </c>
      <c r="X88" s="73">
        <v>0</v>
      </c>
      <c r="Y88" s="73">
        <v>0</v>
      </c>
      <c r="Z88" s="73" t="str">
        <f>_xlfn.XLOOKUP(REALIZADO[[#This Row],[PDV]],PROJEÇÃO[PDV],PROJEÇÃO[COORDENAÇÃO])</f>
        <v>LUIZ</v>
      </c>
    </row>
    <row r="89" spans="1:26" x14ac:dyDescent="0.35">
      <c r="A89" t="s">
        <v>166</v>
      </c>
      <c r="B89" t="s">
        <v>41</v>
      </c>
      <c r="C89" s="73">
        <v>0</v>
      </c>
      <c r="D89" s="73">
        <v>0</v>
      </c>
      <c r="E89" s="73">
        <v>0</v>
      </c>
      <c r="F89" s="73">
        <v>0</v>
      </c>
      <c r="G89" s="73">
        <v>0</v>
      </c>
      <c r="H89" s="73">
        <v>0</v>
      </c>
      <c r="I89" s="73">
        <v>0</v>
      </c>
      <c r="J89" s="73">
        <v>0</v>
      </c>
      <c r="K89" s="73">
        <v>0</v>
      </c>
      <c r="L89" s="73">
        <v>0</v>
      </c>
      <c r="M89" s="73">
        <v>0</v>
      </c>
      <c r="N89" s="73">
        <v>0</v>
      </c>
      <c r="O89" s="73">
        <v>0</v>
      </c>
      <c r="P89" s="73">
        <v>0</v>
      </c>
      <c r="Q89" s="73">
        <v>0</v>
      </c>
      <c r="R89" s="73">
        <v>0</v>
      </c>
      <c r="S89" s="73">
        <v>0</v>
      </c>
      <c r="T89" s="73">
        <v>0</v>
      </c>
      <c r="U89" s="73">
        <v>0</v>
      </c>
      <c r="V89" s="73">
        <v>0</v>
      </c>
      <c r="W89" s="73">
        <v>0</v>
      </c>
      <c r="X89" s="73">
        <v>0</v>
      </c>
      <c r="Y89" s="73">
        <v>0</v>
      </c>
      <c r="Z89" s="73" t="str">
        <f>_xlfn.XLOOKUP(REALIZADO[[#This Row],[PDV]],PROJEÇÃO[PDV],PROJEÇÃO[COORDENAÇÃO])</f>
        <v>LUIZ</v>
      </c>
    </row>
    <row r="90" spans="1:26" x14ac:dyDescent="0.35">
      <c r="A90" t="s">
        <v>167</v>
      </c>
      <c r="B90" t="s">
        <v>48</v>
      </c>
      <c r="C90" s="73">
        <v>0</v>
      </c>
      <c r="D90" s="73">
        <v>0</v>
      </c>
      <c r="E90" s="73">
        <v>0</v>
      </c>
      <c r="F90" s="73">
        <v>0</v>
      </c>
      <c r="G90" s="73">
        <v>0</v>
      </c>
      <c r="H90" s="73">
        <v>0</v>
      </c>
      <c r="I90" s="73">
        <v>0</v>
      </c>
      <c r="J90" s="73">
        <v>0</v>
      </c>
      <c r="K90" s="73">
        <v>0</v>
      </c>
      <c r="L90" s="73">
        <v>0</v>
      </c>
      <c r="M90" s="73">
        <v>0</v>
      </c>
      <c r="N90" s="73">
        <v>0</v>
      </c>
      <c r="O90" s="73">
        <v>0</v>
      </c>
      <c r="P90" s="73">
        <v>0</v>
      </c>
      <c r="Q90" s="73">
        <v>0</v>
      </c>
      <c r="R90" s="73">
        <v>0</v>
      </c>
      <c r="S90" s="73">
        <v>0</v>
      </c>
      <c r="T90" s="73">
        <v>0</v>
      </c>
      <c r="U90" s="73">
        <v>0</v>
      </c>
      <c r="V90" s="73">
        <v>0</v>
      </c>
      <c r="W90" s="73">
        <v>0</v>
      </c>
      <c r="X90" s="73">
        <v>0</v>
      </c>
      <c r="Y90" s="73">
        <v>0</v>
      </c>
      <c r="Z90" s="73" t="str">
        <f>_xlfn.XLOOKUP(REALIZADO[[#This Row],[PDV]],PROJEÇÃO[PDV],PROJEÇÃO[COORDENAÇÃO])</f>
        <v>THAYANDRA</v>
      </c>
    </row>
    <row r="91" spans="1:26" x14ac:dyDescent="0.35">
      <c r="A91" t="s">
        <v>168</v>
      </c>
      <c r="B91" t="s">
        <v>42</v>
      </c>
      <c r="C91" s="73">
        <v>0</v>
      </c>
      <c r="D91" s="73">
        <v>0</v>
      </c>
      <c r="E91" s="73">
        <v>0</v>
      </c>
      <c r="F91" s="73">
        <v>0</v>
      </c>
      <c r="G91" s="73">
        <v>0</v>
      </c>
      <c r="H91" s="73">
        <v>0</v>
      </c>
      <c r="I91" s="73">
        <v>0</v>
      </c>
      <c r="J91" s="73">
        <v>0</v>
      </c>
      <c r="K91" s="73">
        <v>0</v>
      </c>
      <c r="L91" s="73">
        <v>0</v>
      </c>
      <c r="M91" s="73">
        <v>0</v>
      </c>
      <c r="N91" s="73">
        <v>0</v>
      </c>
      <c r="O91" s="73">
        <v>0</v>
      </c>
      <c r="P91" s="73">
        <v>0</v>
      </c>
      <c r="Q91" s="73">
        <v>0</v>
      </c>
      <c r="R91" s="73">
        <v>0</v>
      </c>
      <c r="S91" s="73">
        <v>0</v>
      </c>
      <c r="T91" s="73">
        <v>0</v>
      </c>
      <c r="U91" s="73">
        <v>0</v>
      </c>
      <c r="V91" s="73">
        <v>0</v>
      </c>
      <c r="W91" s="73">
        <v>19.899999999999999</v>
      </c>
      <c r="X91" s="73">
        <v>0</v>
      </c>
      <c r="Y91" s="73">
        <v>-19.899999999999999</v>
      </c>
      <c r="Z91" s="73" t="str">
        <f>_xlfn.XLOOKUP(REALIZADO[[#This Row],[PDV]],PROJEÇÃO[PDV],PROJEÇÃO[COORDENAÇÃO])</f>
        <v>THAYANDRA</v>
      </c>
    </row>
    <row r="92" spans="1:26" x14ac:dyDescent="0.35">
      <c r="A92" t="s">
        <v>169</v>
      </c>
      <c r="B92" t="s">
        <v>32</v>
      </c>
      <c r="C92" s="73">
        <v>0</v>
      </c>
      <c r="D92" s="73">
        <v>0</v>
      </c>
      <c r="E92" s="73">
        <v>0</v>
      </c>
      <c r="F92" s="73">
        <v>0</v>
      </c>
      <c r="G92" s="73">
        <v>0</v>
      </c>
      <c r="H92" s="73">
        <v>0</v>
      </c>
      <c r="I92" s="73">
        <v>0</v>
      </c>
      <c r="J92" s="73">
        <v>0</v>
      </c>
      <c r="K92" s="73">
        <v>0</v>
      </c>
      <c r="L92" s="73">
        <v>0</v>
      </c>
      <c r="M92" s="73">
        <v>0</v>
      </c>
      <c r="N92" s="73">
        <v>0</v>
      </c>
      <c r="O92" s="73">
        <v>0</v>
      </c>
      <c r="P92" s="73">
        <v>0</v>
      </c>
      <c r="Q92" s="73">
        <v>0</v>
      </c>
      <c r="R92" s="73">
        <v>0</v>
      </c>
      <c r="S92" s="73">
        <v>0</v>
      </c>
      <c r="T92" s="73">
        <v>0</v>
      </c>
      <c r="U92" s="73">
        <v>0</v>
      </c>
      <c r="V92" s="73">
        <v>0</v>
      </c>
      <c r="W92" s="73">
        <v>0</v>
      </c>
      <c r="X92" s="73">
        <v>0</v>
      </c>
      <c r="Y92" s="73">
        <v>0</v>
      </c>
      <c r="Z92" s="73" t="str">
        <f>_xlfn.XLOOKUP(REALIZADO[[#This Row],[PDV]],PROJEÇÃO[PDV],PROJEÇÃO[COORDENAÇÃO])</f>
        <v>ARIEL</v>
      </c>
    </row>
    <row r="93" spans="1:26" x14ac:dyDescent="0.35">
      <c r="A93" t="s">
        <v>170</v>
      </c>
      <c r="B93" t="s">
        <v>33</v>
      </c>
      <c r="C93" s="73">
        <v>108</v>
      </c>
      <c r="D93" s="73">
        <v>0</v>
      </c>
      <c r="E93" s="73">
        <v>-108</v>
      </c>
      <c r="F93" s="73">
        <v>0</v>
      </c>
      <c r="G93" s="73">
        <v>0</v>
      </c>
      <c r="H93" s="73">
        <v>0</v>
      </c>
      <c r="I93" s="73">
        <v>0</v>
      </c>
      <c r="J93" s="73">
        <v>0</v>
      </c>
      <c r="K93" s="73">
        <v>0</v>
      </c>
      <c r="L93" s="73">
        <v>0</v>
      </c>
      <c r="M93" s="73">
        <v>0</v>
      </c>
      <c r="N93" s="73">
        <v>0</v>
      </c>
      <c r="O93" s="73">
        <v>0</v>
      </c>
      <c r="P93" s="73">
        <v>0</v>
      </c>
      <c r="Q93" s="73">
        <v>0</v>
      </c>
      <c r="R93" s="73">
        <v>0</v>
      </c>
      <c r="S93" s="73">
        <v>0</v>
      </c>
      <c r="T93" s="73">
        <v>13.9</v>
      </c>
      <c r="U93" s="73">
        <v>0</v>
      </c>
      <c r="V93" s="73">
        <v>-13.9</v>
      </c>
      <c r="W93" s="73">
        <v>19.989999999999998</v>
      </c>
      <c r="X93" s="73">
        <v>0</v>
      </c>
      <c r="Y93" s="73">
        <v>-19.989999999999998</v>
      </c>
      <c r="Z93" s="73" t="str">
        <f>_xlfn.XLOOKUP(REALIZADO[[#This Row],[PDV]],PROJEÇÃO[PDV],PROJEÇÃO[COORDENAÇÃO])</f>
        <v>ARIEL</v>
      </c>
    </row>
    <row r="94" spans="1:26" x14ac:dyDescent="0.35">
      <c r="A94" t="s">
        <v>171</v>
      </c>
      <c r="B94" t="s">
        <v>34</v>
      </c>
      <c r="C94" s="73">
        <v>0</v>
      </c>
      <c r="D94" s="73">
        <v>0</v>
      </c>
      <c r="E94" s="73">
        <v>0</v>
      </c>
      <c r="F94" s="73">
        <v>0</v>
      </c>
      <c r="G94" s="73">
        <v>0</v>
      </c>
      <c r="H94" s="73">
        <v>0</v>
      </c>
      <c r="I94" s="73">
        <v>0</v>
      </c>
      <c r="J94" s="73">
        <v>0</v>
      </c>
      <c r="K94" s="73">
        <v>0</v>
      </c>
      <c r="L94" s="73">
        <v>0</v>
      </c>
      <c r="M94" s="73">
        <v>0</v>
      </c>
      <c r="N94" s="73">
        <v>0</v>
      </c>
      <c r="O94" s="73">
        <v>0</v>
      </c>
      <c r="P94" s="73">
        <v>0</v>
      </c>
      <c r="Q94" s="73">
        <v>0</v>
      </c>
      <c r="R94" s="73">
        <v>0</v>
      </c>
      <c r="S94" s="73">
        <v>0</v>
      </c>
      <c r="T94" s="73">
        <v>16.899999999999999</v>
      </c>
      <c r="U94" s="73">
        <v>0</v>
      </c>
      <c r="V94" s="73">
        <v>-16.899999999999999</v>
      </c>
      <c r="W94" s="73">
        <v>0</v>
      </c>
      <c r="X94" s="73">
        <v>0</v>
      </c>
      <c r="Y94" s="73">
        <v>0</v>
      </c>
      <c r="Z94" s="73" t="str">
        <f>_xlfn.XLOOKUP(REALIZADO[[#This Row],[PDV]],PROJEÇÃO[PDV],PROJEÇÃO[COORDENAÇÃO])</f>
        <v>ARIEL</v>
      </c>
    </row>
    <row r="95" spans="1:26" x14ac:dyDescent="0.35">
      <c r="A95" t="s">
        <v>172</v>
      </c>
      <c r="B95" t="s">
        <v>35</v>
      </c>
      <c r="C95" s="73">
        <v>0</v>
      </c>
      <c r="D95" s="73">
        <v>0</v>
      </c>
      <c r="E95" s="73">
        <v>0</v>
      </c>
      <c r="F95" s="73">
        <v>0</v>
      </c>
      <c r="G95" s="73">
        <v>0</v>
      </c>
      <c r="H95" s="73">
        <v>0</v>
      </c>
      <c r="I95" s="73">
        <v>0</v>
      </c>
      <c r="J95" s="73">
        <v>0</v>
      </c>
      <c r="K95" s="73">
        <v>0</v>
      </c>
      <c r="L95" s="73">
        <v>0</v>
      </c>
      <c r="M95" s="73">
        <v>0</v>
      </c>
      <c r="N95" s="73">
        <v>0</v>
      </c>
      <c r="O95" s="73">
        <v>0</v>
      </c>
      <c r="P95" s="73">
        <v>0</v>
      </c>
      <c r="Q95" s="73">
        <v>0</v>
      </c>
      <c r="R95" s="73">
        <v>0</v>
      </c>
      <c r="S95" s="73">
        <v>0</v>
      </c>
      <c r="T95" s="73">
        <v>0</v>
      </c>
      <c r="U95" s="73">
        <v>0</v>
      </c>
      <c r="V95" s="73">
        <v>0</v>
      </c>
      <c r="W95" s="73">
        <v>0</v>
      </c>
      <c r="X95" s="73">
        <v>0</v>
      </c>
      <c r="Y95" s="73">
        <v>0</v>
      </c>
      <c r="Z95" s="73" t="str">
        <f>_xlfn.XLOOKUP(REALIZADO[[#This Row],[PDV]],PROJEÇÃO[PDV],PROJEÇÃO[COORDENAÇÃO])</f>
        <v>ARIEL</v>
      </c>
    </row>
    <row r="96" spans="1:26" x14ac:dyDescent="0.35">
      <c r="A96" t="s">
        <v>173</v>
      </c>
      <c r="B96" t="s">
        <v>51</v>
      </c>
      <c r="C96" s="73">
        <v>47</v>
      </c>
      <c r="D96" s="73">
        <v>0</v>
      </c>
      <c r="E96" s="73">
        <v>-47</v>
      </c>
      <c r="F96" s="73">
        <v>100</v>
      </c>
      <c r="G96" s="73">
        <v>0</v>
      </c>
      <c r="H96" s="73">
        <v>-100</v>
      </c>
      <c r="I96" s="73">
        <v>0</v>
      </c>
      <c r="J96" s="73">
        <v>0</v>
      </c>
      <c r="K96" s="73">
        <v>0</v>
      </c>
      <c r="L96" s="73">
        <v>0</v>
      </c>
      <c r="M96" s="73">
        <v>0</v>
      </c>
      <c r="N96" s="73">
        <v>0</v>
      </c>
      <c r="O96" s="73">
        <v>0</v>
      </c>
      <c r="P96" s="73">
        <v>0</v>
      </c>
      <c r="Q96" s="73">
        <v>0</v>
      </c>
      <c r="R96" s="73">
        <v>0</v>
      </c>
      <c r="S96" s="73">
        <v>0</v>
      </c>
      <c r="T96" s="73">
        <v>0</v>
      </c>
      <c r="U96" s="73">
        <v>0</v>
      </c>
      <c r="V96" s="73">
        <v>0</v>
      </c>
      <c r="W96" s="73">
        <v>0</v>
      </c>
      <c r="X96" s="73">
        <v>0</v>
      </c>
      <c r="Y96" s="73">
        <v>0</v>
      </c>
      <c r="Z96" s="73" t="str">
        <f>_xlfn.XLOOKUP(REALIZADO[[#This Row],[PDV]],PROJEÇÃO[PDV],PROJEÇÃO[COORDENAÇÃO])</f>
        <v>RCX</v>
      </c>
    </row>
    <row r="97" spans="1:26" x14ac:dyDescent="0.35">
      <c r="A97" t="s">
        <v>174</v>
      </c>
      <c r="B97" t="s">
        <v>51</v>
      </c>
      <c r="C97" s="73">
        <v>0</v>
      </c>
      <c r="D97" s="73">
        <v>0</v>
      </c>
      <c r="E97" s="73">
        <v>0</v>
      </c>
      <c r="F97" s="73">
        <v>0</v>
      </c>
      <c r="G97" s="73">
        <v>0</v>
      </c>
      <c r="H97" s="73">
        <v>0</v>
      </c>
      <c r="I97" s="73">
        <v>0</v>
      </c>
      <c r="J97" s="73">
        <v>0</v>
      </c>
      <c r="K97" s="73">
        <v>0</v>
      </c>
      <c r="L97" s="73">
        <v>0</v>
      </c>
      <c r="M97" s="73">
        <v>0</v>
      </c>
      <c r="N97" s="73">
        <v>0</v>
      </c>
      <c r="O97" s="73">
        <v>0</v>
      </c>
      <c r="P97" s="73">
        <v>0</v>
      </c>
      <c r="Q97" s="73">
        <v>0</v>
      </c>
      <c r="R97" s="73">
        <v>0</v>
      </c>
      <c r="S97" s="73">
        <v>0</v>
      </c>
      <c r="T97" s="73">
        <v>0</v>
      </c>
      <c r="U97" s="73">
        <v>0</v>
      </c>
      <c r="V97" s="73">
        <v>0</v>
      </c>
      <c r="W97" s="73">
        <v>0</v>
      </c>
      <c r="X97" s="73">
        <v>0</v>
      </c>
      <c r="Y97" s="73">
        <v>0</v>
      </c>
      <c r="Z97" s="73" t="str">
        <f>_xlfn.XLOOKUP(REALIZADO[[#This Row],[PDV]],PROJEÇÃO[PDV],PROJEÇÃO[COORDENAÇÃO])</f>
        <v>RCX</v>
      </c>
    </row>
    <row r="98" spans="1:26" x14ac:dyDescent="0.35">
      <c r="A98" t="s">
        <v>175</v>
      </c>
      <c r="B98" t="s">
        <v>51</v>
      </c>
      <c r="C98" s="73">
        <v>0</v>
      </c>
      <c r="D98" s="73">
        <v>0</v>
      </c>
      <c r="E98" s="73">
        <v>0</v>
      </c>
      <c r="F98" s="73">
        <v>0</v>
      </c>
      <c r="G98" s="73">
        <v>0</v>
      </c>
      <c r="H98" s="73">
        <v>0</v>
      </c>
      <c r="I98" s="73">
        <v>0</v>
      </c>
      <c r="J98" s="73">
        <v>0</v>
      </c>
      <c r="K98" s="73">
        <v>0</v>
      </c>
      <c r="L98" s="73">
        <v>0</v>
      </c>
      <c r="M98" s="73">
        <v>0</v>
      </c>
      <c r="N98" s="73">
        <v>0</v>
      </c>
      <c r="O98" s="73">
        <v>0</v>
      </c>
      <c r="P98" s="73">
        <v>0</v>
      </c>
      <c r="Q98" s="73">
        <v>0</v>
      </c>
      <c r="R98" s="73">
        <v>0</v>
      </c>
      <c r="S98" s="73">
        <v>0</v>
      </c>
      <c r="T98" s="73">
        <v>0</v>
      </c>
      <c r="U98" s="73">
        <v>0</v>
      </c>
      <c r="V98" s="73">
        <v>0</v>
      </c>
      <c r="W98" s="73">
        <v>0</v>
      </c>
      <c r="X98" s="73">
        <v>0</v>
      </c>
      <c r="Y98" s="73">
        <v>0</v>
      </c>
      <c r="Z98" s="73" t="str">
        <f>_xlfn.XLOOKUP(REALIZADO[[#This Row],[PDV]],PROJEÇÃO[PDV],PROJEÇÃO[COORDENAÇÃO])</f>
        <v>RCX</v>
      </c>
    </row>
    <row r="99" spans="1:26" x14ac:dyDescent="0.35">
      <c r="A99" t="s">
        <v>176</v>
      </c>
      <c r="B99" t="s">
        <v>51</v>
      </c>
      <c r="C99" s="73">
        <v>0</v>
      </c>
      <c r="D99" s="73">
        <v>0</v>
      </c>
      <c r="E99" s="73">
        <v>0</v>
      </c>
      <c r="F99" s="73">
        <v>0</v>
      </c>
      <c r="G99" s="73">
        <v>0</v>
      </c>
      <c r="H99" s="73">
        <v>0</v>
      </c>
      <c r="I99" s="73">
        <v>0</v>
      </c>
      <c r="J99" s="73">
        <v>0</v>
      </c>
      <c r="K99" s="73">
        <v>0</v>
      </c>
      <c r="L99" s="73">
        <v>0</v>
      </c>
      <c r="M99" s="73">
        <v>0</v>
      </c>
      <c r="N99" s="73">
        <v>0</v>
      </c>
      <c r="O99" s="73">
        <v>0</v>
      </c>
      <c r="P99" s="73">
        <v>0</v>
      </c>
      <c r="Q99" s="73">
        <v>0</v>
      </c>
      <c r="R99" s="73">
        <v>0</v>
      </c>
      <c r="S99" s="73">
        <v>0</v>
      </c>
      <c r="T99" s="73">
        <v>0</v>
      </c>
      <c r="U99" s="73">
        <v>0</v>
      </c>
      <c r="V99" s="73">
        <v>0</v>
      </c>
      <c r="W99" s="73">
        <v>0</v>
      </c>
      <c r="X99" s="73">
        <v>0</v>
      </c>
      <c r="Y99" s="73">
        <v>0</v>
      </c>
      <c r="Z99" s="73" t="str">
        <f>_xlfn.XLOOKUP(REALIZADO[[#This Row],[PDV]],PROJEÇÃO[PDV],PROJEÇÃO[COORDENAÇÃO])</f>
        <v>RCX</v>
      </c>
    </row>
    <row r="100" spans="1:26" x14ac:dyDescent="0.35">
      <c r="A100" t="s">
        <v>177</v>
      </c>
      <c r="B100" t="s">
        <v>39</v>
      </c>
      <c r="C100" s="73">
        <v>0</v>
      </c>
      <c r="D100" s="73">
        <v>0</v>
      </c>
      <c r="E100" s="73">
        <v>0</v>
      </c>
      <c r="F100" s="73">
        <v>0</v>
      </c>
      <c r="G100" s="73">
        <v>0</v>
      </c>
      <c r="H100" s="73">
        <v>0</v>
      </c>
      <c r="I100" s="73">
        <v>0</v>
      </c>
      <c r="J100" s="73">
        <v>0</v>
      </c>
      <c r="K100" s="73">
        <v>0</v>
      </c>
      <c r="L100" s="73">
        <v>0</v>
      </c>
      <c r="M100" s="73">
        <v>0</v>
      </c>
      <c r="N100" s="73">
        <v>0</v>
      </c>
      <c r="O100" s="73">
        <v>0</v>
      </c>
      <c r="P100" s="73">
        <v>0</v>
      </c>
      <c r="Q100" s="73">
        <v>0</v>
      </c>
      <c r="R100" s="73">
        <v>0</v>
      </c>
      <c r="S100" s="73">
        <v>0</v>
      </c>
      <c r="T100" s="73">
        <v>0</v>
      </c>
      <c r="U100" s="73">
        <v>0</v>
      </c>
      <c r="V100" s="73">
        <v>0</v>
      </c>
      <c r="W100" s="73">
        <v>0</v>
      </c>
      <c r="X100" s="73">
        <v>0</v>
      </c>
      <c r="Y100" s="73">
        <v>0</v>
      </c>
      <c r="Z100" s="73" t="str">
        <f>_xlfn.XLOOKUP(REALIZADO[[#This Row],[PDV]],PROJEÇÃO[PDV],PROJEÇÃO[COORDENAÇÃO])</f>
        <v>LUIZ</v>
      </c>
    </row>
    <row r="101" spans="1:26" x14ac:dyDescent="0.35">
      <c r="A101" t="s">
        <v>178</v>
      </c>
      <c r="B101" t="s">
        <v>46</v>
      </c>
      <c r="C101" s="73">
        <v>0</v>
      </c>
      <c r="D101" s="73">
        <v>0</v>
      </c>
      <c r="E101" s="73">
        <v>0</v>
      </c>
      <c r="F101" s="73">
        <v>0</v>
      </c>
      <c r="G101" s="73">
        <v>0</v>
      </c>
      <c r="H101" s="73">
        <v>0</v>
      </c>
      <c r="I101" s="73">
        <v>0</v>
      </c>
      <c r="J101" s="73">
        <v>0</v>
      </c>
      <c r="K101" s="73">
        <v>0</v>
      </c>
      <c r="L101" s="73">
        <v>0</v>
      </c>
      <c r="M101" s="73">
        <v>0</v>
      </c>
      <c r="N101" s="73">
        <v>0</v>
      </c>
      <c r="O101" s="73">
        <v>0</v>
      </c>
      <c r="P101" s="73">
        <v>0</v>
      </c>
      <c r="Q101" s="73">
        <v>0</v>
      </c>
      <c r="R101" s="73">
        <v>0</v>
      </c>
      <c r="S101" s="73">
        <v>0</v>
      </c>
      <c r="T101" s="73">
        <v>0</v>
      </c>
      <c r="U101" s="73">
        <v>0</v>
      </c>
      <c r="V101" s="73">
        <v>0</v>
      </c>
      <c r="W101" s="73">
        <v>0</v>
      </c>
      <c r="X101" s="73">
        <v>0</v>
      </c>
      <c r="Y101" s="73">
        <v>0</v>
      </c>
      <c r="Z101" s="73" t="str">
        <f>_xlfn.XLOOKUP(REALIZADO[[#This Row],[PDV]],PROJEÇÃO[PDV],PROJEÇÃO[COORDENAÇÃO])</f>
        <v>THAYANDRA</v>
      </c>
    </row>
    <row r="102" spans="1:26" x14ac:dyDescent="0.35">
      <c r="A102" t="s">
        <v>179</v>
      </c>
      <c r="B102" t="s">
        <v>41</v>
      </c>
      <c r="C102" s="73">
        <v>0</v>
      </c>
      <c r="D102" s="73">
        <v>0</v>
      </c>
      <c r="E102" s="73">
        <v>0</v>
      </c>
      <c r="F102" s="73">
        <v>0</v>
      </c>
      <c r="G102" s="73">
        <v>0</v>
      </c>
      <c r="H102" s="73">
        <v>0</v>
      </c>
      <c r="I102" s="73">
        <v>0</v>
      </c>
      <c r="J102" s="73">
        <v>0</v>
      </c>
      <c r="K102" s="73">
        <v>0</v>
      </c>
      <c r="L102" s="73">
        <v>0</v>
      </c>
      <c r="M102" s="73">
        <v>0</v>
      </c>
      <c r="N102" s="73">
        <v>0</v>
      </c>
      <c r="O102" s="73">
        <v>0</v>
      </c>
      <c r="P102" s="73">
        <v>0</v>
      </c>
      <c r="Q102" s="73">
        <v>0</v>
      </c>
      <c r="R102" s="73">
        <v>0</v>
      </c>
      <c r="S102" s="73">
        <v>0</v>
      </c>
      <c r="T102" s="73">
        <v>0</v>
      </c>
      <c r="U102" s="73">
        <v>0</v>
      </c>
      <c r="V102" s="73">
        <v>0</v>
      </c>
      <c r="W102" s="73">
        <v>0</v>
      </c>
      <c r="X102" s="73">
        <v>0</v>
      </c>
      <c r="Y102" s="73">
        <v>0</v>
      </c>
      <c r="Z102" s="73" t="str">
        <f>_xlfn.XLOOKUP(REALIZADO[[#This Row],[PDV]],PROJEÇÃO[PDV],PROJEÇÃO[COORDENAÇÃO])</f>
        <v>LUIZ</v>
      </c>
    </row>
    <row r="103" spans="1:26" x14ac:dyDescent="0.35">
      <c r="A103" t="s">
        <v>180</v>
      </c>
      <c r="B103" t="s">
        <v>42</v>
      </c>
      <c r="C103" s="73">
        <v>0</v>
      </c>
      <c r="D103" s="73">
        <v>0</v>
      </c>
      <c r="E103" s="73">
        <v>0</v>
      </c>
      <c r="F103" s="73">
        <v>0</v>
      </c>
      <c r="G103" s="73">
        <v>0</v>
      </c>
      <c r="H103" s="73">
        <v>0</v>
      </c>
      <c r="I103" s="73">
        <v>0</v>
      </c>
      <c r="J103" s="73">
        <v>0</v>
      </c>
      <c r="K103" s="73">
        <v>0</v>
      </c>
      <c r="L103" s="73">
        <v>0</v>
      </c>
      <c r="M103" s="73">
        <v>0</v>
      </c>
      <c r="N103" s="73">
        <v>0</v>
      </c>
      <c r="O103" s="73">
        <v>0</v>
      </c>
      <c r="P103" s="73">
        <v>0</v>
      </c>
      <c r="Q103" s="73">
        <v>0</v>
      </c>
      <c r="R103" s="73">
        <v>0</v>
      </c>
      <c r="S103" s="73">
        <v>0</v>
      </c>
      <c r="T103" s="73">
        <v>0</v>
      </c>
      <c r="U103" s="73">
        <v>0</v>
      </c>
      <c r="V103" s="73">
        <v>0</v>
      </c>
      <c r="W103" s="73">
        <v>0</v>
      </c>
      <c r="X103" s="73">
        <v>0</v>
      </c>
      <c r="Y103" s="73">
        <v>0</v>
      </c>
      <c r="Z103" s="73" t="str">
        <f>_xlfn.XLOOKUP(REALIZADO[[#This Row],[PDV]],PROJEÇÃO[PDV],PROJEÇÃO[COORDENAÇÃO])</f>
        <v>THAYANDRA</v>
      </c>
    </row>
    <row r="104" spans="1:26" x14ac:dyDescent="0.35">
      <c r="A104" t="s">
        <v>181</v>
      </c>
      <c r="B104" t="s">
        <v>48</v>
      </c>
      <c r="C104" s="73">
        <v>150</v>
      </c>
      <c r="D104" s="73">
        <v>0</v>
      </c>
      <c r="E104" s="73">
        <v>-150</v>
      </c>
      <c r="F104" s="73">
        <v>110</v>
      </c>
      <c r="G104" s="73">
        <v>0</v>
      </c>
      <c r="H104" s="73">
        <v>-110</v>
      </c>
      <c r="I104" s="73">
        <v>0</v>
      </c>
      <c r="J104" s="73">
        <v>0</v>
      </c>
      <c r="K104" s="73">
        <v>0</v>
      </c>
      <c r="L104" s="73">
        <v>0</v>
      </c>
      <c r="M104" s="73">
        <v>0</v>
      </c>
      <c r="N104" s="73">
        <v>0</v>
      </c>
      <c r="O104" s="73">
        <v>0</v>
      </c>
      <c r="P104" s="73">
        <v>0</v>
      </c>
      <c r="Q104" s="73">
        <v>0</v>
      </c>
      <c r="R104" s="73">
        <v>0</v>
      </c>
      <c r="S104" s="73">
        <v>0</v>
      </c>
      <c r="T104" s="73">
        <v>0</v>
      </c>
      <c r="U104" s="73">
        <v>0</v>
      </c>
      <c r="V104" s="73">
        <v>0</v>
      </c>
      <c r="W104" s="73">
        <v>0</v>
      </c>
      <c r="X104" s="73">
        <v>0</v>
      </c>
      <c r="Y104" s="73">
        <v>0</v>
      </c>
      <c r="Z104" s="73" t="str">
        <f>_xlfn.XLOOKUP(REALIZADO[[#This Row],[PDV]],PROJEÇÃO[PDV],PROJEÇÃO[COORDENAÇÃO])</f>
        <v>THAYANDRA</v>
      </c>
    </row>
    <row r="105" spans="1:26" x14ac:dyDescent="0.35">
      <c r="A105" t="s">
        <v>182</v>
      </c>
      <c r="B105" t="s">
        <v>42</v>
      </c>
      <c r="C105" s="73">
        <v>0</v>
      </c>
      <c r="D105" s="73">
        <v>0</v>
      </c>
      <c r="E105" s="73">
        <v>0</v>
      </c>
      <c r="F105" s="73">
        <v>0</v>
      </c>
      <c r="G105" s="73">
        <v>0</v>
      </c>
      <c r="H105" s="73">
        <v>0</v>
      </c>
      <c r="I105" s="73">
        <v>0</v>
      </c>
      <c r="J105" s="73">
        <v>0</v>
      </c>
      <c r="K105" s="73">
        <v>0</v>
      </c>
      <c r="L105" s="73">
        <v>0</v>
      </c>
      <c r="M105" s="73">
        <v>0</v>
      </c>
      <c r="N105" s="73">
        <v>0</v>
      </c>
      <c r="O105" s="73">
        <v>0</v>
      </c>
      <c r="P105" s="73">
        <v>0</v>
      </c>
      <c r="Q105" s="73">
        <v>0</v>
      </c>
      <c r="R105" s="73">
        <v>0</v>
      </c>
      <c r="S105" s="73">
        <v>0</v>
      </c>
      <c r="T105" s="73">
        <v>0</v>
      </c>
      <c r="U105" s="73">
        <v>0</v>
      </c>
      <c r="V105" s="73">
        <v>0</v>
      </c>
      <c r="W105" s="73">
        <v>0</v>
      </c>
      <c r="X105" s="73">
        <v>0</v>
      </c>
      <c r="Y105" s="73">
        <v>0</v>
      </c>
      <c r="Z105" s="73" t="str">
        <f>_xlfn.XLOOKUP(REALIZADO[[#This Row],[PDV]],PROJEÇÃO[PDV],PROJEÇÃO[COORDENAÇÃO])</f>
        <v>THAYANDRA</v>
      </c>
    </row>
    <row r="106" spans="1:26" x14ac:dyDescent="0.35">
      <c r="A106" t="s">
        <v>183</v>
      </c>
      <c r="B106" t="s">
        <v>50</v>
      </c>
      <c r="C106" s="73">
        <v>126</v>
      </c>
      <c r="D106" s="73">
        <v>0</v>
      </c>
      <c r="E106" s="73">
        <v>-126</v>
      </c>
      <c r="F106" s="73">
        <v>0</v>
      </c>
      <c r="G106" s="73">
        <v>0</v>
      </c>
      <c r="H106" s="73">
        <v>0</v>
      </c>
      <c r="I106" s="73">
        <v>0</v>
      </c>
      <c r="J106" s="73">
        <v>0</v>
      </c>
      <c r="K106" s="73">
        <v>0</v>
      </c>
      <c r="L106" s="73">
        <v>0</v>
      </c>
      <c r="M106" s="73">
        <v>0</v>
      </c>
      <c r="N106" s="73">
        <v>0</v>
      </c>
      <c r="O106" s="73">
        <v>0</v>
      </c>
      <c r="P106" s="73">
        <v>0</v>
      </c>
      <c r="Q106" s="73">
        <v>0</v>
      </c>
      <c r="R106" s="73">
        <v>0</v>
      </c>
      <c r="S106" s="73">
        <v>0</v>
      </c>
      <c r="T106" s="73">
        <v>0</v>
      </c>
      <c r="U106" s="73">
        <v>0</v>
      </c>
      <c r="V106" s="73">
        <v>0</v>
      </c>
      <c r="W106" s="73">
        <v>0</v>
      </c>
      <c r="X106" s="73">
        <v>0</v>
      </c>
      <c r="Y106" s="73">
        <v>0</v>
      </c>
      <c r="Z106" s="73" t="str">
        <f>_xlfn.XLOOKUP(REALIZADO[[#This Row],[PDV]],PROJEÇÃO[PDV],PROJEÇÃO[COORDENAÇÃO])</f>
        <v>THAYANDRA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94BC4-DA08-47F6-B6BC-110C4D9D8380}">
  <sheetPr codeName="Planilha2"/>
  <dimension ref="A1:T106"/>
  <sheetViews>
    <sheetView topLeftCell="G1" workbookViewId="0">
      <selection activeCell="L11" sqref="L11"/>
    </sheetView>
  </sheetViews>
  <sheetFormatPr defaultRowHeight="14.5" x14ac:dyDescent="0.35"/>
  <cols>
    <col min="1" max="1" width="36.453125" bestFit="1" customWidth="1"/>
    <col min="2" max="2" width="24.1796875" bestFit="1" customWidth="1"/>
    <col min="3" max="3" width="15.26953125" style="73" bestFit="1" customWidth="1"/>
    <col min="4" max="4" width="13.1796875" style="73" bestFit="1" customWidth="1"/>
    <col min="5" max="5" width="10.08984375" style="73" bestFit="1" customWidth="1"/>
    <col min="6" max="6" width="18.453125" style="73" bestFit="1" customWidth="1"/>
    <col min="7" max="7" width="19.6328125" style="73" bestFit="1" customWidth="1"/>
    <col min="8" max="8" width="20.453125" style="73" bestFit="1" customWidth="1"/>
    <col min="9" max="9" width="16.54296875" style="73" bestFit="1" customWidth="1"/>
    <col min="10" max="10" width="12.7265625" style="73" bestFit="1" customWidth="1"/>
    <col min="11" max="11" width="13" style="73" bestFit="1" customWidth="1"/>
    <col min="12" max="12" width="18.54296875" style="73" bestFit="1" customWidth="1"/>
    <col min="13" max="13" width="19.26953125" style="73" bestFit="1" customWidth="1"/>
    <col min="14" max="14" width="17.1796875" style="73" bestFit="1" customWidth="1"/>
    <col min="15" max="16" width="17.6328125" style="73" bestFit="1" customWidth="1"/>
    <col min="17" max="17" width="16.90625" style="73" bestFit="1" customWidth="1"/>
    <col min="18" max="18" width="16.90625" bestFit="1" customWidth="1"/>
    <col min="19" max="19" width="11.6328125" bestFit="1" customWidth="1"/>
    <col min="20" max="20" width="16.453125" bestFit="1" customWidth="1"/>
  </cols>
  <sheetData>
    <row r="1" spans="1:20" x14ac:dyDescent="0.35">
      <c r="A1" t="s">
        <v>53</v>
      </c>
      <c r="B1" t="s">
        <v>54</v>
      </c>
      <c r="C1" s="73" t="s">
        <v>184</v>
      </c>
      <c r="D1" s="73" t="s">
        <v>185</v>
      </c>
      <c r="E1" t="s">
        <v>186</v>
      </c>
      <c r="F1" s="73" t="s">
        <v>187</v>
      </c>
      <c r="G1" s="73" t="s">
        <v>188</v>
      </c>
      <c r="H1" s="73" t="s">
        <v>189</v>
      </c>
      <c r="I1" s="73" t="s">
        <v>190</v>
      </c>
      <c r="J1" s="73" t="s">
        <v>191</v>
      </c>
      <c r="K1" s="73" t="s">
        <v>192</v>
      </c>
      <c r="L1" s="73" t="s">
        <v>193</v>
      </c>
      <c r="M1" s="73" t="s">
        <v>194</v>
      </c>
      <c r="N1" s="73" t="s">
        <v>195</v>
      </c>
      <c r="O1" s="73" t="s">
        <v>196</v>
      </c>
      <c r="P1" s="73" t="s">
        <v>197</v>
      </c>
      <c r="Q1" s="73" t="s">
        <v>198</v>
      </c>
      <c r="R1" s="73" t="s">
        <v>199</v>
      </c>
      <c r="S1" t="s">
        <v>200</v>
      </c>
      <c r="T1" t="s">
        <v>78</v>
      </c>
    </row>
    <row r="2" spans="1:20" x14ac:dyDescent="0.35">
      <c r="A2" s="255" t="s">
        <v>79</v>
      </c>
      <c r="B2" s="255" t="s">
        <v>27</v>
      </c>
      <c r="C2" s="73">
        <v>2030.8255999999999</v>
      </c>
      <c r="D2" s="73">
        <v>0</v>
      </c>
      <c r="E2" s="73">
        <v>3</v>
      </c>
      <c r="F2" s="73">
        <v>24985</v>
      </c>
      <c r="G2" s="73">
        <v>1838.7778000000001</v>
      </c>
      <c r="H2" s="73">
        <v>3479.1111000000001</v>
      </c>
      <c r="I2" s="73">
        <v>187.25559999999999</v>
      </c>
      <c r="J2" s="73">
        <v>532.59109999999998</v>
      </c>
      <c r="K2" s="73">
        <v>0</v>
      </c>
      <c r="L2" s="73">
        <v>0</v>
      </c>
      <c r="M2" s="73">
        <v>0</v>
      </c>
      <c r="N2" s="73">
        <v>0</v>
      </c>
      <c r="O2" s="73">
        <v>0</v>
      </c>
      <c r="P2" s="73">
        <v>3479.1111000000001</v>
      </c>
      <c r="Q2" s="73">
        <v>1211.7778000000001</v>
      </c>
      <c r="R2" s="73">
        <v>627</v>
      </c>
      <c r="S2" s="73">
        <v>0</v>
      </c>
      <c r="T2" t="s">
        <v>28</v>
      </c>
    </row>
    <row r="3" spans="1:20" x14ac:dyDescent="0.35">
      <c r="A3" s="255" t="s">
        <v>80</v>
      </c>
      <c r="B3" s="255" t="s">
        <v>27</v>
      </c>
      <c r="C3" s="73">
        <v>1218.0478000000001</v>
      </c>
      <c r="D3" s="73">
        <v>0</v>
      </c>
      <c r="E3" s="73">
        <v>0</v>
      </c>
      <c r="F3" s="73">
        <v>19536.2222</v>
      </c>
      <c r="G3" s="73">
        <v>2322.2222000000002</v>
      </c>
      <c r="H3" s="73">
        <v>1220.2221999999999</v>
      </c>
      <c r="I3" s="73">
        <v>193.5889</v>
      </c>
      <c r="J3" s="73">
        <v>54.677799999999998</v>
      </c>
      <c r="K3" s="73">
        <v>0</v>
      </c>
      <c r="L3" s="73">
        <v>0</v>
      </c>
      <c r="M3" s="73">
        <v>0</v>
      </c>
      <c r="N3" s="73">
        <v>0</v>
      </c>
      <c r="O3" s="73">
        <v>0</v>
      </c>
      <c r="P3" s="73">
        <v>1220.2221999999999</v>
      </c>
      <c r="Q3" s="73">
        <v>667.11109999999996</v>
      </c>
      <c r="R3" s="73">
        <v>1655.1111000000001</v>
      </c>
      <c r="S3" s="73">
        <v>0</v>
      </c>
      <c r="T3" t="s">
        <v>28</v>
      </c>
    </row>
    <row r="4" spans="1:20" x14ac:dyDescent="0.35">
      <c r="A4" s="255" t="s">
        <v>81</v>
      </c>
      <c r="B4" s="255" t="s">
        <v>27</v>
      </c>
      <c r="C4" s="73">
        <v>1422.8678</v>
      </c>
      <c r="D4" s="73">
        <v>0</v>
      </c>
      <c r="E4" s="73">
        <v>0</v>
      </c>
      <c r="F4" s="73">
        <v>13606.1111</v>
      </c>
      <c r="G4" s="73">
        <v>2402.4443999999999</v>
      </c>
      <c r="H4" s="73">
        <v>1450.3333</v>
      </c>
      <c r="I4" s="73">
        <v>172.0556</v>
      </c>
      <c r="J4" s="73">
        <v>397.5222</v>
      </c>
      <c r="K4" s="73">
        <v>0</v>
      </c>
      <c r="L4" s="73">
        <v>0</v>
      </c>
      <c r="M4" s="73">
        <v>0</v>
      </c>
      <c r="N4" s="73">
        <v>0</v>
      </c>
      <c r="O4" s="73">
        <v>0</v>
      </c>
      <c r="P4" s="73">
        <v>1450.3333</v>
      </c>
      <c r="Q4" s="73">
        <v>1503.1111000000001</v>
      </c>
      <c r="R4" s="73">
        <v>899.33330000000001</v>
      </c>
      <c r="S4" s="73">
        <v>0</v>
      </c>
      <c r="T4" t="s">
        <v>28</v>
      </c>
    </row>
    <row r="5" spans="1:20" x14ac:dyDescent="0.35">
      <c r="A5" s="255" t="s">
        <v>82</v>
      </c>
      <c r="B5" s="255" t="s">
        <v>29</v>
      </c>
      <c r="C5" s="73">
        <v>5607.0056000000004</v>
      </c>
      <c r="D5" s="73">
        <v>0</v>
      </c>
      <c r="E5" s="73">
        <v>0</v>
      </c>
      <c r="F5" s="73">
        <v>35029.666700000002</v>
      </c>
      <c r="G5" s="73">
        <v>6483.2222000000002</v>
      </c>
      <c r="H5" s="73">
        <v>16538.4444</v>
      </c>
      <c r="I5" s="73">
        <v>516.16669999999999</v>
      </c>
      <c r="J5" s="73">
        <v>516.14559999999994</v>
      </c>
      <c r="K5" s="73">
        <v>0</v>
      </c>
      <c r="L5" s="73">
        <v>0</v>
      </c>
      <c r="M5" s="73">
        <v>0</v>
      </c>
      <c r="N5" s="73">
        <v>0</v>
      </c>
      <c r="O5" s="73">
        <v>0</v>
      </c>
      <c r="P5" s="73">
        <v>16538.4444</v>
      </c>
      <c r="Q5" s="73">
        <v>3783.1111000000001</v>
      </c>
      <c r="R5" s="73">
        <v>2700.1111000000001</v>
      </c>
      <c r="S5" s="73">
        <v>0</v>
      </c>
      <c r="T5" t="s">
        <v>28</v>
      </c>
    </row>
    <row r="6" spans="1:20" x14ac:dyDescent="0.35">
      <c r="A6" s="255" t="s">
        <v>83</v>
      </c>
      <c r="B6" s="255" t="s">
        <v>29</v>
      </c>
      <c r="C6" s="73">
        <v>3662.6932999999999</v>
      </c>
      <c r="D6" s="73">
        <v>0</v>
      </c>
      <c r="E6" s="73">
        <v>0</v>
      </c>
      <c r="F6" s="73">
        <v>15824.8889</v>
      </c>
      <c r="G6" s="73">
        <v>2778.2222000000002</v>
      </c>
      <c r="H6" s="73">
        <v>7946.2222000000002</v>
      </c>
      <c r="I6" s="73">
        <v>214.0667</v>
      </c>
      <c r="J6" s="73">
        <v>235.5789</v>
      </c>
      <c r="K6" s="73">
        <v>0</v>
      </c>
      <c r="L6" s="73">
        <v>0</v>
      </c>
      <c r="M6" s="73">
        <v>0</v>
      </c>
      <c r="N6" s="73">
        <v>0</v>
      </c>
      <c r="O6" s="73">
        <v>420.11110000000002</v>
      </c>
      <c r="P6" s="73">
        <v>7526.1111000000001</v>
      </c>
      <c r="Q6" s="73">
        <v>1503.1111000000001</v>
      </c>
      <c r="R6" s="73">
        <v>1275.1111000000001</v>
      </c>
      <c r="S6" s="73">
        <v>0</v>
      </c>
      <c r="T6" t="s">
        <v>28</v>
      </c>
    </row>
    <row r="7" spans="1:20" x14ac:dyDescent="0.35">
      <c r="A7" s="255" t="s">
        <v>84</v>
      </c>
      <c r="B7" s="255" t="s">
        <v>29</v>
      </c>
      <c r="C7" s="73">
        <v>3192</v>
      </c>
      <c r="D7" s="73">
        <v>0</v>
      </c>
      <c r="E7" s="73">
        <v>0</v>
      </c>
      <c r="F7" s="73">
        <v>29547.111099999998</v>
      </c>
      <c r="G7" s="73">
        <v>2968.2222000000002</v>
      </c>
      <c r="H7" s="73">
        <v>7659.1111000000001</v>
      </c>
      <c r="I7" s="73">
        <v>100.7</v>
      </c>
      <c r="J7" s="73">
        <v>84.402199999999993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7659.1111000000001</v>
      </c>
      <c r="Q7" s="73">
        <v>1002.7778</v>
      </c>
      <c r="R7" s="73">
        <v>1965.4444000000001</v>
      </c>
      <c r="S7" s="73">
        <v>0</v>
      </c>
      <c r="T7" t="s">
        <v>28</v>
      </c>
    </row>
    <row r="8" spans="1:20" x14ac:dyDescent="0.35">
      <c r="A8" s="255" t="s">
        <v>85</v>
      </c>
      <c r="B8" s="255" t="s">
        <v>36</v>
      </c>
      <c r="C8" s="73">
        <v>3075.8678</v>
      </c>
      <c r="D8" s="73">
        <v>1129.4444000000001</v>
      </c>
      <c r="E8" s="73">
        <v>9</v>
      </c>
      <c r="F8" s="73">
        <v>49176.222199999997</v>
      </c>
      <c r="G8" s="73">
        <v>2368.6667000000002</v>
      </c>
      <c r="H8" s="73">
        <v>4944.2222000000002</v>
      </c>
      <c r="I8" s="73">
        <v>183.24440000000001</v>
      </c>
      <c r="J8" s="73">
        <v>569.57780000000002</v>
      </c>
      <c r="K8" s="73">
        <v>0</v>
      </c>
      <c r="L8" s="73">
        <v>0</v>
      </c>
      <c r="M8" s="73">
        <v>0</v>
      </c>
      <c r="N8" s="73">
        <v>0</v>
      </c>
      <c r="O8" s="73">
        <v>164.66669999999999</v>
      </c>
      <c r="P8" s="73">
        <v>4779.5555999999997</v>
      </c>
      <c r="Q8" s="73">
        <v>939.44439999999997</v>
      </c>
      <c r="R8" s="73">
        <v>1429.2221999999999</v>
      </c>
      <c r="S8" s="73">
        <v>0.6</v>
      </c>
      <c r="T8" t="s">
        <v>201</v>
      </c>
    </row>
    <row r="9" spans="1:20" x14ac:dyDescent="0.35">
      <c r="A9" s="255" t="s">
        <v>86</v>
      </c>
      <c r="B9" s="255" t="s">
        <v>36</v>
      </c>
      <c r="C9" s="73">
        <v>2296.8678</v>
      </c>
      <c r="D9" s="73">
        <v>1709.9789000000001</v>
      </c>
      <c r="E9" s="73">
        <v>13</v>
      </c>
      <c r="F9" s="73">
        <v>3903.4443999999999</v>
      </c>
      <c r="G9" s="73">
        <v>1800.7778000000001</v>
      </c>
      <c r="H9" s="73">
        <v>1506.4889000000001</v>
      </c>
      <c r="I9" s="73">
        <v>147.5667</v>
      </c>
      <c r="J9" s="73">
        <v>358.25560000000002</v>
      </c>
      <c r="K9" s="73">
        <v>0</v>
      </c>
      <c r="L9" s="73">
        <v>0</v>
      </c>
      <c r="M9" s="73">
        <v>0</v>
      </c>
      <c r="N9" s="73">
        <v>0</v>
      </c>
      <c r="O9" s="73">
        <v>0</v>
      </c>
      <c r="P9" s="73">
        <v>1506.4889000000001</v>
      </c>
      <c r="Q9" s="73">
        <v>690.33330000000001</v>
      </c>
      <c r="R9" s="73">
        <v>1110.4444000000001</v>
      </c>
      <c r="S9" s="73">
        <v>0.8666666666666667</v>
      </c>
      <c r="T9" t="s">
        <v>201</v>
      </c>
    </row>
    <row r="10" spans="1:20" x14ac:dyDescent="0.35">
      <c r="A10" s="255" t="s">
        <v>87</v>
      </c>
      <c r="B10" s="255" t="s">
        <v>38</v>
      </c>
      <c r="C10" s="73">
        <v>2007.6667</v>
      </c>
      <c r="D10" s="73">
        <v>939.44439999999997</v>
      </c>
      <c r="E10" s="73">
        <v>9</v>
      </c>
      <c r="F10" s="73">
        <v>30347.2222</v>
      </c>
      <c r="G10" s="73">
        <v>1275.1111000000001</v>
      </c>
      <c r="H10" s="73">
        <v>3303.8888999999999</v>
      </c>
      <c r="I10" s="73">
        <v>35.677799999999998</v>
      </c>
      <c r="J10" s="73">
        <v>265.15559999999999</v>
      </c>
      <c r="K10" s="73">
        <v>0</v>
      </c>
      <c r="L10" s="73">
        <v>0</v>
      </c>
      <c r="M10" s="73">
        <v>0</v>
      </c>
      <c r="N10" s="73">
        <v>0</v>
      </c>
      <c r="O10" s="73">
        <v>441.22219999999999</v>
      </c>
      <c r="P10" s="73">
        <v>2862.6667000000002</v>
      </c>
      <c r="Q10" s="73">
        <v>437</v>
      </c>
      <c r="R10" s="73">
        <v>838.11109999999996</v>
      </c>
      <c r="S10" s="73">
        <v>0.6</v>
      </c>
      <c r="T10" t="s">
        <v>201</v>
      </c>
    </row>
    <row r="11" spans="1:20" x14ac:dyDescent="0.35">
      <c r="A11" s="255" t="s">
        <v>88</v>
      </c>
      <c r="B11" s="255" t="s">
        <v>38</v>
      </c>
      <c r="C11" s="73">
        <v>798.02110000000005</v>
      </c>
      <c r="D11" s="73">
        <v>612.22220000000004</v>
      </c>
      <c r="E11" s="73">
        <v>7</v>
      </c>
      <c r="F11" s="73">
        <v>3270.1111000000001</v>
      </c>
      <c r="G11" s="73">
        <v>145.66669999999999</v>
      </c>
      <c r="H11" s="73">
        <v>0</v>
      </c>
      <c r="I11" s="73">
        <v>221.24440000000001</v>
      </c>
      <c r="J11" s="73">
        <v>86.133300000000006</v>
      </c>
      <c r="K11" s="73">
        <v>0</v>
      </c>
      <c r="L11" s="73">
        <v>0</v>
      </c>
      <c r="M11" s="73">
        <v>0</v>
      </c>
      <c r="N11" s="73">
        <v>0</v>
      </c>
      <c r="O11" s="73">
        <v>0</v>
      </c>
      <c r="P11" s="73">
        <v>0</v>
      </c>
      <c r="Q11" s="73">
        <v>145.66669999999999</v>
      </c>
      <c r="R11" s="73">
        <v>0</v>
      </c>
      <c r="S11" s="73">
        <v>0.46666666666666662</v>
      </c>
      <c r="T11" t="s">
        <v>201</v>
      </c>
    </row>
    <row r="12" spans="1:20" x14ac:dyDescent="0.35">
      <c r="A12" s="255" t="s">
        <v>89</v>
      </c>
      <c r="B12" s="255" t="s">
        <v>38</v>
      </c>
      <c r="C12" s="73">
        <v>2645.2222000000002</v>
      </c>
      <c r="D12" s="73">
        <v>1942.2011</v>
      </c>
      <c r="E12" s="73">
        <v>17</v>
      </c>
      <c r="F12" s="73">
        <v>50656.111100000002</v>
      </c>
      <c r="G12" s="73">
        <v>3458</v>
      </c>
      <c r="H12" s="73">
        <v>483.44439999999997</v>
      </c>
      <c r="I12" s="73">
        <v>147.5667</v>
      </c>
      <c r="J12" s="73">
        <v>214.7</v>
      </c>
      <c r="K12" s="73">
        <v>0</v>
      </c>
      <c r="L12" s="73">
        <v>0</v>
      </c>
      <c r="M12" s="73">
        <v>0</v>
      </c>
      <c r="N12" s="73">
        <v>0</v>
      </c>
      <c r="O12" s="73">
        <v>0</v>
      </c>
      <c r="P12" s="73">
        <v>483.44439999999997</v>
      </c>
      <c r="Q12" s="73">
        <v>1591.7778000000001</v>
      </c>
      <c r="R12" s="73">
        <v>1866.2221999999999</v>
      </c>
      <c r="S12" s="73">
        <v>1.1333333333333333</v>
      </c>
      <c r="T12" t="s">
        <v>201</v>
      </c>
    </row>
    <row r="13" spans="1:20" x14ac:dyDescent="0.35">
      <c r="A13" s="255" t="s">
        <v>90</v>
      </c>
      <c r="B13" s="255" t="s">
        <v>39</v>
      </c>
      <c r="C13" s="73">
        <v>2036.6944000000001</v>
      </c>
      <c r="D13" s="73">
        <v>411.66669999999999</v>
      </c>
      <c r="E13" s="73">
        <v>5</v>
      </c>
      <c r="F13" s="73">
        <v>5379.1111000000001</v>
      </c>
      <c r="G13" s="73">
        <v>446.60559999999998</v>
      </c>
      <c r="H13" s="73">
        <v>546.77779999999996</v>
      </c>
      <c r="I13" s="73">
        <v>147.35560000000001</v>
      </c>
      <c r="J13" s="73">
        <v>107.2444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546.77779999999996</v>
      </c>
      <c r="Q13" s="73">
        <v>446.60559999999998</v>
      </c>
      <c r="R13" s="73">
        <v>0</v>
      </c>
      <c r="S13" s="73">
        <v>0.26315789473684209</v>
      </c>
      <c r="T13" t="s">
        <v>201</v>
      </c>
    </row>
    <row r="14" spans="1:20" x14ac:dyDescent="0.35">
      <c r="A14" s="255" t="s">
        <v>91</v>
      </c>
      <c r="B14" s="255" t="s">
        <v>39</v>
      </c>
      <c r="C14" s="73">
        <v>2261</v>
      </c>
      <c r="D14" s="73">
        <v>1446.1111000000001</v>
      </c>
      <c r="E14" s="73">
        <v>15</v>
      </c>
      <c r="F14" s="73">
        <v>32711.666700000002</v>
      </c>
      <c r="G14" s="73">
        <v>2763.4443999999999</v>
      </c>
      <c r="H14" s="73">
        <v>9679.4444000000003</v>
      </c>
      <c r="I14" s="73">
        <v>216.38890000000001</v>
      </c>
      <c r="J14" s="73">
        <v>456.80220000000003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9679.4444000000003</v>
      </c>
      <c r="Q14" s="73">
        <v>1192.7778000000001</v>
      </c>
      <c r="R14" s="73">
        <v>1570.6667</v>
      </c>
      <c r="S14" s="73">
        <v>0.78947368421052644</v>
      </c>
      <c r="T14" t="s">
        <v>201</v>
      </c>
    </row>
    <row r="15" spans="1:20" x14ac:dyDescent="0.35">
      <c r="A15" s="255" t="s">
        <v>92</v>
      </c>
      <c r="B15" s="255" t="s">
        <v>39</v>
      </c>
      <c r="C15" s="73">
        <v>2313.7777999999998</v>
      </c>
      <c r="D15" s="73">
        <v>2174.4443999999999</v>
      </c>
      <c r="E15" s="73">
        <v>24</v>
      </c>
      <c r="F15" s="73">
        <v>66652</v>
      </c>
      <c r="G15" s="73">
        <v>1648.7778000000001</v>
      </c>
      <c r="H15" s="73">
        <v>6753.4444000000003</v>
      </c>
      <c r="I15" s="73">
        <v>155.5889</v>
      </c>
      <c r="J15" s="73">
        <v>126.4556</v>
      </c>
      <c r="K15" s="73">
        <v>0</v>
      </c>
      <c r="L15" s="73">
        <v>0</v>
      </c>
      <c r="M15" s="73">
        <v>0</v>
      </c>
      <c r="N15" s="73">
        <v>0</v>
      </c>
      <c r="O15" s="73">
        <v>0</v>
      </c>
      <c r="P15" s="73">
        <v>6753.4444000000003</v>
      </c>
      <c r="Q15" s="73">
        <v>751.55560000000003</v>
      </c>
      <c r="R15" s="73">
        <v>897.22220000000004</v>
      </c>
      <c r="S15" s="73">
        <v>1.263157894736842</v>
      </c>
      <c r="T15" t="s">
        <v>201</v>
      </c>
    </row>
    <row r="16" spans="1:20" x14ac:dyDescent="0.35">
      <c r="A16" s="255" t="s">
        <v>93</v>
      </c>
      <c r="B16" s="255" t="s">
        <v>39</v>
      </c>
      <c r="C16" s="73">
        <v>1270.8888999999999</v>
      </c>
      <c r="D16" s="73">
        <v>1541.1111000000001</v>
      </c>
      <c r="E16" s="73">
        <v>15</v>
      </c>
      <c r="F16" s="73">
        <v>8332.5555999999997</v>
      </c>
      <c r="G16" s="73">
        <v>1420.7778000000001</v>
      </c>
      <c r="H16" s="73">
        <v>10969.3333</v>
      </c>
      <c r="I16" s="73">
        <v>300.62220000000002</v>
      </c>
      <c r="J16" s="73">
        <v>395.83330000000001</v>
      </c>
      <c r="K16" s="73">
        <v>0</v>
      </c>
      <c r="L16" s="73">
        <v>0</v>
      </c>
      <c r="M16" s="73">
        <v>0</v>
      </c>
      <c r="N16" s="73">
        <v>0</v>
      </c>
      <c r="O16" s="73">
        <v>5486.7777999999998</v>
      </c>
      <c r="P16" s="73">
        <v>5482.5555999999997</v>
      </c>
      <c r="Q16" s="73">
        <v>521.44439999999997</v>
      </c>
      <c r="R16" s="73">
        <v>899.33330000000001</v>
      </c>
      <c r="S16" s="73">
        <v>0.78947368421052644</v>
      </c>
      <c r="T16" t="s">
        <v>201</v>
      </c>
    </row>
    <row r="17" spans="1:20" x14ac:dyDescent="0.35">
      <c r="A17" s="255" t="s">
        <v>95</v>
      </c>
      <c r="B17" s="255" t="s">
        <v>39</v>
      </c>
      <c r="C17" s="73">
        <v>1431.5444</v>
      </c>
      <c r="D17" s="73">
        <v>1023.8889</v>
      </c>
      <c r="E17" s="73">
        <v>11</v>
      </c>
      <c r="F17" s="73">
        <v>16986</v>
      </c>
      <c r="G17" s="73">
        <v>1758.5555999999999</v>
      </c>
      <c r="H17" s="73">
        <v>4978</v>
      </c>
      <c r="I17" s="73">
        <v>73.677800000000005</v>
      </c>
      <c r="J17" s="73">
        <v>183.24440000000001</v>
      </c>
      <c r="K17" s="73">
        <v>0</v>
      </c>
      <c r="L17" s="73">
        <v>0</v>
      </c>
      <c r="M17" s="73">
        <v>0</v>
      </c>
      <c r="N17" s="73">
        <v>0</v>
      </c>
      <c r="O17" s="73">
        <v>0</v>
      </c>
      <c r="P17" s="73">
        <v>4978</v>
      </c>
      <c r="Q17" s="73">
        <v>709.33330000000001</v>
      </c>
      <c r="R17" s="73">
        <v>1049.2221999999999</v>
      </c>
      <c r="S17" s="73">
        <v>0.91666666666666652</v>
      </c>
      <c r="T17" t="s">
        <v>201</v>
      </c>
    </row>
    <row r="18" spans="1:20" x14ac:dyDescent="0.35">
      <c r="A18" s="255" t="s">
        <v>96</v>
      </c>
      <c r="B18" s="255" t="s">
        <v>39</v>
      </c>
      <c r="C18" s="73">
        <v>852.38220000000001</v>
      </c>
      <c r="D18" s="73">
        <v>527.77779999999996</v>
      </c>
      <c r="E18" s="73">
        <v>7</v>
      </c>
      <c r="F18" s="73">
        <v>13513.327799999999</v>
      </c>
      <c r="G18" s="73">
        <v>1504.5889</v>
      </c>
      <c r="H18" s="73">
        <v>502.44439999999997</v>
      </c>
      <c r="I18" s="73">
        <v>325.74439999999998</v>
      </c>
      <c r="J18" s="73">
        <v>462.75560000000002</v>
      </c>
      <c r="K18" s="73">
        <v>0</v>
      </c>
      <c r="L18" s="73">
        <v>0</v>
      </c>
      <c r="M18" s="73">
        <v>0</v>
      </c>
      <c r="N18" s="73">
        <v>0</v>
      </c>
      <c r="O18" s="73">
        <v>0</v>
      </c>
      <c r="P18" s="73">
        <v>502.44439999999997</v>
      </c>
      <c r="Q18" s="73">
        <v>886.66669999999999</v>
      </c>
      <c r="R18" s="73">
        <v>617.92219999999998</v>
      </c>
      <c r="S18" s="73">
        <v>0.36842105263157898</v>
      </c>
      <c r="T18" t="s">
        <v>201</v>
      </c>
    </row>
    <row r="19" spans="1:20" x14ac:dyDescent="0.35">
      <c r="A19" s="255" t="s">
        <v>97</v>
      </c>
      <c r="B19" s="255" t="s">
        <v>30</v>
      </c>
      <c r="C19" s="73">
        <v>3255.3332999999998</v>
      </c>
      <c r="D19" s="73">
        <v>0</v>
      </c>
      <c r="E19" s="73">
        <v>0</v>
      </c>
      <c r="F19" s="73">
        <v>37351.888899999998</v>
      </c>
      <c r="G19" s="73">
        <v>4270.7777999999998</v>
      </c>
      <c r="H19" s="73">
        <v>4175.7777999999998</v>
      </c>
      <c r="I19" s="73">
        <v>410.61110000000002</v>
      </c>
      <c r="J19" s="73">
        <v>286.6678</v>
      </c>
      <c r="K19" s="73">
        <v>0</v>
      </c>
      <c r="L19" s="73">
        <v>0</v>
      </c>
      <c r="M19" s="73">
        <v>0</v>
      </c>
      <c r="N19" s="73">
        <v>0</v>
      </c>
      <c r="O19" s="73">
        <v>377.88889999999998</v>
      </c>
      <c r="P19" s="73">
        <v>3797.8888999999999</v>
      </c>
      <c r="Q19" s="73">
        <v>1085.1111000000001</v>
      </c>
      <c r="R19" s="73">
        <v>3185.6667000000002</v>
      </c>
      <c r="S19" s="73">
        <v>0</v>
      </c>
      <c r="T19" t="s">
        <v>28</v>
      </c>
    </row>
    <row r="20" spans="1:20" x14ac:dyDescent="0.35">
      <c r="A20" s="255" t="s">
        <v>98</v>
      </c>
      <c r="B20" s="255" t="s">
        <v>30</v>
      </c>
      <c r="C20" s="73">
        <v>1327.8888999999999</v>
      </c>
      <c r="D20" s="73">
        <v>0</v>
      </c>
      <c r="E20" s="73">
        <v>0</v>
      </c>
      <c r="F20" s="73">
        <v>28022.888900000002</v>
      </c>
      <c r="G20" s="73">
        <v>2174.4443999999999</v>
      </c>
      <c r="H20" s="73">
        <v>483.44439999999997</v>
      </c>
      <c r="I20" s="73">
        <v>309.91109999999998</v>
      </c>
      <c r="J20" s="73">
        <v>132.36670000000001</v>
      </c>
      <c r="K20" s="73">
        <v>0</v>
      </c>
      <c r="L20" s="73">
        <v>0</v>
      </c>
      <c r="M20" s="73">
        <v>0</v>
      </c>
      <c r="N20" s="73">
        <v>0</v>
      </c>
      <c r="O20" s="73">
        <v>0</v>
      </c>
      <c r="P20" s="73">
        <v>483.44439999999997</v>
      </c>
      <c r="Q20" s="73">
        <v>1378.5555999999999</v>
      </c>
      <c r="R20" s="73">
        <v>795.88890000000004</v>
      </c>
      <c r="S20" s="73">
        <v>0</v>
      </c>
      <c r="T20" t="s">
        <v>28</v>
      </c>
    </row>
    <row r="21" spans="1:20" x14ac:dyDescent="0.35">
      <c r="A21" s="255" t="s">
        <v>242</v>
      </c>
      <c r="B21" s="255" t="s">
        <v>43</v>
      </c>
      <c r="C21" s="73">
        <v>0</v>
      </c>
      <c r="D21" s="73">
        <v>0</v>
      </c>
      <c r="E21" s="73">
        <v>0</v>
      </c>
      <c r="F21" s="73">
        <v>0</v>
      </c>
      <c r="G21" s="73">
        <v>0</v>
      </c>
      <c r="H21" s="73">
        <v>0</v>
      </c>
      <c r="I21" s="73">
        <v>0</v>
      </c>
      <c r="J21" s="73">
        <v>0</v>
      </c>
      <c r="K21" s="73">
        <v>0</v>
      </c>
      <c r="L21" s="73">
        <v>0</v>
      </c>
      <c r="M21" s="73">
        <v>0</v>
      </c>
      <c r="N21" s="73">
        <v>0</v>
      </c>
      <c r="O21" s="73">
        <v>0</v>
      </c>
      <c r="P21" s="73">
        <v>0</v>
      </c>
      <c r="Q21" s="73">
        <v>0</v>
      </c>
      <c r="R21" s="73">
        <v>0</v>
      </c>
      <c r="S21" s="73">
        <v>0</v>
      </c>
      <c r="T21" t="s">
        <v>201</v>
      </c>
    </row>
    <row r="22" spans="1:20" x14ac:dyDescent="0.35">
      <c r="A22" s="255" t="s">
        <v>100</v>
      </c>
      <c r="B22" s="255" t="s">
        <v>43</v>
      </c>
      <c r="C22" s="73">
        <v>2518.5344</v>
      </c>
      <c r="D22" s="73">
        <v>432.77780000000001</v>
      </c>
      <c r="E22" s="73">
        <v>5</v>
      </c>
      <c r="F22" s="73">
        <v>66842</v>
      </c>
      <c r="G22" s="73">
        <v>4412.2222000000002</v>
      </c>
      <c r="H22" s="73">
        <v>1323.6667</v>
      </c>
      <c r="I22" s="73">
        <v>308.0111</v>
      </c>
      <c r="J22" s="73">
        <v>158.24889999999999</v>
      </c>
      <c r="K22" s="73">
        <v>0</v>
      </c>
      <c r="L22" s="73">
        <v>0</v>
      </c>
      <c r="M22" s="73">
        <v>0</v>
      </c>
      <c r="N22" s="73">
        <v>0</v>
      </c>
      <c r="O22" s="73">
        <v>0</v>
      </c>
      <c r="P22" s="73">
        <v>1323.6667</v>
      </c>
      <c r="Q22" s="73">
        <v>1230.7778000000001</v>
      </c>
      <c r="R22" s="73">
        <v>3181.4443999999999</v>
      </c>
      <c r="S22" s="73">
        <v>0.33333333333333331</v>
      </c>
      <c r="T22" t="s">
        <v>201</v>
      </c>
    </row>
    <row r="23" spans="1:20" x14ac:dyDescent="0.35">
      <c r="A23" s="255" t="s">
        <v>101</v>
      </c>
      <c r="B23" s="255" t="s">
        <v>43</v>
      </c>
      <c r="C23" s="73">
        <v>2941.8121999999998</v>
      </c>
      <c r="D23" s="73">
        <v>1013.3333</v>
      </c>
      <c r="E23" s="73">
        <v>11</v>
      </c>
      <c r="F23" s="73">
        <v>27433.888900000002</v>
      </c>
      <c r="G23" s="73">
        <v>2740.2222000000002</v>
      </c>
      <c r="H23" s="73">
        <v>1954.8888999999999</v>
      </c>
      <c r="I23" s="73">
        <v>145.0333</v>
      </c>
      <c r="J23" s="73">
        <v>541.26779999999997</v>
      </c>
      <c r="K23" s="73">
        <v>0</v>
      </c>
      <c r="L23" s="73">
        <v>0</v>
      </c>
      <c r="M23" s="73">
        <v>0</v>
      </c>
      <c r="N23" s="73">
        <v>0</v>
      </c>
      <c r="O23" s="73">
        <v>420.11110000000002</v>
      </c>
      <c r="P23" s="73">
        <v>1534.7778000000001</v>
      </c>
      <c r="Q23" s="73">
        <v>1315.2221999999999</v>
      </c>
      <c r="R23" s="73">
        <v>1425</v>
      </c>
      <c r="S23" s="73">
        <v>0.73333333333333328</v>
      </c>
      <c r="T23" t="s">
        <v>201</v>
      </c>
    </row>
    <row r="24" spans="1:20" x14ac:dyDescent="0.35">
      <c r="A24" s="255" t="s">
        <v>102</v>
      </c>
      <c r="B24" s="255" t="s">
        <v>44</v>
      </c>
      <c r="C24" s="73">
        <v>1902.1111000000001</v>
      </c>
      <c r="D24" s="73">
        <v>1414.4444000000001</v>
      </c>
      <c r="E24" s="73">
        <v>15</v>
      </c>
      <c r="F24" s="73">
        <v>34527.327799999999</v>
      </c>
      <c r="G24" s="73">
        <v>2239.7833000000001</v>
      </c>
      <c r="H24" s="73">
        <v>14542.4944</v>
      </c>
      <c r="I24" s="73">
        <v>290.27780000000001</v>
      </c>
      <c r="J24" s="73">
        <v>330.6</v>
      </c>
      <c r="K24" s="73">
        <v>0</v>
      </c>
      <c r="L24" s="73">
        <v>0</v>
      </c>
      <c r="M24" s="73">
        <v>0</v>
      </c>
      <c r="N24" s="73">
        <v>0</v>
      </c>
      <c r="O24" s="73">
        <v>0</v>
      </c>
      <c r="P24" s="73">
        <v>14542.4944</v>
      </c>
      <c r="Q24" s="73">
        <v>1963.0166999999999</v>
      </c>
      <c r="R24" s="73">
        <v>276.76670000000001</v>
      </c>
      <c r="S24" s="73">
        <v>0.9375</v>
      </c>
      <c r="T24" t="s">
        <v>45</v>
      </c>
    </row>
    <row r="25" spans="1:20" x14ac:dyDescent="0.35">
      <c r="A25" s="255" t="s">
        <v>103</v>
      </c>
      <c r="B25" s="255" t="s">
        <v>44</v>
      </c>
      <c r="C25" s="73">
        <v>1199.1111000000001</v>
      </c>
      <c r="D25" s="73">
        <v>1710</v>
      </c>
      <c r="E25" s="73">
        <v>17</v>
      </c>
      <c r="F25" s="73">
        <v>7279.1111000000001</v>
      </c>
      <c r="G25" s="73">
        <v>531.04999999999995</v>
      </c>
      <c r="H25" s="73">
        <v>4747.8888999999999</v>
      </c>
      <c r="I25" s="73">
        <v>145.0333</v>
      </c>
      <c r="J25" s="73">
        <v>267.45670000000001</v>
      </c>
      <c r="K25" s="73">
        <v>0</v>
      </c>
      <c r="L25" s="73">
        <v>0</v>
      </c>
      <c r="M25" s="73">
        <v>0</v>
      </c>
      <c r="N25" s="73">
        <v>0</v>
      </c>
      <c r="O25" s="73">
        <v>0</v>
      </c>
      <c r="P25" s="73">
        <v>4747.8888999999999</v>
      </c>
      <c r="Q25" s="73">
        <v>366.38330000000002</v>
      </c>
      <c r="R25" s="73">
        <v>164.66669999999999</v>
      </c>
      <c r="S25" s="73">
        <v>1.7</v>
      </c>
      <c r="T25" t="s">
        <v>45</v>
      </c>
    </row>
    <row r="26" spans="1:20" x14ac:dyDescent="0.35">
      <c r="A26" s="255" t="s">
        <v>104</v>
      </c>
      <c r="B26" s="255" t="s">
        <v>44</v>
      </c>
      <c r="C26" s="73">
        <v>1287.2710999999999</v>
      </c>
      <c r="D26" s="73">
        <v>876.11109999999996</v>
      </c>
      <c r="E26" s="73">
        <v>9</v>
      </c>
      <c r="F26" s="73">
        <v>27645</v>
      </c>
      <c r="G26" s="73">
        <v>2381.65</v>
      </c>
      <c r="H26" s="73">
        <v>4431.2222000000002</v>
      </c>
      <c r="I26" s="73">
        <v>35.677799999999998</v>
      </c>
      <c r="J26" s="73">
        <v>0</v>
      </c>
      <c r="K26" s="73">
        <v>0</v>
      </c>
      <c r="L26" s="73">
        <v>0</v>
      </c>
      <c r="M26" s="73">
        <v>0</v>
      </c>
      <c r="N26" s="73">
        <v>0</v>
      </c>
      <c r="O26" s="73">
        <v>0</v>
      </c>
      <c r="P26" s="73">
        <v>4431.2222000000002</v>
      </c>
      <c r="Q26" s="73">
        <v>1378.8722</v>
      </c>
      <c r="R26" s="73">
        <v>1002.7778</v>
      </c>
      <c r="S26" s="73">
        <v>0.9</v>
      </c>
      <c r="T26" t="s">
        <v>45</v>
      </c>
    </row>
    <row r="27" spans="1:20" x14ac:dyDescent="0.35">
      <c r="A27" s="255" t="s">
        <v>105</v>
      </c>
      <c r="B27" s="255" t="s">
        <v>44</v>
      </c>
      <c r="C27" s="73">
        <v>2575.0277999999998</v>
      </c>
      <c r="D27" s="73">
        <v>1636.0689</v>
      </c>
      <c r="E27" s="73">
        <v>15</v>
      </c>
      <c r="F27" s="73">
        <v>41671.327799999999</v>
      </c>
      <c r="G27" s="73">
        <v>3620.5344</v>
      </c>
      <c r="H27" s="73">
        <v>6329.1111000000001</v>
      </c>
      <c r="I27" s="73">
        <v>330.81110000000001</v>
      </c>
      <c r="J27" s="73">
        <v>263.0444</v>
      </c>
      <c r="K27" s="73">
        <v>0</v>
      </c>
      <c r="L27" s="73">
        <v>0</v>
      </c>
      <c r="M27" s="73">
        <v>0</v>
      </c>
      <c r="N27" s="73">
        <v>0</v>
      </c>
      <c r="O27" s="73">
        <v>0</v>
      </c>
      <c r="P27" s="73">
        <v>6329.1111000000001</v>
      </c>
      <c r="Q27" s="73">
        <v>1714.1167</v>
      </c>
      <c r="R27" s="73">
        <v>1906.4177999999999</v>
      </c>
      <c r="S27" s="73">
        <v>0.9375</v>
      </c>
      <c r="T27" t="s">
        <v>45</v>
      </c>
    </row>
    <row r="28" spans="1:20" x14ac:dyDescent="0.35">
      <c r="A28" s="255" t="s">
        <v>106</v>
      </c>
      <c r="B28" s="255" t="s">
        <v>40</v>
      </c>
      <c r="C28" s="73">
        <v>998.55560000000003</v>
      </c>
      <c r="D28" s="73">
        <v>1593.8467000000001</v>
      </c>
      <c r="E28" s="73">
        <v>15</v>
      </c>
      <c r="F28" s="73">
        <v>15086</v>
      </c>
      <c r="G28" s="73">
        <v>2721.2222000000002</v>
      </c>
      <c r="H28" s="73">
        <v>2740.2222000000002</v>
      </c>
      <c r="I28" s="73">
        <v>35.677799999999998</v>
      </c>
      <c r="J28" s="73">
        <v>210.6678</v>
      </c>
      <c r="K28" s="73">
        <v>0</v>
      </c>
      <c r="L28" s="73">
        <v>0</v>
      </c>
      <c r="M28" s="73">
        <v>0</v>
      </c>
      <c r="N28" s="73">
        <v>0</v>
      </c>
      <c r="O28" s="73">
        <v>0</v>
      </c>
      <c r="P28" s="73">
        <v>2740.2222000000002</v>
      </c>
      <c r="Q28" s="73">
        <v>897.22220000000004</v>
      </c>
      <c r="R28" s="73">
        <v>1824</v>
      </c>
      <c r="S28" s="73">
        <v>1.25</v>
      </c>
      <c r="T28" t="s">
        <v>45</v>
      </c>
    </row>
    <row r="29" spans="1:20" x14ac:dyDescent="0.35">
      <c r="A29" s="255" t="s">
        <v>107</v>
      </c>
      <c r="B29" s="255" t="s">
        <v>40</v>
      </c>
      <c r="C29" s="73">
        <v>1327.91</v>
      </c>
      <c r="D29" s="73">
        <v>1182.2221999999999</v>
      </c>
      <c r="E29" s="73">
        <v>11</v>
      </c>
      <c r="F29" s="73">
        <v>20574.888900000002</v>
      </c>
      <c r="G29" s="73">
        <v>1859.8888999999999</v>
      </c>
      <c r="H29" s="73">
        <v>2271.5556000000001</v>
      </c>
      <c r="I29" s="73">
        <v>100.7</v>
      </c>
      <c r="J29" s="73">
        <v>250.54669999999999</v>
      </c>
      <c r="K29" s="73">
        <v>0</v>
      </c>
      <c r="L29" s="73">
        <v>0</v>
      </c>
      <c r="M29" s="73">
        <v>0</v>
      </c>
      <c r="N29" s="73">
        <v>0</v>
      </c>
      <c r="O29" s="73">
        <v>420.11110000000002</v>
      </c>
      <c r="P29" s="73">
        <v>1851.4444000000001</v>
      </c>
      <c r="Q29" s="73">
        <v>812.77779999999996</v>
      </c>
      <c r="R29" s="73">
        <v>1047.1111000000001</v>
      </c>
      <c r="S29" s="73">
        <v>1.1000000000000001</v>
      </c>
      <c r="T29" t="s">
        <v>45</v>
      </c>
    </row>
    <row r="30" spans="1:20" x14ac:dyDescent="0.35">
      <c r="A30" s="255" t="s">
        <v>108</v>
      </c>
      <c r="B30" s="255" t="s">
        <v>40</v>
      </c>
      <c r="C30" s="73">
        <v>2228.7844</v>
      </c>
      <c r="D30" s="73">
        <v>1773.3333</v>
      </c>
      <c r="E30" s="73">
        <v>13</v>
      </c>
      <c r="F30" s="73">
        <v>68915.111099999995</v>
      </c>
      <c r="G30" s="73">
        <v>1990.7778000000001</v>
      </c>
      <c r="H30" s="73">
        <v>2109</v>
      </c>
      <c r="I30" s="73">
        <v>324.4778</v>
      </c>
      <c r="J30" s="73">
        <v>183.0333</v>
      </c>
      <c r="K30" s="73">
        <v>0</v>
      </c>
      <c r="L30" s="73">
        <v>0</v>
      </c>
      <c r="M30" s="73">
        <v>0</v>
      </c>
      <c r="N30" s="73">
        <v>0</v>
      </c>
      <c r="O30" s="73">
        <v>0</v>
      </c>
      <c r="P30" s="73">
        <v>2109</v>
      </c>
      <c r="Q30" s="73">
        <v>521.44439999999997</v>
      </c>
      <c r="R30" s="73">
        <v>1469.3333</v>
      </c>
      <c r="S30" s="73">
        <v>1.0833333333333333</v>
      </c>
      <c r="T30" t="s">
        <v>45</v>
      </c>
    </row>
    <row r="31" spans="1:20" x14ac:dyDescent="0.35">
      <c r="A31" s="255" t="s">
        <v>109</v>
      </c>
      <c r="B31" s="255" t="s">
        <v>46</v>
      </c>
      <c r="C31" s="73">
        <v>1511.5555999999999</v>
      </c>
      <c r="D31" s="73">
        <v>865.55560000000003</v>
      </c>
      <c r="E31" s="73">
        <v>9</v>
      </c>
      <c r="F31" s="73">
        <v>31124.111099999998</v>
      </c>
      <c r="G31" s="73">
        <v>2527</v>
      </c>
      <c r="H31" s="73">
        <v>1598.1111000000001</v>
      </c>
      <c r="I31" s="73">
        <v>0</v>
      </c>
      <c r="J31" s="73">
        <v>143.13329999999999</v>
      </c>
      <c r="K31" s="73">
        <v>0</v>
      </c>
      <c r="L31" s="73">
        <v>0</v>
      </c>
      <c r="M31" s="73">
        <v>0</v>
      </c>
      <c r="N31" s="73">
        <v>0</v>
      </c>
      <c r="O31" s="73">
        <v>377.88889999999998</v>
      </c>
      <c r="P31" s="73">
        <v>1220.2221999999999</v>
      </c>
      <c r="Q31" s="73">
        <v>1165.3333</v>
      </c>
      <c r="R31" s="73">
        <v>1361.6667</v>
      </c>
      <c r="S31" s="73">
        <v>0.81818181818181823</v>
      </c>
      <c r="T31" t="s">
        <v>45</v>
      </c>
    </row>
    <row r="32" spans="1:20" x14ac:dyDescent="0.35">
      <c r="A32" s="255" t="s">
        <v>110</v>
      </c>
      <c r="B32" s="255" t="s">
        <v>46</v>
      </c>
      <c r="C32" s="73">
        <v>1656.6522</v>
      </c>
      <c r="D32" s="73">
        <v>1319.4232999999999</v>
      </c>
      <c r="E32" s="73">
        <v>11</v>
      </c>
      <c r="F32" s="73">
        <v>38726.222199999997</v>
      </c>
      <c r="G32" s="73">
        <v>1045</v>
      </c>
      <c r="H32" s="73">
        <v>736.77779999999996</v>
      </c>
      <c r="I32" s="73">
        <v>332.92219999999998</v>
      </c>
      <c r="J32" s="73">
        <v>513.42219999999998</v>
      </c>
      <c r="K32" s="73">
        <v>0</v>
      </c>
      <c r="L32" s="73">
        <v>0</v>
      </c>
      <c r="M32" s="73">
        <v>0</v>
      </c>
      <c r="N32" s="73">
        <v>0</v>
      </c>
      <c r="O32" s="73">
        <v>0</v>
      </c>
      <c r="P32" s="73">
        <v>736.77779999999996</v>
      </c>
      <c r="Q32" s="73">
        <v>582.66669999999999</v>
      </c>
      <c r="R32" s="73">
        <v>462.33330000000001</v>
      </c>
      <c r="S32" s="73">
        <v>0.7857142857142857</v>
      </c>
      <c r="T32" t="s">
        <v>45</v>
      </c>
    </row>
    <row r="33" spans="1:20" x14ac:dyDescent="0.35">
      <c r="A33" s="255" t="s">
        <v>111</v>
      </c>
      <c r="B33" s="255" t="s">
        <v>46</v>
      </c>
      <c r="C33" s="73">
        <v>3200.4022</v>
      </c>
      <c r="D33" s="73">
        <v>1393.3122000000001</v>
      </c>
      <c r="E33" s="73">
        <v>15</v>
      </c>
      <c r="F33" s="73">
        <v>50757.4444</v>
      </c>
      <c r="G33" s="73">
        <v>2381.3332999999998</v>
      </c>
      <c r="H33" s="73">
        <v>840.22220000000004</v>
      </c>
      <c r="I33" s="73">
        <v>71.355599999999995</v>
      </c>
      <c r="J33" s="73">
        <v>212.5889</v>
      </c>
      <c r="K33" s="73">
        <v>0</v>
      </c>
      <c r="L33" s="73">
        <v>0</v>
      </c>
      <c r="M33" s="73">
        <v>0</v>
      </c>
      <c r="N33" s="73">
        <v>0</v>
      </c>
      <c r="O33" s="73">
        <v>420.11110000000002</v>
      </c>
      <c r="P33" s="73">
        <v>420.11110000000002</v>
      </c>
      <c r="Q33" s="73">
        <v>1270.8888999999999</v>
      </c>
      <c r="R33" s="73">
        <v>1110.4444000000001</v>
      </c>
      <c r="S33" s="73">
        <v>1.0714285714285714</v>
      </c>
      <c r="T33" t="s">
        <v>45</v>
      </c>
    </row>
    <row r="34" spans="1:20" x14ac:dyDescent="0.35">
      <c r="A34" s="255" t="s">
        <v>112</v>
      </c>
      <c r="B34" s="255" t="s">
        <v>46</v>
      </c>
      <c r="C34" s="73">
        <v>314.55560000000003</v>
      </c>
      <c r="D34" s="73">
        <v>0</v>
      </c>
      <c r="E34" s="73">
        <v>0</v>
      </c>
      <c r="F34" s="73">
        <v>0</v>
      </c>
      <c r="G34" s="73">
        <v>0</v>
      </c>
      <c r="H34" s="73">
        <v>0</v>
      </c>
      <c r="I34" s="73">
        <v>0</v>
      </c>
      <c r="J34" s="73">
        <v>311.81110000000001</v>
      </c>
      <c r="K34" s="73">
        <v>0</v>
      </c>
      <c r="L34" s="73">
        <v>0</v>
      </c>
      <c r="M34" s="73">
        <v>0</v>
      </c>
      <c r="N34" s="73">
        <v>0</v>
      </c>
      <c r="O34" s="73">
        <v>0</v>
      </c>
      <c r="P34" s="73">
        <v>0</v>
      </c>
      <c r="Q34" s="73">
        <v>0</v>
      </c>
      <c r="R34" s="73">
        <v>0</v>
      </c>
      <c r="S34" s="73">
        <v>0</v>
      </c>
      <c r="T34" t="s">
        <v>45</v>
      </c>
    </row>
    <row r="35" spans="1:20" x14ac:dyDescent="0.35">
      <c r="A35" s="255" t="s">
        <v>113</v>
      </c>
      <c r="B35" s="255" t="s">
        <v>46</v>
      </c>
      <c r="C35" s="73">
        <v>4000.5767000000001</v>
      </c>
      <c r="D35" s="73">
        <v>1403.8888999999999</v>
      </c>
      <c r="E35" s="73">
        <v>13</v>
      </c>
      <c r="F35" s="73">
        <v>28282.5556</v>
      </c>
      <c r="G35" s="73">
        <v>2613.5556000000001</v>
      </c>
      <c r="H35" s="73">
        <v>1053.4444000000001</v>
      </c>
      <c r="I35" s="73">
        <v>272.33330000000001</v>
      </c>
      <c r="J35" s="73">
        <v>338.62220000000002</v>
      </c>
      <c r="K35" s="73">
        <v>0</v>
      </c>
      <c r="L35" s="73">
        <v>0</v>
      </c>
      <c r="M35" s="73">
        <v>0</v>
      </c>
      <c r="N35" s="73">
        <v>0</v>
      </c>
      <c r="O35" s="73">
        <v>0</v>
      </c>
      <c r="P35" s="73">
        <v>1053.4444000000001</v>
      </c>
      <c r="Q35" s="73">
        <v>1104.1111000000001</v>
      </c>
      <c r="R35" s="73">
        <v>1509.4444000000001</v>
      </c>
      <c r="S35" s="73">
        <v>1.1818181818181821</v>
      </c>
      <c r="T35" t="s">
        <v>45</v>
      </c>
    </row>
    <row r="36" spans="1:20" x14ac:dyDescent="0.35">
      <c r="A36" s="255" t="s">
        <v>114</v>
      </c>
      <c r="B36" s="255" t="s">
        <v>47</v>
      </c>
      <c r="C36" s="73">
        <v>1209.6667</v>
      </c>
      <c r="D36" s="73">
        <v>1013.3122</v>
      </c>
      <c r="E36" s="73">
        <v>11</v>
      </c>
      <c r="F36" s="73">
        <v>17623.5556</v>
      </c>
      <c r="G36" s="73">
        <v>1388.3722</v>
      </c>
      <c r="H36" s="73">
        <v>3164.5556000000001</v>
      </c>
      <c r="I36" s="73">
        <v>147.5667</v>
      </c>
      <c r="J36" s="73">
        <v>107.2444</v>
      </c>
      <c r="K36" s="73">
        <v>0</v>
      </c>
      <c r="L36" s="73">
        <v>0</v>
      </c>
      <c r="M36" s="73">
        <v>0</v>
      </c>
      <c r="N36" s="73">
        <v>0</v>
      </c>
      <c r="O36" s="73">
        <v>0</v>
      </c>
      <c r="P36" s="73">
        <v>3164.5556000000001</v>
      </c>
      <c r="Q36" s="73">
        <v>866.92780000000005</v>
      </c>
      <c r="R36" s="73">
        <v>521.44439999999997</v>
      </c>
      <c r="S36" s="73">
        <v>1</v>
      </c>
      <c r="T36" t="s">
        <v>201</v>
      </c>
    </row>
    <row r="37" spans="1:20" x14ac:dyDescent="0.35">
      <c r="A37" s="255" t="s">
        <v>115</v>
      </c>
      <c r="B37" s="255" t="s">
        <v>47</v>
      </c>
      <c r="C37" s="73">
        <v>1825.0555999999999</v>
      </c>
      <c r="D37" s="73">
        <v>844.44439999999997</v>
      </c>
      <c r="E37" s="73">
        <v>7</v>
      </c>
      <c r="F37" s="73">
        <v>12662.4444</v>
      </c>
      <c r="G37" s="73">
        <v>1031.3833</v>
      </c>
      <c r="H37" s="73">
        <v>1093.5555999999999</v>
      </c>
      <c r="I37" s="73">
        <v>73.677800000000005</v>
      </c>
      <c r="J37" s="73">
        <v>126.4556</v>
      </c>
      <c r="K37" s="73">
        <v>0</v>
      </c>
      <c r="L37" s="73">
        <v>0</v>
      </c>
      <c r="M37" s="73">
        <v>0</v>
      </c>
      <c r="N37" s="73">
        <v>0</v>
      </c>
      <c r="O37" s="73">
        <v>0</v>
      </c>
      <c r="P37" s="73">
        <v>1093.5555999999999</v>
      </c>
      <c r="Q37" s="73">
        <v>759.05</v>
      </c>
      <c r="R37" s="73">
        <v>272.33330000000001</v>
      </c>
      <c r="S37" s="73">
        <v>0.63636363636363635</v>
      </c>
      <c r="T37" t="s">
        <v>201</v>
      </c>
    </row>
    <row r="38" spans="1:20" x14ac:dyDescent="0.35">
      <c r="A38" s="255" t="s">
        <v>116</v>
      </c>
      <c r="B38" s="255" t="s">
        <v>47</v>
      </c>
      <c r="C38" s="73">
        <v>1910.5555999999999</v>
      </c>
      <c r="D38" s="73">
        <v>2364.4443999999999</v>
      </c>
      <c r="E38" s="73">
        <v>24</v>
      </c>
      <c r="F38" s="73">
        <v>10232.5556</v>
      </c>
      <c r="G38" s="73">
        <v>1434.9222</v>
      </c>
      <c r="H38" s="73">
        <v>8121.4444000000003</v>
      </c>
      <c r="I38" s="73">
        <v>183.0333</v>
      </c>
      <c r="J38" s="73">
        <v>269.75779999999997</v>
      </c>
      <c r="K38" s="73">
        <v>0</v>
      </c>
      <c r="L38" s="73">
        <v>0</v>
      </c>
      <c r="M38" s="73">
        <v>0</v>
      </c>
      <c r="N38" s="73">
        <v>0</v>
      </c>
      <c r="O38" s="73">
        <v>0</v>
      </c>
      <c r="P38" s="73">
        <v>8121.4444000000003</v>
      </c>
      <c r="Q38" s="73">
        <v>422.43329999999997</v>
      </c>
      <c r="R38" s="73">
        <v>1012.4888999999999</v>
      </c>
      <c r="S38" s="73">
        <v>2.1818181818181817</v>
      </c>
      <c r="T38" t="s">
        <v>201</v>
      </c>
    </row>
    <row r="39" spans="1:20" x14ac:dyDescent="0.35">
      <c r="A39" s="255" t="s">
        <v>117</v>
      </c>
      <c r="B39" s="255" t="s">
        <v>41</v>
      </c>
      <c r="C39" s="73">
        <v>4167.3122000000003</v>
      </c>
      <c r="D39" s="73">
        <v>3061.1111000000001</v>
      </c>
      <c r="E39" s="73">
        <v>28</v>
      </c>
      <c r="F39" s="73">
        <v>35817.111100000002</v>
      </c>
      <c r="G39" s="73">
        <v>1026</v>
      </c>
      <c r="H39" s="73">
        <v>12829.2222</v>
      </c>
      <c r="I39" s="73">
        <v>308.0111</v>
      </c>
      <c r="J39" s="73">
        <v>105.3233</v>
      </c>
      <c r="K39" s="73">
        <v>0</v>
      </c>
      <c r="L39" s="73">
        <v>0</v>
      </c>
      <c r="M39" s="73">
        <v>0</v>
      </c>
      <c r="N39" s="73">
        <v>0</v>
      </c>
      <c r="O39" s="73">
        <v>0</v>
      </c>
      <c r="P39" s="73">
        <v>12829.2222</v>
      </c>
      <c r="Q39" s="73">
        <v>521.44439999999997</v>
      </c>
      <c r="R39" s="73">
        <v>504.55560000000003</v>
      </c>
      <c r="S39" s="73">
        <v>1.75</v>
      </c>
      <c r="T39" t="s">
        <v>201</v>
      </c>
    </row>
    <row r="40" spans="1:20" x14ac:dyDescent="0.35">
      <c r="A40" s="255" t="s">
        <v>118</v>
      </c>
      <c r="B40" s="255" t="s">
        <v>41</v>
      </c>
      <c r="C40" s="73">
        <v>629.11109999999996</v>
      </c>
      <c r="D40" s="73">
        <v>633.33330000000001</v>
      </c>
      <c r="E40" s="73">
        <v>7</v>
      </c>
      <c r="F40" s="73">
        <v>12200.1111</v>
      </c>
      <c r="G40" s="73">
        <v>0</v>
      </c>
      <c r="H40" s="73">
        <v>145.66669999999999</v>
      </c>
      <c r="I40" s="73">
        <v>274.23329999999999</v>
      </c>
      <c r="J40" s="73">
        <v>0</v>
      </c>
      <c r="K40" s="73">
        <v>0</v>
      </c>
      <c r="L40" s="73">
        <v>0</v>
      </c>
      <c r="M40" s="73">
        <v>0</v>
      </c>
      <c r="N40" s="73">
        <v>0</v>
      </c>
      <c r="O40" s="73">
        <v>0</v>
      </c>
      <c r="P40" s="73">
        <v>145.66669999999999</v>
      </c>
      <c r="Q40" s="73">
        <v>0</v>
      </c>
      <c r="R40" s="73">
        <v>0</v>
      </c>
      <c r="S40" s="73">
        <v>0.7</v>
      </c>
      <c r="T40" t="s">
        <v>201</v>
      </c>
    </row>
    <row r="41" spans="1:20" x14ac:dyDescent="0.35">
      <c r="A41" s="255" t="s">
        <v>119</v>
      </c>
      <c r="B41" s="255" t="s">
        <v>41</v>
      </c>
      <c r="C41" s="73">
        <v>2096.3121999999998</v>
      </c>
      <c r="D41" s="73">
        <v>1139.9789000000001</v>
      </c>
      <c r="E41" s="73">
        <v>11</v>
      </c>
      <c r="F41" s="73">
        <v>6964.5555999999997</v>
      </c>
      <c r="G41" s="73">
        <v>178.49440000000001</v>
      </c>
      <c r="H41" s="73">
        <v>819.11109999999996</v>
      </c>
      <c r="I41" s="73">
        <v>73.677800000000005</v>
      </c>
      <c r="J41" s="73">
        <v>178.81110000000001</v>
      </c>
      <c r="K41" s="73">
        <v>0</v>
      </c>
      <c r="L41" s="73">
        <v>0</v>
      </c>
      <c r="M41" s="73">
        <v>0</v>
      </c>
      <c r="N41" s="73">
        <v>0</v>
      </c>
      <c r="O41" s="73">
        <v>0</v>
      </c>
      <c r="P41" s="73">
        <v>819.11109999999996</v>
      </c>
      <c r="Q41" s="73">
        <v>178.49440000000001</v>
      </c>
      <c r="R41" s="73">
        <v>0</v>
      </c>
      <c r="S41" s="73">
        <v>1.1000000000000001</v>
      </c>
      <c r="T41" t="s">
        <v>201</v>
      </c>
    </row>
    <row r="42" spans="1:20" x14ac:dyDescent="0.35">
      <c r="A42" s="255" t="s">
        <v>120</v>
      </c>
      <c r="B42" s="255" t="s">
        <v>41</v>
      </c>
      <c r="C42" s="73">
        <v>1832.4444000000001</v>
      </c>
      <c r="D42" s="73">
        <v>527.77779999999996</v>
      </c>
      <c r="E42" s="73">
        <v>5</v>
      </c>
      <c r="F42" s="73">
        <v>40075.222199999997</v>
      </c>
      <c r="G42" s="73">
        <v>3261.6667000000002</v>
      </c>
      <c r="H42" s="73">
        <v>18590.4444</v>
      </c>
      <c r="I42" s="73">
        <v>145.0333</v>
      </c>
      <c r="J42" s="73">
        <v>65.212199999999996</v>
      </c>
      <c r="K42" s="73">
        <v>0</v>
      </c>
      <c r="L42" s="73">
        <v>0</v>
      </c>
      <c r="M42" s="73">
        <v>0</v>
      </c>
      <c r="N42" s="73">
        <v>0</v>
      </c>
      <c r="O42" s="73">
        <v>0</v>
      </c>
      <c r="P42" s="73">
        <v>18590.4444</v>
      </c>
      <c r="Q42" s="73">
        <v>1085.1111000000001</v>
      </c>
      <c r="R42" s="73">
        <v>2176.5556000000001</v>
      </c>
      <c r="S42" s="73">
        <v>0.3125</v>
      </c>
      <c r="T42" t="s">
        <v>201</v>
      </c>
    </row>
    <row r="43" spans="1:20" x14ac:dyDescent="0.35">
      <c r="A43" s="255" t="s">
        <v>99</v>
      </c>
      <c r="B43" s="255" t="s">
        <v>41</v>
      </c>
      <c r="C43" s="73">
        <v>394.77780000000001</v>
      </c>
      <c r="D43" s="73">
        <v>179.4444</v>
      </c>
      <c r="E43" s="73">
        <v>3</v>
      </c>
      <c r="F43" s="73">
        <v>2742.3332999999998</v>
      </c>
      <c r="G43" s="73">
        <v>0</v>
      </c>
      <c r="H43" s="73">
        <v>0</v>
      </c>
      <c r="I43" s="73">
        <v>0</v>
      </c>
      <c r="J43" s="73">
        <v>174.7578</v>
      </c>
      <c r="K43" s="73">
        <v>0</v>
      </c>
      <c r="L43" s="73">
        <v>0</v>
      </c>
      <c r="M43" s="73">
        <v>0</v>
      </c>
      <c r="N43" s="73">
        <v>0</v>
      </c>
      <c r="O43" s="73">
        <v>0</v>
      </c>
      <c r="P43" s="73">
        <v>0</v>
      </c>
      <c r="Q43" s="73">
        <v>0</v>
      </c>
      <c r="R43" s="73">
        <v>0</v>
      </c>
      <c r="S43" s="73">
        <v>0.27272727272727271</v>
      </c>
      <c r="T43" t="s">
        <v>201</v>
      </c>
    </row>
    <row r="44" spans="1:20" x14ac:dyDescent="0.35">
      <c r="A44" s="255" t="s">
        <v>121</v>
      </c>
      <c r="B44" s="255" t="s">
        <v>41</v>
      </c>
      <c r="C44" s="73">
        <v>2166</v>
      </c>
      <c r="D44" s="73">
        <v>2575.5556000000001</v>
      </c>
      <c r="E44" s="73">
        <v>22</v>
      </c>
      <c r="F44" s="73">
        <v>17095.7778</v>
      </c>
      <c r="G44" s="73">
        <v>1448.2221999999999</v>
      </c>
      <c r="H44" s="73">
        <v>1072.4444000000001</v>
      </c>
      <c r="I44" s="73">
        <v>147.5667</v>
      </c>
      <c r="J44" s="73">
        <v>44.122199999999999</v>
      </c>
      <c r="K44" s="73">
        <v>0</v>
      </c>
      <c r="L44" s="73">
        <v>0</v>
      </c>
      <c r="M44" s="73">
        <v>0</v>
      </c>
      <c r="N44" s="73">
        <v>0</v>
      </c>
      <c r="O44" s="73">
        <v>0</v>
      </c>
      <c r="P44" s="73">
        <v>1072.4444000000001</v>
      </c>
      <c r="Q44" s="73">
        <v>314.55560000000003</v>
      </c>
      <c r="R44" s="73">
        <v>1133.6667</v>
      </c>
      <c r="S44" s="73">
        <v>1.375</v>
      </c>
      <c r="T44" t="s">
        <v>201</v>
      </c>
    </row>
    <row r="45" spans="1:20" x14ac:dyDescent="0.35">
      <c r="A45" s="255" t="s">
        <v>122</v>
      </c>
      <c r="B45" s="255" t="s">
        <v>41</v>
      </c>
      <c r="C45" s="73">
        <v>4338.3122000000003</v>
      </c>
      <c r="D45" s="73">
        <v>1002.7778</v>
      </c>
      <c r="E45" s="73">
        <v>11</v>
      </c>
      <c r="F45" s="73">
        <v>29606.2222</v>
      </c>
      <c r="G45" s="73">
        <v>2801.4443999999999</v>
      </c>
      <c r="H45" s="73">
        <v>11984.7778</v>
      </c>
      <c r="I45" s="73">
        <v>256.71109999999999</v>
      </c>
      <c r="J45" s="73">
        <v>394.08109999999999</v>
      </c>
      <c r="K45" s="73">
        <v>0</v>
      </c>
      <c r="L45" s="73">
        <v>0</v>
      </c>
      <c r="M45" s="73">
        <v>0</v>
      </c>
      <c r="N45" s="73">
        <v>0</v>
      </c>
      <c r="O45" s="73">
        <v>377.88889999999998</v>
      </c>
      <c r="P45" s="73">
        <v>11606.8889</v>
      </c>
      <c r="Q45" s="73">
        <v>1000.6667</v>
      </c>
      <c r="R45" s="73">
        <v>1800.7778000000001</v>
      </c>
      <c r="S45" s="73">
        <v>0.6875</v>
      </c>
      <c r="T45" t="s">
        <v>201</v>
      </c>
    </row>
    <row r="46" spans="1:20" x14ac:dyDescent="0.35">
      <c r="A46" s="255" t="s">
        <v>123</v>
      </c>
      <c r="B46" s="255" t="s">
        <v>31</v>
      </c>
      <c r="C46" s="73">
        <v>1910.5555999999999</v>
      </c>
      <c r="D46" s="73">
        <v>0</v>
      </c>
      <c r="E46" s="73">
        <v>0</v>
      </c>
      <c r="F46" s="73">
        <v>49805.333299999998</v>
      </c>
      <c r="G46" s="73">
        <v>5125.7777999999998</v>
      </c>
      <c r="H46" s="73">
        <v>4975.8888999999999</v>
      </c>
      <c r="I46" s="73">
        <v>493.78890000000001</v>
      </c>
      <c r="J46" s="73">
        <v>162.3022</v>
      </c>
      <c r="K46" s="73">
        <v>0</v>
      </c>
      <c r="L46" s="73">
        <v>0</v>
      </c>
      <c r="M46" s="73">
        <v>0</v>
      </c>
      <c r="N46" s="73">
        <v>0</v>
      </c>
      <c r="O46" s="73">
        <v>0</v>
      </c>
      <c r="P46" s="73">
        <v>4975.8888999999999</v>
      </c>
      <c r="Q46" s="73">
        <v>2212.4443999999999</v>
      </c>
      <c r="R46" s="73">
        <v>2913.3332999999998</v>
      </c>
      <c r="S46" s="73">
        <v>0</v>
      </c>
      <c r="T46" t="s">
        <v>28</v>
      </c>
    </row>
    <row r="47" spans="1:20" x14ac:dyDescent="0.35">
      <c r="A47" s="255" t="s">
        <v>124</v>
      </c>
      <c r="B47" s="255" t="s">
        <v>31</v>
      </c>
      <c r="C47" s="73">
        <v>2778.2222000000002</v>
      </c>
      <c r="D47" s="73">
        <v>0</v>
      </c>
      <c r="E47" s="73">
        <v>0</v>
      </c>
      <c r="F47" s="73">
        <v>54614.4444</v>
      </c>
      <c r="G47" s="73">
        <v>3990</v>
      </c>
      <c r="H47" s="73">
        <v>13346.4444</v>
      </c>
      <c r="I47" s="73">
        <v>153.0556</v>
      </c>
      <c r="J47" s="73">
        <v>130.0444</v>
      </c>
      <c r="K47" s="73">
        <v>0</v>
      </c>
      <c r="L47" s="73">
        <v>0</v>
      </c>
      <c r="M47" s="73">
        <v>0</v>
      </c>
      <c r="N47" s="73">
        <v>0</v>
      </c>
      <c r="O47" s="73">
        <v>420.11110000000002</v>
      </c>
      <c r="P47" s="73">
        <v>12926.3333</v>
      </c>
      <c r="Q47" s="73">
        <v>1395.4444000000001</v>
      </c>
      <c r="R47" s="73">
        <v>2594.5556000000001</v>
      </c>
      <c r="S47" s="73">
        <v>0</v>
      </c>
      <c r="T47" t="s">
        <v>28</v>
      </c>
    </row>
    <row r="48" spans="1:20" x14ac:dyDescent="0.35">
      <c r="A48" s="255" t="s">
        <v>125</v>
      </c>
      <c r="B48" s="255" t="s">
        <v>48</v>
      </c>
      <c r="C48" s="73">
        <v>2407.7433000000001</v>
      </c>
      <c r="D48" s="73">
        <v>1372.2221999999999</v>
      </c>
      <c r="E48" s="73">
        <v>15</v>
      </c>
      <c r="F48" s="73">
        <v>50966.4444</v>
      </c>
      <c r="G48" s="73">
        <v>2157.5556000000001</v>
      </c>
      <c r="H48" s="73">
        <v>15565.2222</v>
      </c>
      <c r="I48" s="73">
        <v>284.57780000000002</v>
      </c>
      <c r="J48" s="73">
        <v>86.323300000000003</v>
      </c>
      <c r="K48" s="73">
        <v>0</v>
      </c>
      <c r="L48" s="73">
        <v>0</v>
      </c>
      <c r="M48" s="73">
        <v>0</v>
      </c>
      <c r="N48" s="73">
        <v>0</v>
      </c>
      <c r="O48" s="73">
        <v>0</v>
      </c>
      <c r="P48" s="73">
        <v>15565.2222</v>
      </c>
      <c r="Q48" s="73">
        <v>1150.5555999999999</v>
      </c>
      <c r="R48" s="73">
        <v>1007</v>
      </c>
      <c r="S48" s="73">
        <v>0.9375</v>
      </c>
      <c r="T48" t="s">
        <v>45</v>
      </c>
    </row>
    <row r="49" spans="1:20" x14ac:dyDescent="0.35">
      <c r="A49" s="255" t="s">
        <v>126</v>
      </c>
      <c r="B49" s="255" t="s">
        <v>48</v>
      </c>
      <c r="C49" s="73">
        <v>3253.2222000000002</v>
      </c>
      <c r="D49" s="73">
        <v>1942.2433000000001</v>
      </c>
      <c r="E49" s="73">
        <v>19</v>
      </c>
      <c r="F49" s="73">
        <v>49172</v>
      </c>
      <c r="G49" s="73">
        <v>2615.6667000000002</v>
      </c>
      <c r="H49" s="73">
        <v>441.22219999999999</v>
      </c>
      <c r="I49" s="73">
        <v>346.0111</v>
      </c>
      <c r="J49" s="73">
        <v>784.7</v>
      </c>
      <c r="K49" s="73">
        <v>0</v>
      </c>
      <c r="L49" s="73">
        <v>0</v>
      </c>
      <c r="M49" s="73">
        <v>0</v>
      </c>
      <c r="N49" s="73">
        <v>0</v>
      </c>
      <c r="O49" s="73">
        <v>0</v>
      </c>
      <c r="P49" s="73">
        <v>441.22219999999999</v>
      </c>
      <c r="Q49" s="73">
        <v>1653</v>
      </c>
      <c r="R49" s="73">
        <v>962.66669999999999</v>
      </c>
      <c r="S49" s="73">
        <v>1.1875</v>
      </c>
      <c r="T49" t="s">
        <v>45</v>
      </c>
    </row>
    <row r="50" spans="1:20" x14ac:dyDescent="0.35">
      <c r="A50" s="255" t="s">
        <v>127</v>
      </c>
      <c r="B50" s="255" t="s">
        <v>48</v>
      </c>
      <c r="C50" s="73">
        <v>1450.3333</v>
      </c>
      <c r="D50" s="73">
        <v>992.22220000000004</v>
      </c>
      <c r="E50" s="73">
        <v>9</v>
      </c>
      <c r="F50" s="73">
        <v>28905.333299999998</v>
      </c>
      <c r="G50" s="73">
        <v>2282.1111000000001</v>
      </c>
      <c r="H50" s="73">
        <v>1790.2221999999999</v>
      </c>
      <c r="I50" s="73">
        <v>216.38890000000001</v>
      </c>
      <c r="J50" s="73">
        <v>290.25670000000002</v>
      </c>
      <c r="K50" s="73">
        <v>0</v>
      </c>
      <c r="L50" s="73">
        <v>0</v>
      </c>
      <c r="M50" s="73">
        <v>0</v>
      </c>
      <c r="N50" s="73">
        <v>0</v>
      </c>
      <c r="O50" s="73">
        <v>0</v>
      </c>
      <c r="P50" s="73">
        <v>1790.2221999999999</v>
      </c>
      <c r="Q50" s="73">
        <v>502.44439999999997</v>
      </c>
      <c r="R50" s="73">
        <v>1779.6667</v>
      </c>
      <c r="S50" s="73">
        <v>0.81818181818181823</v>
      </c>
      <c r="T50" t="s">
        <v>45</v>
      </c>
    </row>
    <row r="51" spans="1:20" x14ac:dyDescent="0.35">
      <c r="A51" s="255" t="s">
        <v>128</v>
      </c>
      <c r="B51" s="255" t="s">
        <v>48</v>
      </c>
      <c r="C51" s="73">
        <v>3396.7777999999998</v>
      </c>
      <c r="D51" s="73">
        <v>684</v>
      </c>
      <c r="E51" s="73">
        <v>7</v>
      </c>
      <c r="F51" s="73">
        <v>53603.222199999997</v>
      </c>
      <c r="G51" s="73">
        <v>3561.4443999999999</v>
      </c>
      <c r="H51" s="73">
        <v>2168.1111000000001</v>
      </c>
      <c r="I51" s="73">
        <v>250.5889</v>
      </c>
      <c r="J51" s="73">
        <v>42.011099999999999</v>
      </c>
      <c r="K51" s="73">
        <v>0</v>
      </c>
      <c r="L51" s="73">
        <v>0</v>
      </c>
      <c r="M51" s="73">
        <v>0</v>
      </c>
      <c r="N51" s="73">
        <v>0</v>
      </c>
      <c r="O51" s="73">
        <v>420.11110000000002</v>
      </c>
      <c r="P51" s="73">
        <v>1748</v>
      </c>
      <c r="Q51" s="73">
        <v>1507.3333</v>
      </c>
      <c r="R51" s="73">
        <v>2054.1111000000001</v>
      </c>
      <c r="S51" s="73">
        <v>0.53846153846153844</v>
      </c>
      <c r="T51" t="s">
        <v>45</v>
      </c>
    </row>
    <row r="52" spans="1:20" x14ac:dyDescent="0.35">
      <c r="A52" s="255" t="s">
        <v>129</v>
      </c>
      <c r="B52" s="255" t="s">
        <v>48</v>
      </c>
      <c r="C52" s="73">
        <v>4109.7843999999996</v>
      </c>
      <c r="D52" s="73">
        <v>2543.8467000000001</v>
      </c>
      <c r="E52" s="73">
        <v>26</v>
      </c>
      <c r="F52" s="73">
        <v>140258</v>
      </c>
      <c r="G52" s="73">
        <v>6500.1111000000001</v>
      </c>
      <c r="H52" s="73">
        <v>10857.4444</v>
      </c>
      <c r="I52" s="73">
        <v>666.26670000000001</v>
      </c>
      <c r="J52" s="73">
        <v>387.38889999999998</v>
      </c>
      <c r="K52" s="73">
        <v>0</v>
      </c>
      <c r="L52" s="73">
        <v>0</v>
      </c>
      <c r="M52" s="73">
        <v>0</v>
      </c>
      <c r="N52" s="73">
        <v>0</v>
      </c>
      <c r="O52" s="73">
        <v>0</v>
      </c>
      <c r="P52" s="73">
        <v>10857.4444</v>
      </c>
      <c r="Q52" s="73">
        <v>2470</v>
      </c>
      <c r="R52" s="73">
        <v>4030.1111000000001</v>
      </c>
      <c r="S52" s="73">
        <v>1.625</v>
      </c>
      <c r="T52" t="s">
        <v>45</v>
      </c>
    </row>
    <row r="53" spans="1:20" x14ac:dyDescent="0.35">
      <c r="A53" s="255" t="s">
        <v>130</v>
      </c>
      <c r="B53" s="255" t="s">
        <v>48</v>
      </c>
      <c r="C53" s="73">
        <v>1545.3333</v>
      </c>
      <c r="D53" s="73">
        <v>358.88889999999998</v>
      </c>
      <c r="E53" s="73">
        <v>5</v>
      </c>
      <c r="F53" s="73">
        <v>53202.111100000002</v>
      </c>
      <c r="G53" s="73">
        <v>5866.7777999999998</v>
      </c>
      <c r="H53" s="73">
        <v>6753.4444000000003</v>
      </c>
      <c r="I53" s="73">
        <v>0</v>
      </c>
      <c r="J53" s="73">
        <v>389.71109999999999</v>
      </c>
      <c r="K53" s="73">
        <v>0</v>
      </c>
      <c r="L53" s="73">
        <v>0</v>
      </c>
      <c r="M53" s="73">
        <v>0</v>
      </c>
      <c r="N53" s="73">
        <v>0</v>
      </c>
      <c r="O53" s="73">
        <v>0</v>
      </c>
      <c r="P53" s="73">
        <v>6753.4444000000003</v>
      </c>
      <c r="Q53" s="73">
        <v>2638.8888999999999</v>
      </c>
      <c r="R53" s="73">
        <v>3227.8888999999999</v>
      </c>
      <c r="S53" s="73">
        <v>0.38461538461538464</v>
      </c>
      <c r="T53" t="s">
        <v>45</v>
      </c>
    </row>
    <row r="54" spans="1:20" x14ac:dyDescent="0.35">
      <c r="A54" s="255" t="s">
        <v>131</v>
      </c>
      <c r="B54" s="255" t="s">
        <v>48</v>
      </c>
      <c r="C54" s="73">
        <v>1213.8888999999999</v>
      </c>
      <c r="D54" s="73">
        <v>411.66669999999999</v>
      </c>
      <c r="E54" s="73">
        <v>5</v>
      </c>
      <c r="F54" s="73">
        <v>20895.7778</v>
      </c>
      <c r="G54" s="73">
        <v>1509.4444000000001</v>
      </c>
      <c r="H54" s="73">
        <v>1959.1111000000001</v>
      </c>
      <c r="I54" s="73">
        <v>147.5667</v>
      </c>
      <c r="J54" s="73">
        <v>511.94439999999997</v>
      </c>
      <c r="K54" s="73">
        <v>0</v>
      </c>
      <c r="L54" s="73">
        <v>0</v>
      </c>
      <c r="M54" s="73">
        <v>0</v>
      </c>
      <c r="N54" s="73">
        <v>0</v>
      </c>
      <c r="O54" s="73">
        <v>0</v>
      </c>
      <c r="P54" s="73">
        <v>1959.1111000000001</v>
      </c>
      <c r="Q54" s="73">
        <v>187.88890000000001</v>
      </c>
      <c r="R54" s="73">
        <v>1321.5555999999999</v>
      </c>
      <c r="S54" s="73">
        <v>0.38461538461538464</v>
      </c>
      <c r="T54" t="s">
        <v>45</v>
      </c>
    </row>
    <row r="55" spans="1:20" x14ac:dyDescent="0.35">
      <c r="A55" s="255" t="s">
        <v>132</v>
      </c>
      <c r="B55" s="255" t="s">
        <v>48</v>
      </c>
      <c r="C55" s="73">
        <v>3169.8332999999998</v>
      </c>
      <c r="D55" s="73">
        <v>992.22220000000004</v>
      </c>
      <c r="E55" s="73">
        <v>11</v>
      </c>
      <c r="F55" s="73">
        <v>65953.222200000004</v>
      </c>
      <c r="G55" s="73">
        <v>2763.4443999999999</v>
      </c>
      <c r="H55" s="73">
        <v>8180.5555999999997</v>
      </c>
      <c r="I55" s="73">
        <v>516.37779999999998</v>
      </c>
      <c r="J55" s="73">
        <v>242.35560000000001</v>
      </c>
      <c r="K55" s="73">
        <v>0</v>
      </c>
      <c r="L55" s="73">
        <v>0</v>
      </c>
      <c r="M55" s="73">
        <v>0</v>
      </c>
      <c r="N55" s="73">
        <v>0</v>
      </c>
      <c r="O55" s="73">
        <v>164.66669999999999</v>
      </c>
      <c r="P55" s="73">
        <v>8015.8888999999999</v>
      </c>
      <c r="Q55" s="73">
        <v>1380.6667</v>
      </c>
      <c r="R55" s="73">
        <v>1382.7778000000001</v>
      </c>
      <c r="S55" s="73">
        <v>0.6875</v>
      </c>
      <c r="T55" t="s">
        <v>45</v>
      </c>
    </row>
    <row r="56" spans="1:20" x14ac:dyDescent="0.35">
      <c r="A56" s="255" t="s">
        <v>133</v>
      </c>
      <c r="B56" s="255" t="s">
        <v>42</v>
      </c>
      <c r="C56" s="73">
        <v>3352.36</v>
      </c>
      <c r="D56" s="73">
        <v>2089.9789000000001</v>
      </c>
      <c r="E56" s="73">
        <v>15</v>
      </c>
      <c r="F56" s="73">
        <v>135714.88889999999</v>
      </c>
      <c r="G56" s="73">
        <v>7745.6666999999998</v>
      </c>
      <c r="H56" s="73">
        <v>4021.6667000000002</v>
      </c>
      <c r="I56" s="73">
        <v>769.71109999999999</v>
      </c>
      <c r="J56" s="73">
        <v>581.4</v>
      </c>
      <c r="K56" s="73">
        <v>0</v>
      </c>
      <c r="L56" s="73">
        <v>0</v>
      </c>
      <c r="M56" s="73">
        <v>0</v>
      </c>
      <c r="N56" s="73">
        <v>0</v>
      </c>
      <c r="O56" s="73">
        <v>82.333299999999994</v>
      </c>
      <c r="P56" s="73">
        <v>3939.3332999999998</v>
      </c>
      <c r="Q56" s="73">
        <v>1897.8888999999999</v>
      </c>
      <c r="R56" s="73">
        <v>5847.7777999999998</v>
      </c>
      <c r="S56" s="73">
        <v>0.9375</v>
      </c>
      <c r="T56" t="s">
        <v>45</v>
      </c>
    </row>
    <row r="57" spans="1:20" x14ac:dyDescent="0.35">
      <c r="A57" s="255" t="s">
        <v>134</v>
      </c>
      <c r="B57" s="255" t="s">
        <v>42</v>
      </c>
      <c r="C57" s="73">
        <v>1832.4444000000001</v>
      </c>
      <c r="D57" s="73">
        <v>2554.4232999999999</v>
      </c>
      <c r="E57" s="73">
        <v>19</v>
      </c>
      <c r="F57" s="73">
        <v>18571.4444</v>
      </c>
      <c r="G57" s="73">
        <v>333.55560000000003</v>
      </c>
      <c r="H57" s="73">
        <v>983.77779999999996</v>
      </c>
      <c r="I57" s="73">
        <v>147.35560000000001</v>
      </c>
      <c r="J57" s="73">
        <v>221.24440000000001</v>
      </c>
      <c r="K57" s="73">
        <v>0</v>
      </c>
      <c r="L57" s="73">
        <v>0</v>
      </c>
      <c r="M57" s="73">
        <v>0</v>
      </c>
      <c r="N57" s="73">
        <v>0</v>
      </c>
      <c r="O57" s="73">
        <v>542.55560000000003</v>
      </c>
      <c r="P57" s="73">
        <v>441.22219999999999</v>
      </c>
      <c r="Q57" s="73">
        <v>333.55560000000003</v>
      </c>
      <c r="R57" s="73">
        <v>0</v>
      </c>
      <c r="S57" s="73">
        <v>1.1875</v>
      </c>
      <c r="T57" t="s">
        <v>45</v>
      </c>
    </row>
    <row r="58" spans="1:20" x14ac:dyDescent="0.35">
      <c r="A58" s="255" t="s">
        <v>135</v>
      </c>
      <c r="B58" s="255" t="s">
        <v>42</v>
      </c>
      <c r="C58" s="73">
        <v>3069.5767000000001</v>
      </c>
      <c r="D58" s="73">
        <v>253.33330000000001</v>
      </c>
      <c r="E58" s="73">
        <v>5</v>
      </c>
      <c r="F58" s="73">
        <v>53814.333299999998</v>
      </c>
      <c r="G58" s="73">
        <v>3491.7777999999998</v>
      </c>
      <c r="H58" s="73">
        <v>21045.666700000002</v>
      </c>
      <c r="I58" s="73">
        <v>73.677800000000005</v>
      </c>
      <c r="J58" s="73">
        <v>286.4778</v>
      </c>
      <c r="K58" s="73">
        <v>0</v>
      </c>
      <c r="L58" s="73">
        <v>0</v>
      </c>
      <c r="M58" s="73">
        <v>0</v>
      </c>
      <c r="N58" s="73">
        <v>0</v>
      </c>
      <c r="O58" s="73">
        <v>420.11110000000002</v>
      </c>
      <c r="P58" s="73">
        <v>20625.5556</v>
      </c>
      <c r="Q58" s="73">
        <v>1942.2221999999999</v>
      </c>
      <c r="R58" s="73">
        <v>1549.5555999999999</v>
      </c>
      <c r="S58" s="73">
        <v>0.3125</v>
      </c>
      <c r="T58" t="s">
        <v>45</v>
      </c>
    </row>
    <row r="59" spans="1:20" x14ac:dyDescent="0.35">
      <c r="A59" s="255" t="s">
        <v>136</v>
      </c>
      <c r="B59" s="255" t="s">
        <v>32</v>
      </c>
      <c r="C59" s="73">
        <v>1900</v>
      </c>
      <c r="D59" s="73">
        <v>0</v>
      </c>
      <c r="E59" s="73">
        <v>0</v>
      </c>
      <c r="F59" s="73">
        <v>19472.888900000002</v>
      </c>
      <c r="G59" s="73">
        <v>2569.2222000000002</v>
      </c>
      <c r="H59" s="73">
        <v>1767</v>
      </c>
      <c r="I59" s="73">
        <v>292.60000000000002</v>
      </c>
      <c r="J59" s="73">
        <v>256.69</v>
      </c>
      <c r="K59" s="73">
        <v>0</v>
      </c>
      <c r="L59" s="73">
        <v>0</v>
      </c>
      <c r="M59" s="73">
        <v>0</v>
      </c>
      <c r="N59" s="73">
        <v>0</v>
      </c>
      <c r="O59" s="73">
        <v>0</v>
      </c>
      <c r="P59" s="73">
        <v>1767</v>
      </c>
      <c r="Q59" s="73">
        <v>1817.6667</v>
      </c>
      <c r="R59" s="73">
        <v>751.55560000000003</v>
      </c>
      <c r="S59" s="73">
        <v>0</v>
      </c>
      <c r="T59" t="s">
        <v>28</v>
      </c>
    </row>
    <row r="60" spans="1:20" x14ac:dyDescent="0.35">
      <c r="A60" s="255" t="s">
        <v>137</v>
      </c>
      <c r="B60" s="255" t="s">
        <v>32</v>
      </c>
      <c r="C60" s="73">
        <v>2605.1111000000001</v>
      </c>
      <c r="D60" s="73">
        <v>0</v>
      </c>
      <c r="E60" s="73">
        <v>0</v>
      </c>
      <c r="F60" s="73">
        <v>17828.333299999998</v>
      </c>
      <c r="G60" s="73">
        <v>1562.2221999999999</v>
      </c>
      <c r="H60" s="73">
        <v>4239.1111000000001</v>
      </c>
      <c r="I60" s="73">
        <v>366.27780000000001</v>
      </c>
      <c r="J60" s="73">
        <v>126.4344</v>
      </c>
      <c r="K60" s="73">
        <v>0</v>
      </c>
      <c r="L60" s="73">
        <v>0</v>
      </c>
      <c r="M60" s="73">
        <v>0</v>
      </c>
      <c r="N60" s="73">
        <v>0</v>
      </c>
      <c r="O60" s="73">
        <v>0</v>
      </c>
      <c r="P60" s="73">
        <v>4239.1111000000001</v>
      </c>
      <c r="Q60" s="73">
        <v>897.22220000000004</v>
      </c>
      <c r="R60" s="73">
        <v>665</v>
      </c>
      <c r="S60" s="73">
        <v>0</v>
      </c>
      <c r="T60" t="s">
        <v>28</v>
      </c>
    </row>
    <row r="61" spans="1:20" x14ac:dyDescent="0.35">
      <c r="A61" s="255" t="s">
        <v>138</v>
      </c>
      <c r="B61" s="255" t="s">
        <v>32</v>
      </c>
      <c r="C61" s="73">
        <v>2640.8310999999999</v>
      </c>
      <c r="D61" s="73">
        <v>0</v>
      </c>
      <c r="E61" s="73">
        <v>0</v>
      </c>
      <c r="F61" s="73">
        <v>18991.5556</v>
      </c>
      <c r="G61" s="73">
        <v>1819.7778000000001</v>
      </c>
      <c r="H61" s="73">
        <v>209</v>
      </c>
      <c r="I61" s="73">
        <v>252.0667</v>
      </c>
      <c r="J61" s="73">
        <v>63.122199999999999</v>
      </c>
      <c r="K61" s="73">
        <v>0</v>
      </c>
      <c r="L61" s="73">
        <v>0</v>
      </c>
      <c r="M61" s="73">
        <v>0</v>
      </c>
      <c r="N61" s="73">
        <v>0</v>
      </c>
      <c r="O61" s="73">
        <v>0</v>
      </c>
      <c r="P61" s="73">
        <v>209</v>
      </c>
      <c r="Q61" s="73">
        <v>1465.1111000000001</v>
      </c>
      <c r="R61" s="73">
        <v>354.66669999999999</v>
      </c>
      <c r="S61" s="73">
        <v>0</v>
      </c>
      <c r="T61" t="s">
        <v>28</v>
      </c>
    </row>
    <row r="62" spans="1:20" x14ac:dyDescent="0.35">
      <c r="A62" s="255" t="s">
        <v>139</v>
      </c>
      <c r="B62" s="255" t="s">
        <v>32</v>
      </c>
      <c r="C62" s="73">
        <v>1458.7778000000001</v>
      </c>
      <c r="D62" s="73">
        <v>0</v>
      </c>
      <c r="E62" s="73">
        <v>0</v>
      </c>
      <c r="F62" s="73">
        <v>11687.1111</v>
      </c>
      <c r="G62" s="73">
        <v>2068.8888999999999</v>
      </c>
      <c r="H62" s="73">
        <v>145.66669999999999</v>
      </c>
      <c r="I62" s="73">
        <v>65.022199999999998</v>
      </c>
      <c r="J62" s="73">
        <v>54.677799999999998</v>
      </c>
      <c r="K62" s="73">
        <v>0</v>
      </c>
      <c r="L62" s="73">
        <v>0</v>
      </c>
      <c r="M62" s="73">
        <v>0</v>
      </c>
      <c r="N62" s="73">
        <v>0</v>
      </c>
      <c r="O62" s="73">
        <v>0</v>
      </c>
      <c r="P62" s="73">
        <v>145.66669999999999</v>
      </c>
      <c r="Q62" s="73">
        <v>1087.2221999999999</v>
      </c>
      <c r="R62" s="73">
        <v>981.66669999999999</v>
      </c>
      <c r="S62" s="73">
        <v>0</v>
      </c>
      <c r="T62" t="s">
        <v>28</v>
      </c>
    </row>
    <row r="63" spans="1:20" x14ac:dyDescent="0.35">
      <c r="A63" s="255" t="s">
        <v>140</v>
      </c>
      <c r="B63" s="255" t="s">
        <v>49</v>
      </c>
      <c r="C63" s="73">
        <v>5577.0277999999998</v>
      </c>
      <c r="D63" s="73">
        <v>3460.1111000000001</v>
      </c>
      <c r="E63" s="73">
        <v>30</v>
      </c>
      <c r="F63" s="73">
        <v>102097.55560000001</v>
      </c>
      <c r="G63" s="73">
        <v>5423.4444000000003</v>
      </c>
      <c r="H63" s="73">
        <v>17277.333299999998</v>
      </c>
      <c r="I63" s="73">
        <v>402.16669999999999</v>
      </c>
      <c r="J63" s="73">
        <v>370.71109999999999</v>
      </c>
      <c r="K63" s="73">
        <v>0</v>
      </c>
      <c r="L63" s="73">
        <v>0</v>
      </c>
      <c r="M63" s="73">
        <v>0</v>
      </c>
      <c r="N63" s="73">
        <v>0</v>
      </c>
      <c r="O63" s="73">
        <v>0</v>
      </c>
      <c r="P63" s="73">
        <v>17277.333299999998</v>
      </c>
      <c r="Q63" s="73">
        <v>1125.2221999999999</v>
      </c>
      <c r="R63" s="73">
        <v>4298.2222000000002</v>
      </c>
      <c r="S63" s="73">
        <v>1</v>
      </c>
      <c r="T63" t="s">
        <v>45</v>
      </c>
    </row>
    <row r="64" spans="1:20" x14ac:dyDescent="0.35">
      <c r="A64" s="255" t="s">
        <v>141</v>
      </c>
      <c r="B64" s="255" t="s">
        <v>33</v>
      </c>
      <c r="C64" s="73">
        <v>874</v>
      </c>
      <c r="D64" s="73">
        <v>0</v>
      </c>
      <c r="E64" s="73">
        <v>0</v>
      </c>
      <c r="F64" s="73">
        <v>26963.111099999998</v>
      </c>
      <c r="G64" s="73">
        <v>2318</v>
      </c>
      <c r="H64" s="73">
        <v>6510.6666999999998</v>
      </c>
      <c r="I64" s="73">
        <v>35.677799999999998</v>
      </c>
      <c r="J64" s="73">
        <v>94.788899999999998</v>
      </c>
      <c r="K64" s="73">
        <v>0</v>
      </c>
      <c r="L64" s="73">
        <v>0</v>
      </c>
      <c r="M64" s="73">
        <v>0</v>
      </c>
      <c r="N64" s="73">
        <v>0</v>
      </c>
      <c r="O64" s="73">
        <v>420.11110000000002</v>
      </c>
      <c r="P64" s="73">
        <v>6090.5555999999997</v>
      </c>
      <c r="Q64" s="73">
        <v>1251.8888999999999</v>
      </c>
      <c r="R64" s="73">
        <v>1066.1111000000001</v>
      </c>
      <c r="S64" s="73">
        <v>0</v>
      </c>
      <c r="T64" t="s">
        <v>28</v>
      </c>
    </row>
    <row r="65" spans="1:20" x14ac:dyDescent="0.35">
      <c r="A65" s="255" t="s">
        <v>142</v>
      </c>
      <c r="B65" s="255" t="s">
        <v>33</v>
      </c>
      <c r="C65" s="73">
        <v>2459.9722000000002</v>
      </c>
      <c r="D65" s="73">
        <v>0</v>
      </c>
      <c r="E65" s="73">
        <v>0</v>
      </c>
      <c r="F65" s="73">
        <v>49129.777800000003</v>
      </c>
      <c r="G65" s="73">
        <v>3447.4443999999999</v>
      </c>
      <c r="H65" s="73">
        <v>4553.6666999999998</v>
      </c>
      <c r="I65" s="73">
        <v>292.60000000000002</v>
      </c>
      <c r="J65" s="73">
        <v>385.46780000000001</v>
      </c>
      <c r="K65" s="73">
        <v>0</v>
      </c>
      <c r="L65" s="73">
        <v>0</v>
      </c>
      <c r="M65" s="73">
        <v>0</v>
      </c>
      <c r="N65" s="73">
        <v>0</v>
      </c>
      <c r="O65" s="73">
        <v>0</v>
      </c>
      <c r="P65" s="73">
        <v>4553.6666999999998</v>
      </c>
      <c r="Q65" s="73">
        <v>1566.4444000000001</v>
      </c>
      <c r="R65" s="73">
        <v>1881</v>
      </c>
      <c r="S65" s="73">
        <v>0</v>
      </c>
      <c r="T65" t="s">
        <v>28</v>
      </c>
    </row>
    <row r="66" spans="1:20" x14ac:dyDescent="0.35">
      <c r="A66" s="255" t="s">
        <v>143</v>
      </c>
      <c r="B66" s="255" t="s">
        <v>33</v>
      </c>
      <c r="C66" s="73">
        <v>2324.3332999999998</v>
      </c>
      <c r="D66" s="73">
        <v>0</v>
      </c>
      <c r="E66" s="73">
        <v>0</v>
      </c>
      <c r="F66" s="73">
        <v>30024.2222</v>
      </c>
      <c r="G66" s="73">
        <v>2649.4443999999999</v>
      </c>
      <c r="H66" s="73">
        <v>7887.1111000000001</v>
      </c>
      <c r="I66" s="73">
        <v>290.06670000000003</v>
      </c>
      <c r="J66" s="73">
        <v>258.99110000000002</v>
      </c>
      <c r="K66" s="73">
        <v>0</v>
      </c>
      <c r="L66" s="73">
        <v>0</v>
      </c>
      <c r="M66" s="73">
        <v>0</v>
      </c>
      <c r="N66" s="73">
        <v>0</v>
      </c>
      <c r="O66" s="73">
        <v>0</v>
      </c>
      <c r="P66" s="73">
        <v>7887.1111000000001</v>
      </c>
      <c r="Q66" s="73">
        <v>1399.6667</v>
      </c>
      <c r="R66" s="73">
        <v>1249.7778000000001</v>
      </c>
      <c r="S66" s="73">
        <v>0</v>
      </c>
      <c r="T66" t="s">
        <v>28</v>
      </c>
    </row>
    <row r="67" spans="1:20" x14ac:dyDescent="0.35">
      <c r="A67" s="255" t="s">
        <v>144</v>
      </c>
      <c r="B67" s="255" t="s">
        <v>34</v>
      </c>
      <c r="C67" s="73">
        <v>703</v>
      </c>
      <c r="D67" s="73">
        <v>0</v>
      </c>
      <c r="E67" s="73">
        <v>0</v>
      </c>
      <c r="F67" s="73">
        <v>19629.111099999998</v>
      </c>
      <c r="G67" s="73">
        <v>481.33330000000001</v>
      </c>
      <c r="H67" s="73">
        <v>314.55560000000003</v>
      </c>
      <c r="I67" s="73">
        <v>73.677800000000005</v>
      </c>
      <c r="J67" s="73">
        <v>0</v>
      </c>
      <c r="K67" s="73">
        <v>0</v>
      </c>
      <c r="L67" s="73">
        <v>0</v>
      </c>
      <c r="M67" s="73">
        <v>0</v>
      </c>
      <c r="N67" s="73">
        <v>0</v>
      </c>
      <c r="O67" s="73">
        <v>0</v>
      </c>
      <c r="P67" s="73">
        <v>314.55560000000003</v>
      </c>
      <c r="Q67" s="73">
        <v>314.55560000000003</v>
      </c>
      <c r="R67" s="73">
        <v>166.77780000000001</v>
      </c>
      <c r="S67" s="73">
        <v>0</v>
      </c>
      <c r="T67" t="s">
        <v>28</v>
      </c>
    </row>
    <row r="68" spans="1:20" x14ac:dyDescent="0.35">
      <c r="A68" s="255" t="s">
        <v>145</v>
      </c>
      <c r="B68" s="255" t="s">
        <v>34</v>
      </c>
      <c r="C68" s="73">
        <v>3711.3332999999998</v>
      </c>
      <c r="D68" s="73">
        <v>0</v>
      </c>
      <c r="E68" s="73">
        <v>0</v>
      </c>
      <c r="F68" s="73">
        <v>68064.333299999998</v>
      </c>
      <c r="G68" s="73">
        <v>6759.7777999999998</v>
      </c>
      <c r="H68" s="73">
        <v>6236.2222000000002</v>
      </c>
      <c r="I68" s="73">
        <v>581.4</v>
      </c>
      <c r="J68" s="73">
        <v>532.78110000000004</v>
      </c>
      <c r="K68" s="73">
        <v>0</v>
      </c>
      <c r="L68" s="73">
        <v>0</v>
      </c>
      <c r="M68" s="73">
        <v>0</v>
      </c>
      <c r="N68" s="73">
        <v>0</v>
      </c>
      <c r="O68" s="73">
        <v>420.11110000000002</v>
      </c>
      <c r="P68" s="73">
        <v>5816.1111000000001</v>
      </c>
      <c r="Q68" s="73">
        <v>2484.7777999999998</v>
      </c>
      <c r="R68" s="73">
        <v>4275</v>
      </c>
      <c r="S68" s="73">
        <v>0</v>
      </c>
      <c r="T68" t="s">
        <v>28</v>
      </c>
    </row>
    <row r="69" spans="1:20" x14ac:dyDescent="0.35">
      <c r="A69" s="255" t="s">
        <v>146</v>
      </c>
      <c r="B69" s="255" t="s">
        <v>35</v>
      </c>
      <c r="C69" s="73">
        <v>2940.1444000000001</v>
      </c>
      <c r="D69" s="73">
        <v>0</v>
      </c>
      <c r="E69" s="73">
        <v>0</v>
      </c>
      <c r="F69" s="73">
        <v>29545</v>
      </c>
      <c r="G69" s="73">
        <v>3365.1111000000001</v>
      </c>
      <c r="H69" s="73">
        <v>5273.5555999999997</v>
      </c>
      <c r="I69" s="73">
        <v>65.022199999999998</v>
      </c>
      <c r="J69" s="73">
        <v>494.63330000000002</v>
      </c>
      <c r="K69" s="73">
        <v>0</v>
      </c>
      <c r="L69" s="73">
        <v>0</v>
      </c>
      <c r="M69" s="73">
        <v>0</v>
      </c>
      <c r="N69" s="73">
        <v>0</v>
      </c>
      <c r="O69" s="73">
        <v>0</v>
      </c>
      <c r="P69" s="73">
        <v>5273.5555999999997</v>
      </c>
      <c r="Q69" s="73">
        <v>728.33330000000001</v>
      </c>
      <c r="R69" s="73">
        <v>2636.7777999999998</v>
      </c>
      <c r="S69" s="73">
        <v>0</v>
      </c>
      <c r="T69" t="s">
        <v>28</v>
      </c>
    </row>
    <row r="70" spans="1:20" x14ac:dyDescent="0.35">
      <c r="A70" s="255" t="s">
        <v>147</v>
      </c>
      <c r="B70" s="255" t="s">
        <v>35</v>
      </c>
      <c r="C70" s="73">
        <v>4018.9643999999998</v>
      </c>
      <c r="D70" s="73">
        <v>0</v>
      </c>
      <c r="E70" s="73">
        <v>0</v>
      </c>
      <c r="F70" s="73">
        <v>12027</v>
      </c>
      <c r="G70" s="73">
        <v>2106.8888999999999</v>
      </c>
      <c r="H70" s="73">
        <v>5693.6666999999998</v>
      </c>
      <c r="I70" s="73">
        <v>218.71109999999999</v>
      </c>
      <c r="J70" s="73">
        <v>587.29</v>
      </c>
      <c r="K70" s="73">
        <v>0</v>
      </c>
      <c r="L70" s="73">
        <v>0</v>
      </c>
      <c r="M70" s="73">
        <v>0</v>
      </c>
      <c r="N70" s="73">
        <v>0</v>
      </c>
      <c r="O70" s="73">
        <v>0</v>
      </c>
      <c r="P70" s="73">
        <v>5693.6666999999998</v>
      </c>
      <c r="Q70" s="73">
        <v>1188.5555999999999</v>
      </c>
      <c r="R70" s="73">
        <v>918.33330000000001</v>
      </c>
      <c r="S70" s="73">
        <v>0</v>
      </c>
      <c r="T70" t="s">
        <v>28</v>
      </c>
    </row>
    <row r="71" spans="1:20" x14ac:dyDescent="0.35">
      <c r="A71" s="255" t="s">
        <v>148</v>
      </c>
      <c r="B71" s="255" t="s">
        <v>50</v>
      </c>
      <c r="C71" s="73">
        <v>4275</v>
      </c>
      <c r="D71" s="73">
        <v>1382.7778000000001</v>
      </c>
      <c r="E71" s="73">
        <v>11</v>
      </c>
      <c r="F71" s="73">
        <v>24271.4444</v>
      </c>
      <c r="G71" s="73">
        <v>962.66669999999999</v>
      </c>
      <c r="H71" s="73">
        <v>6856.8888999999999</v>
      </c>
      <c r="I71" s="73">
        <v>801.37779999999998</v>
      </c>
      <c r="J71" s="73">
        <v>1086.3778</v>
      </c>
      <c r="K71" s="73">
        <v>0</v>
      </c>
      <c r="L71" s="73">
        <v>0</v>
      </c>
      <c r="M71" s="73">
        <v>0</v>
      </c>
      <c r="N71" s="73">
        <v>0</v>
      </c>
      <c r="O71" s="73">
        <v>0</v>
      </c>
      <c r="P71" s="73">
        <v>6856.8888999999999</v>
      </c>
      <c r="Q71" s="73">
        <v>375.77780000000001</v>
      </c>
      <c r="R71" s="73">
        <v>586.88890000000004</v>
      </c>
      <c r="S71" s="73">
        <v>0.52380952380952384</v>
      </c>
      <c r="T71" t="s">
        <v>45</v>
      </c>
    </row>
    <row r="72" spans="1:20" x14ac:dyDescent="0.35">
      <c r="A72" s="255" t="s">
        <v>149</v>
      </c>
      <c r="B72" s="255" t="s">
        <v>50</v>
      </c>
      <c r="C72" s="73">
        <v>4144.0478000000003</v>
      </c>
      <c r="D72" s="73">
        <v>1351.1111000000001</v>
      </c>
      <c r="E72" s="73">
        <v>13</v>
      </c>
      <c r="F72" s="73">
        <v>35238.666700000002</v>
      </c>
      <c r="G72" s="73">
        <v>4925.2222000000002</v>
      </c>
      <c r="H72" s="73">
        <v>483.44439999999997</v>
      </c>
      <c r="I72" s="73">
        <v>321.10000000000002</v>
      </c>
      <c r="J72" s="73">
        <v>220.61109999999999</v>
      </c>
      <c r="K72" s="73">
        <v>0</v>
      </c>
      <c r="L72" s="73">
        <v>0</v>
      </c>
      <c r="M72" s="73">
        <v>0</v>
      </c>
      <c r="N72" s="73">
        <v>0</v>
      </c>
      <c r="O72" s="73">
        <v>0</v>
      </c>
      <c r="P72" s="73">
        <v>483.44439999999997</v>
      </c>
      <c r="Q72" s="73">
        <v>1486.2221999999999</v>
      </c>
      <c r="R72" s="73">
        <v>3439</v>
      </c>
      <c r="S72" s="73">
        <v>0.61904761904761907</v>
      </c>
      <c r="T72" t="s">
        <v>45</v>
      </c>
    </row>
    <row r="73" spans="1:20" x14ac:dyDescent="0.35">
      <c r="A73" s="255" t="s">
        <v>150</v>
      </c>
      <c r="B73" s="255" t="s">
        <v>50</v>
      </c>
      <c r="C73" s="73">
        <v>3869.1388999999999</v>
      </c>
      <c r="D73" s="73">
        <v>2332.7777999999998</v>
      </c>
      <c r="E73" s="73">
        <v>19</v>
      </c>
      <c r="F73" s="73">
        <v>17091.5556</v>
      </c>
      <c r="G73" s="73">
        <v>1737.4444000000001</v>
      </c>
      <c r="H73" s="73">
        <v>10129.1111</v>
      </c>
      <c r="I73" s="73">
        <v>469.3</v>
      </c>
      <c r="J73" s="73">
        <v>435.73329999999999</v>
      </c>
      <c r="K73" s="73">
        <v>0</v>
      </c>
      <c r="L73" s="73">
        <v>0</v>
      </c>
      <c r="M73" s="73">
        <v>0</v>
      </c>
      <c r="N73" s="73">
        <v>0</v>
      </c>
      <c r="O73" s="73">
        <v>0</v>
      </c>
      <c r="P73" s="73">
        <v>10129.1111</v>
      </c>
      <c r="Q73" s="73">
        <v>314.55560000000003</v>
      </c>
      <c r="R73" s="73">
        <v>1422.8888999999999</v>
      </c>
      <c r="S73" s="73">
        <v>0.90476190476190477</v>
      </c>
      <c r="T73" t="s">
        <v>45</v>
      </c>
    </row>
    <row r="74" spans="1:20" x14ac:dyDescent="0.35">
      <c r="A74" s="255" t="s">
        <v>151</v>
      </c>
      <c r="B74" s="255" t="s">
        <v>50</v>
      </c>
      <c r="C74" s="73">
        <v>3728.2011000000002</v>
      </c>
      <c r="D74" s="73">
        <v>1382.7778000000001</v>
      </c>
      <c r="E74" s="73">
        <v>11</v>
      </c>
      <c r="F74" s="73">
        <v>6962.4444000000003</v>
      </c>
      <c r="G74" s="73">
        <v>500.33330000000001</v>
      </c>
      <c r="H74" s="73">
        <v>546.77779999999996</v>
      </c>
      <c r="I74" s="73">
        <v>147.35560000000001</v>
      </c>
      <c r="J74" s="73">
        <v>447.76670000000001</v>
      </c>
      <c r="K74" s="73">
        <v>0</v>
      </c>
      <c r="L74" s="73">
        <v>0</v>
      </c>
      <c r="M74" s="73">
        <v>0</v>
      </c>
      <c r="N74" s="73">
        <v>0</v>
      </c>
      <c r="O74" s="73">
        <v>0</v>
      </c>
      <c r="P74" s="73">
        <v>546.77779999999996</v>
      </c>
      <c r="Q74" s="73">
        <v>187.88890000000001</v>
      </c>
      <c r="R74" s="73">
        <v>312.44439999999997</v>
      </c>
      <c r="S74" s="73">
        <v>0.6470588235294118</v>
      </c>
      <c r="T74" t="s">
        <v>45</v>
      </c>
    </row>
    <row r="75" spans="1:20" x14ac:dyDescent="0.35">
      <c r="A75" s="255" t="s">
        <v>152</v>
      </c>
      <c r="B75" s="255" t="s">
        <v>50</v>
      </c>
      <c r="C75" s="73">
        <v>3148.7644</v>
      </c>
      <c r="D75" s="73">
        <v>2132.2011000000002</v>
      </c>
      <c r="E75" s="73">
        <v>22</v>
      </c>
      <c r="F75" s="73">
        <v>42310.888899999998</v>
      </c>
      <c r="G75" s="73">
        <v>2073.1111000000001</v>
      </c>
      <c r="H75" s="73">
        <v>16259.7778</v>
      </c>
      <c r="I75" s="73">
        <v>612.01110000000006</v>
      </c>
      <c r="J75" s="73">
        <v>416.8811</v>
      </c>
      <c r="K75" s="73">
        <v>0</v>
      </c>
      <c r="L75" s="73">
        <v>0</v>
      </c>
      <c r="M75" s="73">
        <v>0</v>
      </c>
      <c r="N75" s="73">
        <v>0</v>
      </c>
      <c r="O75" s="73">
        <v>0</v>
      </c>
      <c r="P75" s="73">
        <v>16259.7778</v>
      </c>
      <c r="Q75" s="73">
        <v>1739.5555999999999</v>
      </c>
      <c r="R75" s="73">
        <v>333.55560000000003</v>
      </c>
      <c r="S75" s="73">
        <v>1.0476190476190477</v>
      </c>
      <c r="T75" t="s">
        <v>45</v>
      </c>
    </row>
    <row r="76" spans="1:20" x14ac:dyDescent="0.35">
      <c r="A76" s="255" t="s">
        <v>153</v>
      </c>
      <c r="B76" s="255" t="s">
        <v>27</v>
      </c>
      <c r="C76" s="73">
        <v>0</v>
      </c>
      <c r="D76" s="73">
        <v>0</v>
      </c>
      <c r="E76" s="73">
        <v>0</v>
      </c>
      <c r="F76" s="73">
        <v>0</v>
      </c>
      <c r="G76" s="73">
        <v>0</v>
      </c>
      <c r="H76" s="73">
        <v>0</v>
      </c>
      <c r="I76" s="73">
        <v>0</v>
      </c>
      <c r="J76" s="73">
        <v>0</v>
      </c>
      <c r="K76" s="73">
        <v>0</v>
      </c>
      <c r="L76" s="73">
        <v>0</v>
      </c>
      <c r="M76" s="73">
        <v>0</v>
      </c>
      <c r="N76" s="73">
        <v>0</v>
      </c>
      <c r="O76" s="73">
        <v>0</v>
      </c>
      <c r="P76" s="73">
        <v>0</v>
      </c>
      <c r="Q76" s="73">
        <v>0</v>
      </c>
      <c r="R76" s="73">
        <v>0</v>
      </c>
      <c r="S76" s="73">
        <v>0</v>
      </c>
      <c r="T76" t="s">
        <v>28</v>
      </c>
    </row>
    <row r="77" spans="1:20" x14ac:dyDescent="0.35">
      <c r="A77" s="255" t="s">
        <v>154</v>
      </c>
      <c r="B77" s="255" t="s">
        <v>30</v>
      </c>
      <c r="C77" s="73">
        <v>0</v>
      </c>
      <c r="D77" s="73">
        <v>0</v>
      </c>
      <c r="E77" s="73">
        <v>0</v>
      </c>
      <c r="F77" s="73">
        <v>0</v>
      </c>
      <c r="G77" s="73">
        <v>0</v>
      </c>
      <c r="H77" s="73">
        <v>0</v>
      </c>
      <c r="I77" s="73">
        <v>0</v>
      </c>
      <c r="J77" s="73">
        <v>0</v>
      </c>
      <c r="K77" s="73">
        <v>0</v>
      </c>
      <c r="L77" s="73">
        <v>0</v>
      </c>
      <c r="M77" s="73">
        <v>0</v>
      </c>
      <c r="N77" s="73">
        <v>0</v>
      </c>
      <c r="O77" s="73">
        <v>0</v>
      </c>
      <c r="P77" s="73">
        <v>0</v>
      </c>
      <c r="Q77" s="73">
        <v>0</v>
      </c>
      <c r="R77" s="73">
        <v>0</v>
      </c>
      <c r="S77" s="73">
        <v>0</v>
      </c>
      <c r="T77" t="s">
        <v>28</v>
      </c>
    </row>
    <row r="78" spans="1:20" x14ac:dyDescent="0.35">
      <c r="A78" s="255" t="s">
        <v>155</v>
      </c>
      <c r="B78" s="255" t="s">
        <v>44</v>
      </c>
      <c r="C78" s="73">
        <v>0</v>
      </c>
      <c r="D78" s="73">
        <v>0</v>
      </c>
      <c r="E78" s="73">
        <v>0</v>
      </c>
      <c r="F78" s="73">
        <v>0</v>
      </c>
      <c r="G78" s="73">
        <v>0</v>
      </c>
      <c r="H78" s="73">
        <v>0</v>
      </c>
      <c r="I78" s="73">
        <v>0</v>
      </c>
      <c r="J78" s="73">
        <v>0</v>
      </c>
      <c r="K78" s="73">
        <v>0</v>
      </c>
      <c r="L78" s="73">
        <v>0</v>
      </c>
      <c r="M78" s="73">
        <v>0</v>
      </c>
      <c r="N78" s="73">
        <v>0</v>
      </c>
      <c r="O78" s="73">
        <v>0</v>
      </c>
      <c r="P78" s="73">
        <v>0</v>
      </c>
      <c r="Q78" s="73">
        <v>0</v>
      </c>
      <c r="R78" s="73">
        <v>0</v>
      </c>
      <c r="S78" s="73">
        <v>0</v>
      </c>
      <c r="T78" t="s">
        <v>45</v>
      </c>
    </row>
    <row r="79" spans="1:20" x14ac:dyDescent="0.35">
      <c r="A79" s="255" t="s">
        <v>156</v>
      </c>
      <c r="B79" s="255" t="s">
        <v>31</v>
      </c>
      <c r="C79" s="73">
        <v>0</v>
      </c>
      <c r="D79" s="73">
        <v>0</v>
      </c>
      <c r="E79" s="73">
        <v>0</v>
      </c>
      <c r="F79" s="73">
        <v>0</v>
      </c>
      <c r="G79" s="73">
        <v>0</v>
      </c>
      <c r="H79" s="73">
        <v>0</v>
      </c>
      <c r="I79" s="73">
        <v>0</v>
      </c>
      <c r="J79" s="73">
        <v>0</v>
      </c>
      <c r="K79" s="73">
        <v>0</v>
      </c>
      <c r="L79" s="73">
        <v>0</v>
      </c>
      <c r="M79" s="73">
        <v>0</v>
      </c>
      <c r="N79" s="73">
        <v>0</v>
      </c>
      <c r="O79" s="73">
        <v>0</v>
      </c>
      <c r="P79" s="73">
        <v>0</v>
      </c>
      <c r="Q79" s="73">
        <v>0</v>
      </c>
      <c r="R79" s="73">
        <v>0</v>
      </c>
      <c r="S79" s="73">
        <v>0</v>
      </c>
      <c r="T79" t="s">
        <v>28</v>
      </c>
    </row>
    <row r="80" spans="1:20" x14ac:dyDescent="0.35">
      <c r="A80" s="255" t="s">
        <v>157</v>
      </c>
      <c r="B80" s="255" t="s">
        <v>49</v>
      </c>
      <c r="C80" s="73">
        <v>92.888900000000007</v>
      </c>
      <c r="D80" s="73">
        <v>0</v>
      </c>
      <c r="E80" s="73">
        <v>0</v>
      </c>
      <c r="F80" s="73">
        <v>0</v>
      </c>
      <c r="G80" s="73">
        <v>0</v>
      </c>
      <c r="H80" s="73">
        <v>0</v>
      </c>
      <c r="I80" s="73">
        <v>0</v>
      </c>
      <c r="J80" s="73">
        <v>0</v>
      </c>
      <c r="K80" s="73">
        <v>0</v>
      </c>
      <c r="L80" s="73">
        <v>0</v>
      </c>
      <c r="M80" s="73">
        <v>0</v>
      </c>
      <c r="N80" s="73">
        <v>0</v>
      </c>
      <c r="O80" s="73">
        <v>0</v>
      </c>
      <c r="P80" s="73">
        <v>0</v>
      </c>
      <c r="Q80" s="73">
        <v>0</v>
      </c>
      <c r="R80" s="73">
        <v>0</v>
      </c>
      <c r="S80" s="73">
        <v>0</v>
      </c>
      <c r="T80" t="s">
        <v>45</v>
      </c>
    </row>
    <row r="81" spans="1:20" x14ac:dyDescent="0.35">
      <c r="A81" s="255" t="s">
        <v>158</v>
      </c>
      <c r="B81" s="255" t="s">
        <v>50</v>
      </c>
      <c r="C81" s="73">
        <v>0</v>
      </c>
      <c r="D81" s="73">
        <v>0</v>
      </c>
      <c r="E81" s="73">
        <v>0</v>
      </c>
      <c r="F81" s="73">
        <v>0</v>
      </c>
      <c r="G81" s="73">
        <v>0</v>
      </c>
      <c r="H81" s="73">
        <v>0</v>
      </c>
      <c r="I81" s="73">
        <v>0</v>
      </c>
      <c r="J81" s="73">
        <v>0</v>
      </c>
      <c r="K81" s="73">
        <v>0</v>
      </c>
      <c r="L81" s="73">
        <v>0</v>
      </c>
      <c r="M81" s="73">
        <v>0</v>
      </c>
      <c r="N81" s="73">
        <v>0</v>
      </c>
      <c r="O81" s="73">
        <v>0</v>
      </c>
      <c r="P81" s="73">
        <v>0</v>
      </c>
      <c r="Q81" s="73">
        <v>0</v>
      </c>
      <c r="R81" s="73">
        <v>0</v>
      </c>
      <c r="S81" s="73">
        <v>0</v>
      </c>
      <c r="T81" t="s">
        <v>45</v>
      </c>
    </row>
    <row r="82" spans="1:20" x14ac:dyDescent="0.35">
      <c r="A82" s="255" t="s">
        <v>159</v>
      </c>
      <c r="B82" s="255" t="s">
        <v>29</v>
      </c>
      <c r="C82" s="73">
        <v>253.31219999999999</v>
      </c>
      <c r="D82" s="73">
        <v>0</v>
      </c>
      <c r="E82" s="73">
        <v>0</v>
      </c>
      <c r="F82" s="73">
        <v>0</v>
      </c>
      <c r="G82" s="73">
        <v>0</v>
      </c>
      <c r="H82" s="73">
        <v>0</v>
      </c>
      <c r="I82" s="73">
        <v>0</v>
      </c>
      <c r="J82" s="73">
        <v>0</v>
      </c>
      <c r="K82" s="73">
        <v>0</v>
      </c>
      <c r="L82" s="73">
        <v>0</v>
      </c>
      <c r="M82" s="73">
        <v>0</v>
      </c>
      <c r="N82" s="73">
        <v>0</v>
      </c>
      <c r="O82" s="73">
        <v>0</v>
      </c>
      <c r="P82" s="73">
        <v>0</v>
      </c>
      <c r="Q82" s="73">
        <v>0</v>
      </c>
      <c r="R82" s="73">
        <v>0</v>
      </c>
      <c r="S82" s="73">
        <v>0</v>
      </c>
      <c r="T82" t="s">
        <v>28</v>
      </c>
    </row>
    <row r="83" spans="1:20" x14ac:dyDescent="0.35">
      <c r="A83" s="255" t="s">
        <v>160</v>
      </c>
      <c r="B83" s="255" t="s">
        <v>36</v>
      </c>
      <c r="C83" s="73">
        <v>0</v>
      </c>
      <c r="D83" s="73">
        <v>0</v>
      </c>
      <c r="E83" s="73">
        <v>0</v>
      </c>
      <c r="F83" s="73">
        <v>0</v>
      </c>
      <c r="G83" s="73">
        <v>0</v>
      </c>
      <c r="H83" s="73">
        <v>0</v>
      </c>
      <c r="I83" s="73">
        <v>0</v>
      </c>
      <c r="J83" s="73">
        <v>0</v>
      </c>
      <c r="K83" s="73">
        <v>0</v>
      </c>
      <c r="L83" s="73">
        <v>0</v>
      </c>
      <c r="M83" s="73">
        <v>0</v>
      </c>
      <c r="N83" s="73">
        <v>0</v>
      </c>
      <c r="O83" s="73">
        <v>0</v>
      </c>
      <c r="P83" s="73">
        <v>0</v>
      </c>
      <c r="Q83" s="73">
        <v>0</v>
      </c>
      <c r="R83" s="73">
        <v>0</v>
      </c>
      <c r="S83" s="73">
        <v>0</v>
      </c>
      <c r="T83" t="s">
        <v>201</v>
      </c>
    </row>
    <row r="84" spans="1:20" x14ac:dyDescent="0.35">
      <c r="A84" s="255" t="s">
        <v>161</v>
      </c>
      <c r="B84" s="255" t="s">
        <v>38</v>
      </c>
      <c r="C84" s="73">
        <v>0</v>
      </c>
      <c r="D84" s="73">
        <v>0</v>
      </c>
      <c r="E84" s="73">
        <v>0</v>
      </c>
      <c r="F84" s="73">
        <v>0</v>
      </c>
      <c r="G84" s="73">
        <v>0</v>
      </c>
      <c r="H84" s="73">
        <v>0</v>
      </c>
      <c r="I84" s="73">
        <v>0</v>
      </c>
      <c r="J84" s="73">
        <v>0</v>
      </c>
      <c r="K84" s="73">
        <v>0</v>
      </c>
      <c r="L84" s="73">
        <v>0</v>
      </c>
      <c r="M84" s="73">
        <v>0</v>
      </c>
      <c r="N84" s="73">
        <v>0</v>
      </c>
      <c r="O84" s="73">
        <v>0</v>
      </c>
      <c r="P84" s="73">
        <v>0</v>
      </c>
      <c r="Q84" s="73">
        <v>0</v>
      </c>
      <c r="R84" s="73">
        <v>0</v>
      </c>
      <c r="S84" s="73">
        <v>0</v>
      </c>
      <c r="T84" t="s">
        <v>201</v>
      </c>
    </row>
    <row r="85" spans="1:20" x14ac:dyDescent="0.35">
      <c r="A85" s="255" t="s">
        <v>162</v>
      </c>
      <c r="B85" s="255" t="s">
        <v>43</v>
      </c>
      <c r="C85" s="73">
        <v>0</v>
      </c>
      <c r="D85" s="73">
        <v>0</v>
      </c>
      <c r="E85" s="73">
        <v>0</v>
      </c>
      <c r="F85" s="73">
        <v>0</v>
      </c>
      <c r="G85" s="73">
        <v>0</v>
      </c>
      <c r="H85" s="73">
        <v>0</v>
      </c>
      <c r="I85" s="73">
        <v>0</v>
      </c>
      <c r="J85" s="73">
        <v>0</v>
      </c>
      <c r="K85" s="73">
        <v>0</v>
      </c>
      <c r="L85" s="73">
        <v>0</v>
      </c>
      <c r="M85" s="73">
        <v>0</v>
      </c>
      <c r="N85" s="73">
        <v>0</v>
      </c>
      <c r="O85" s="73">
        <v>0</v>
      </c>
      <c r="P85" s="73">
        <v>0</v>
      </c>
      <c r="Q85" s="73">
        <v>0</v>
      </c>
      <c r="R85" s="73">
        <v>0</v>
      </c>
      <c r="S85" s="73">
        <v>0</v>
      </c>
      <c r="T85" t="s">
        <v>201</v>
      </c>
    </row>
    <row r="86" spans="1:20" x14ac:dyDescent="0.35">
      <c r="A86" s="255" t="s">
        <v>163</v>
      </c>
      <c r="B86" s="255" t="s">
        <v>40</v>
      </c>
      <c r="C86" s="73">
        <v>0</v>
      </c>
      <c r="D86" s="73">
        <v>0</v>
      </c>
      <c r="E86" s="73">
        <v>0</v>
      </c>
      <c r="F86" s="73">
        <v>0</v>
      </c>
      <c r="G86" s="73">
        <v>0</v>
      </c>
      <c r="H86" s="73">
        <v>0</v>
      </c>
      <c r="I86" s="73">
        <v>0</v>
      </c>
      <c r="J86" s="73">
        <v>0</v>
      </c>
      <c r="K86" s="73">
        <v>0</v>
      </c>
      <c r="L86" s="73">
        <v>0</v>
      </c>
      <c r="M86" s="73">
        <v>0</v>
      </c>
      <c r="N86" s="73">
        <v>0</v>
      </c>
      <c r="O86" s="73">
        <v>0</v>
      </c>
      <c r="P86" s="73">
        <v>0</v>
      </c>
      <c r="Q86" s="73">
        <v>0</v>
      </c>
      <c r="R86" s="73">
        <v>0</v>
      </c>
      <c r="S86" s="73">
        <v>0</v>
      </c>
      <c r="T86" t="s">
        <v>45</v>
      </c>
    </row>
    <row r="87" spans="1:20" x14ac:dyDescent="0.35">
      <c r="A87" s="255" t="s">
        <v>164</v>
      </c>
      <c r="B87" s="255" t="s">
        <v>46</v>
      </c>
      <c r="C87" s="73">
        <v>0</v>
      </c>
      <c r="D87" s="73">
        <v>0</v>
      </c>
      <c r="E87" s="73">
        <v>0</v>
      </c>
      <c r="F87" s="73">
        <v>0</v>
      </c>
      <c r="G87" s="73">
        <v>0</v>
      </c>
      <c r="H87" s="73">
        <v>0</v>
      </c>
      <c r="I87" s="73">
        <v>0</v>
      </c>
      <c r="J87" s="73">
        <v>56.788899999999998</v>
      </c>
      <c r="K87" s="73">
        <v>0</v>
      </c>
      <c r="L87" s="73">
        <v>0</v>
      </c>
      <c r="M87" s="73">
        <v>0</v>
      </c>
      <c r="N87" s="73">
        <v>0</v>
      </c>
      <c r="O87" s="73">
        <v>0</v>
      </c>
      <c r="P87" s="73">
        <v>0</v>
      </c>
      <c r="Q87" s="73">
        <v>0</v>
      </c>
      <c r="R87" s="73">
        <v>0</v>
      </c>
      <c r="S87" s="73">
        <v>0</v>
      </c>
      <c r="T87" t="s">
        <v>45</v>
      </c>
    </row>
    <row r="88" spans="1:20" x14ac:dyDescent="0.35">
      <c r="A88" s="255" t="s">
        <v>165</v>
      </c>
      <c r="B88" s="255" t="s">
        <v>47</v>
      </c>
      <c r="C88" s="73">
        <v>0</v>
      </c>
      <c r="D88" s="73">
        <v>0</v>
      </c>
      <c r="E88" s="73">
        <v>0</v>
      </c>
      <c r="F88" s="73">
        <v>0</v>
      </c>
      <c r="G88" s="73">
        <v>0</v>
      </c>
      <c r="H88" s="73">
        <v>0</v>
      </c>
      <c r="I88" s="73">
        <v>0</v>
      </c>
      <c r="J88" s="73">
        <v>0</v>
      </c>
      <c r="K88" s="73">
        <v>0</v>
      </c>
      <c r="L88" s="73">
        <v>0</v>
      </c>
      <c r="M88" s="73">
        <v>0</v>
      </c>
      <c r="N88" s="73">
        <v>0</v>
      </c>
      <c r="O88" s="73">
        <v>0</v>
      </c>
      <c r="P88" s="73">
        <v>0</v>
      </c>
      <c r="Q88" s="73">
        <v>0</v>
      </c>
      <c r="R88" s="73">
        <v>0</v>
      </c>
      <c r="S88" s="73">
        <v>0</v>
      </c>
      <c r="T88" t="s">
        <v>201</v>
      </c>
    </row>
    <row r="89" spans="1:20" x14ac:dyDescent="0.35">
      <c r="A89" s="255" t="s">
        <v>166</v>
      </c>
      <c r="B89" s="255" t="s">
        <v>41</v>
      </c>
      <c r="C89" s="73">
        <v>0</v>
      </c>
      <c r="D89" s="73">
        <v>0</v>
      </c>
      <c r="E89" s="73">
        <v>0</v>
      </c>
      <c r="F89" s="73">
        <v>0</v>
      </c>
      <c r="G89" s="73">
        <v>0</v>
      </c>
      <c r="H89" s="73">
        <v>0</v>
      </c>
      <c r="I89" s="73">
        <v>0</v>
      </c>
      <c r="J89" s="73">
        <v>0</v>
      </c>
      <c r="K89" s="73">
        <v>0</v>
      </c>
      <c r="L89" s="73">
        <v>0</v>
      </c>
      <c r="M89" s="73">
        <v>0</v>
      </c>
      <c r="N89" s="73">
        <v>0</v>
      </c>
      <c r="O89" s="73">
        <v>0</v>
      </c>
      <c r="P89" s="73">
        <v>0</v>
      </c>
      <c r="Q89" s="73">
        <v>0</v>
      </c>
      <c r="R89" s="73">
        <v>0</v>
      </c>
      <c r="S89" s="73">
        <v>0</v>
      </c>
      <c r="T89" t="s">
        <v>201</v>
      </c>
    </row>
    <row r="90" spans="1:20" x14ac:dyDescent="0.35">
      <c r="A90" s="255" t="s">
        <v>167</v>
      </c>
      <c r="B90" s="255" t="s">
        <v>48</v>
      </c>
      <c r="C90" s="73">
        <v>0</v>
      </c>
      <c r="D90" s="73">
        <v>0</v>
      </c>
      <c r="E90" s="73">
        <v>0</v>
      </c>
      <c r="F90" s="73">
        <v>0</v>
      </c>
      <c r="G90" s="73">
        <v>0</v>
      </c>
      <c r="H90" s="73">
        <v>0</v>
      </c>
      <c r="I90" s="73">
        <v>0</v>
      </c>
      <c r="J90" s="73">
        <v>0</v>
      </c>
      <c r="K90" s="73">
        <v>0</v>
      </c>
      <c r="L90" s="73">
        <v>0</v>
      </c>
      <c r="M90" s="73">
        <v>0</v>
      </c>
      <c r="N90" s="73">
        <v>0</v>
      </c>
      <c r="O90" s="73">
        <v>0</v>
      </c>
      <c r="P90" s="73">
        <v>0</v>
      </c>
      <c r="Q90" s="73">
        <v>0</v>
      </c>
      <c r="R90" s="73">
        <v>0</v>
      </c>
      <c r="S90" s="73">
        <v>0</v>
      </c>
      <c r="T90" t="s">
        <v>45</v>
      </c>
    </row>
    <row r="91" spans="1:20" x14ac:dyDescent="0.35">
      <c r="A91" s="255" t="s">
        <v>168</v>
      </c>
      <c r="B91" s="255" t="s">
        <v>42</v>
      </c>
      <c r="C91" s="73">
        <v>498.22219999999999</v>
      </c>
      <c r="D91" s="73">
        <v>485.55560000000003</v>
      </c>
      <c r="E91" s="73">
        <v>3</v>
      </c>
      <c r="F91" s="73">
        <v>0</v>
      </c>
      <c r="G91" s="73">
        <v>0</v>
      </c>
      <c r="H91" s="73">
        <v>0</v>
      </c>
      <c r="I91" s="73">
        <v>29.3444</v>
      </c>
      <c r="J91" s="73">
        <v>276.11219999999997</v>
      </c>
      <c r="K91" s="73">
        <v>0</v>
      </c>
      <c r="L91" s="73">
        <v>0</v>
      </c>
      <c r="M91" s="73">
        <v>0</v>
      </c>
      <c r="N91" s="73">
        <v>0</v>
      </c>
      <c r="O91" s="73">
        <v>0</v>
      </c>
      <c r="P91" s="73">
        <v>0</v>
      </c>
      <c r="Q91" s="73">
        <v>0</v>
      </c>
      <c r="R91" s="73">
        <v>0</v>
      </c>
      <c r="S91" s="73">
        <v>0</v>
      </c>
      <c r="T91" t="s">
        <v>45</v>
      </c>
    </row>
    <row r="92" spans="1:20" x14ac:dyDescent="0.35">
      <c r="A92" s="255" t="s">
        <v>169</v>
      </c>
      <c r="B92" s="255" t="s">
        <v>32</v>
      </c>
      <c r="C92" s="73">
        <v>0</v>
      </c>
      <c r="D92" s="73">
        <v>0</v>
      </c>
      <c r="E92" s="73">
        <v>0</v>
      </c>
      <c r="F92" s="73">
        <v>0</v>
      </c>
      <c r="G92" s="73">
        <v>0</v>
      </c>
      <c r="H92" s="73">
        <v>0</v>
      </c>
      <c r="I92" s="73">
        <v>0</v>
      </c>
      <c r="J92" s="73">
        <v>0</v>
      </c>
      <c r="K92" s="73">
        <v>0</v>
      </c>
      <c r="L92" s="73">
        <v>0</v>
      </c>
      <c r="M92" s="73">
        <v>0</v>
      </c>
      <c r="N92" s="73">
        <v>0</v>
      </c>
      <c r="O92" s="73">
        <v>0</v>
      </c>
      <c r="P92" s="73">
        <v>0</v>
      </c>
      <c r="Q92" s="73">
        <v>0</v>
      </c>
      <c r="R92" s="73">
        <v>0</v>
      </c>
      <c r="S92" s="73">
        <v>0</v>
      </c>
      <c r="T92" t="s">
        <v>28</v>
      </c>
    </row>
    <row r="93" spans="1:20" x14ac:dyDescent="0.35">
      <c r="A93" s="255" t="s">
        <v>170</v>
      </c>
      <c r="B93" s="255" t="s">
        <v>33</v>
      </c>
      <c r="C93" s="73">
        <v>228</v>
      </c>
      <c r="D93" s="73">
        <v>0</v>
      </c>
      <c r="E93" s="73">
        <v>0</v>
      </c>
      <c r="F93" s="73">
        <v>0</v>
      </c>
      <c r="G93" s="73">
        <v>0</v>
      </c>
      <c r="H93" s="73">
        <v>0</v>
      </c>
      <c r="I93" s="73">
        <v>0</v>
      </c>
      <c r="J93" s="73">
        <v>42.201099999999997</v>
      </c>
      <c r="K93" s="73">
        <v>0</v>
      </c>
      <c r="L93" s="73">
        <v>0</v>
      </c>
      <c r="M93" s="73">
        <v>0</v>
      </c>
      <c r="N93" s="73">
        <v>0</v>
      </c>
      <c r="O93" s="73">
        <v>0</v>
      </c>
      <c r="P93" s="73">
        <v>0</v>
      </c>
      <c r="Q93" s="73">
        <v>0</v>
      </c>
      <c r="R93" s="73">
        <v>0</v>
      </c>
      <c r="S93" s="73">
        <v>0</v>
      </c>
      <c r="T93" t="s">
        <v>28</v>
      </c>
    </row>
    <row r="94" spans="1:20" x14ac:dyDescent="0.35">
      <c r="A94" s="255" t="s">
        <v>171</v>
      </c>
      <c r="B94" s="255" t="s">
        <v>34</v>
      </c>
      <c r="C94" s="73">
        <v>0</v>
      </c>
      <c r="D94" s="73">
        <v>0</v>
      </c>
      <c r="E94" s="73">
        <v>0</v>
      </c>
      <c r="F94" s="73">
        <v>8123.5555999999997</v>
      </c>
      <c r="G94" s="73">
        <v>608</v>
      </c>
      <c r="H94" s="73">
        <v>0</v>
      </c>
      <c r="I94" s="73">
        <v>183.24440000000001</v>
      </c>
      <c r="J94" s="73">
        <v>84.2333</v>
      </c>
      <c r="K94" s="73">
        <v>0</v>
      </c>
      <c r="L94" s="73">
        <v>0</v>
      </c>
      <c r="M94" s="73">
        <v>0</v>
      </c>
      <c r="N94" s="73">
        <v>0</v>
      </c>
      <c r="O94" s="73">
        <v>0</v>
      </c>
      <c r="P94" s="73">
        <v>0</v>
      </c>
      <c r="Q94" s="73">
        <v>272.33330000000001</v>
      </c>
      <c r="R94" s="73">
        <v>335.66669999999999</v>
      </c>
      <c r="S94" s="73">
        <v>0</v>
      </c>
      <c r="T94" t="s">
        <v>28</v>
      </c>
    </row>
    <row r="95" spans="1:20" x14ac:dyDescent="0.35">
      <c r="A95" s="255" t="s">
        <v>172</v>
      </c>
      <c r="B95" s="255" t="s">
        <v>35</v>
      </c>
      <c r="C95" s="73">
        <v>0</v>
      </c>
      <c r="D95" s="73">
        <v>0</v>
      </c>
      <c r="E95" s="73">
        <v>0</v>
      </c>
      <c r="F95" s="73">
        <v>0</v>
      </c>
      <c r="G95" s="73">
        <v>0</v>
      </c>
      <c r="H95" s="73">
        <v>0</v>
      </c>
      <c r="I95" s="73">
        <v>0</v>
      </c>
      <c r="J95" s="73">
        <v>0</v>
      </c>
      <c r="K95" s="73">
        <v>0</v>
      </c>
      <c r="L95" s="73">
        <v>0</v>
      </c>
      <c r="M95" s="73">
        <v>0</v>
      </c>
      <c r="N95" s="73">
        <v>0</v>
      </c>
      <c r="O95" s="73">
        <v>0</v>
      </c>
      <c r="P95" s="73">
        <v>0</v>
      </c>
      <c r="Q95" s="73">
        <v>0</v>
      </c>
      <c r="R95" s="73">
        <v>0</v>
      </c>
      <c r="S95" s="73">
        <v>0</v>
      </c>
      <c r="T95" t="s">
        <v>28</v>
      </c>
    </row>
    <row r="96" spans="1:20" x14ac:dyDescent="0.35">
      <c r="A96" s="255" t="s">
        <v>173</v>
      </c>
      <c r="B96" s="255" t="s">
        <v>51</v>
      </c>
      <c r="C96" s="73">
        <v>730.44439999999997</v>
      </c>
      <c r="D96" s="73">
        <v>1097.7144000000001</v>
      </c>
      <c r="E96" s="73">
        <v>11</v>
      </c>
      <c r="F96" s="73">
        <v>0</v>
      </c>
      <c r="G96" s="73">
        <v>0</v>
      </c>
      <c r="H96" s="73">
        <v>0</v>
      </c>
      <c r="I96" s="73">
        <v>0</v>
      </c>
      <c r="J96" s="73">
        <v>0</v>
      </c>
      <c r="K96" s="73">
        <v>0</v>
      </c>
      <c r="L96" s="73">
        <v>0</v>
      </c>
      <c r="M96" s="73">
        <v>0</v>
      </c>
      <c r="N96" s="73">
        <v>0</v>
      </c>
      <c r="O96" s="73">
        <v>0</v>
      </c>
      <c r="P96" s="73">
        <v>0</v>
      </c>
      <c r="Q96" s="73">
        <v>0</v>
      </c>
      <c r="R96" s="73">
        <v>0</v>
      </c>
      <c r="S96" s="73">
        <v>0</v>
      </c>
      <c r="T96" t="s">
        <v>52</v>
      </c>
    </row>
    <row r="97" spans="1:20" x14ac:dyDescent="0.35">
      <c r="A97" s="255" t="s">
        <v>174</v>
      </c>
      <c r="B97" s="255" t="s">
        <v>51</v>
      </c>
      <c r="C97" s="73">
        <v>130.88890000000001</v>
      </c>
      <c r="D97" s="73">
        <v>422.22219999999999</v>
      </c>
      <c r="E97" s="73">
        <v>5</v>
      </c>
      <c r="F97" s="73">
        <v>0</v>
      </c>
      <c r="G97" s="73">
        <v>0</v>
      </c>
      <c r="H97" s="73">
        <v>0</v>
      </c>
      <c r="I97" s="73">
        <v>0</v>
      </c>
      <c r="J97" s="73">
        <v>0</v>
      </c>
      <c r="K97" s="73">
        <v>0</v>
      </c>
      <c r="L97" s="73">
        <v>0</v>
      </c>
      <c r="M97" s="73">
        <v>0</v>
      </c>
      <c r="N97" s="73">
        <v>0</v>
      </c>
      <c r="O97" s="73">
        <v>0</v>
      </c>
      <c r="P97" s="73">
        <v>0</v>
      </c>
      <c r="Q97" s="73">
        <v>0</v>
      </c>
      <c r="R97" s="73">
        <v>0</v>
      </c>
      <c r="S97" s="73">
        <v>0</v>
      </c>
      <c r="T97" t="s">
        <v>52</v>
      </c>
    </row>
    <row r="98" spans="1:20" x14ac:dyDescent="0.35">
      <c r="A98" s="255" t="s">
        <v>175</v>
      </c>
      <c r="B98" s="255" t="s">
        <v>51</v>
      </c>
      <c r="C98" s="73">
        <v>0</v>
      </c>
      <c r="D98" s="73">
        <v>0</v>
      </c>
      <c r="E98" s="73">
        <v>0</v>
      </c>
      <c r="F98" s="73">
        <v>0</v>
      </c>
      <c r="G98" s="73">
        <v>0</v>
      </c>
      <c r="H98" s="73">
        <v>0</v>
      </c>
      <c r="I98" s="73">
        <v>0</v>
      </c>
      <c r="J98" s="73">
        <v>0</v>
      </c>
      <c r="K98" s="73">
        <v>0</v>
      </c>
      <c r="L98" s="73">
        <v>0</v>
      </c>
      <c r="M98" s="73">
        <v>0</v>
      </c>
      <c r="N98" s="73">
        <v>0</v>
      </c>
      <c r="O98" s="73">
        <v>0</v>
      </c>
      <c r="P98" s="73">
        <v>0</v>
      </c>
      <c r="Q98" s="73">
        <v>0</v>
      </c>
      <c r="R98" s="73">
        <v>0</v>
      </c>
      <c r="S98" s="73">
        <v>0</v>
      </c>
      <c r="T98" t="s">
        <v>52</v>
      </c>
    </row>
    <row r="99" spans="1:20" x14ac:dyDescent="0.35">
      <c r="A99" s="255" t="s">
        <v>176</v>
      </c>
      <c r="B99" s="255" t="s">
        <v>51</v>
      </c>
      <c r="C99" s="73">
        <v>0</v>
      </c>
      <c r="D99" s="73">
        <v>105.5556</v>
      </c>
      <c r="E99" s="73">
        <v>3</v>
      </c>
      <c r="F99" s="73">
        <v>0</v>
      </c>
      <c r="G99" s="73">
        <v>0</v>
      </c>
      <c r="H99" s="73">
        <v>0</v>
      </c>
      <c r="I99" s="73">
        <v>0</v>
      </c>
      <c r="J99" s="73">
        <v>0</v>
      </c>
      <c r="K99" s="73">
        <v>0</v>
      </c>
      <c r="L99" s="73">
        <v>0</v>
      </c>
      <c r="M99" s="73">
        <v>0</v>
      </c>
      <c r="N99" s="73">
        <v>0</v>
      </c>
      <c r="O99" s="73">
        <v>0</v>
      </c>
      <c r="P99" s="73">
        <v>0</v>
      </c>
      <c r="Q99" s="73">
        <v>0</v>
      </c>
      <c r="R99" s="73">
        <v>0</v>
      </c>
      <c r="S99" s="73">
        <v>0</v>
      </c>
      <c r="T99" t="s">
        <v>52</v>
      </c>
    </row>
    <row r="100" spans="1:20" x14ac:dyDescent="0.35">
      <c r="A100" s="255" t="s">
        <v>177</v>
      </c>
      <c r="B100" s="255" t="s">
        <v>39</v>
      </c>
      <c r="C100" s="73">
        <v>0</v>
      </c>
      <c r="D100" s="73">
        <v>0</v>
      </c>
      <c r="E100" s="73">
        <v>0</v>
      </c>
      <c r="F100" s="73">
        <v>0</v>
      </c>
      <c r="G100" s="73">
        <v>0</v>
      </c>
      <c r="H100" s="73">
        <v>0</v>
      </c>
      <c r="I100" s="73">
        <v>0</v>
      </c>
      <c r="J100" s="73">
        <v>0</v>
      </c>
      <c r="K100" s="73">
        <v>0</v>
      </c>
      <c r="L100" s="73">
        <v>0</v>
      </c>
      <c r="M100" s="73">
        <v>0</v>
      </c>
      <c r="N100" s="73">
        <v>0</v>
      </c>
      <c r="O100" s="73">
        <v>0</v>
      </c>
      <c r="P100" s="73">
        <v>0</v>
      </c>
      <c r="Q100" s="73">
        <v>0</v>
      </c>
      <c r="R100" s="73">
        <v>0</v>
      </c>
      <c r="S100" s="73">
        <v>0</v>
      </c>
      <c r="T100" t="s">
        <v>201</v>
      </c>
    </row>
    <row r="101" spans="1:20" x14ac:dyDescent="0.35">
      <c r="A101" s="255" t="s">
        <v>178</v>
      </c>
      <c r="B101" s="255" t="s">
        <v>46</v>
      </c>
      <c r="C101" s="73">
        <v>0</v>
      </c>
      <c r="D101" s="73">
        <v>0</v>
      </c>
      <c r="E101" s="73">
        <v>0</v>
      </c>
      <c r="F101" s="73">
        <v>0</v>
      </c>
      <c r="G101" s="73">
        <v>0</v>
      </c>
      <c r="H101" s="73">
        <v>0</v>
      </c>
      <c r="I101" s="73">
        <v>0</v>
      </c>
      <c r="J101" s="73">
        <v>0</v>
      </c>
      <c r="K101" s="73">
        <v>0</v>
      </c>
      <c r="L101" s="73">
        <v>0</v>
      </c>
      <c r="M101" s="73">
        <v>0</v>
      </c>
      <c r="N101" s="73">
        <v>0</v>
      </c>
      <c r="O101" s="73">
        <v>0</v>
      </c>
      <c r="P101" s="73">
        <v>0</v>
      </c>
      <c r="Q101" s="73">
        <v>0</v>
      </c>
      <c r="R101" s="73">
        <v>0</v>
      </c>
      <c r="S101" s="73">
        <v>0</v>
      </c>
      <c r="T101" t="s">
        <v>45</v>
      </c>
    </row>
    <row r="102" spans="1:20" x14ac:dyDescent="0.35">
      <c r="A102" s="255" t="s">
        <v>179</v>
      </c>
      <c r="B102" s="255" t="s">
        <v>41</v>
      </c>
      <c r="C102" s="73">
        <v>0</v>
      </c>
      <c r="D102" s="73">
        <v>0</v>
      </c>
      <c r="E102" s="73">
        <v>0</v>
      </c>
      <c r="F102" s="73">
        <v>0</v>
      </c>
      <c r="G102" s="73">
        <v>0</v>
      </c>
      <c r="H102" s="73">
        <v>0</v>
      </c>
      <c r="I102" s="73">
        <v>0</v>
      </c>
      <c r="J102" s="73">
        <v>0</v>
      </c>
      <c r="K102" s="73">
        <v>0</v>
      </c>
      <c r="L102" s="73">
        <v>0</v>
      </c>
      <c r="M102" s="73">
        <v>0</v>
      </c>
      <c r="N102" s="73">
        <v>0</v>
      </c>
      <c r="O102" s="73">
        <v>0</v>
      </c>
      <c r="P102" s="73">
        <v>0</v>
      </c>
      <c r="Q102" s="73">
        <v>0</v>
      </c>
      <c r="R102" s="73">
        <v>0</v>
      </c>
      <c r="S102" s="73">
        <v>0</v>
      </c>
      <c r="T102" t="s">
        <v>201</v>
      </c>
    </row>
    <row r="103" spans="1:20" x14ac:dyDescent="0.35">
      <c r="A103" s="255" t="s">
        <v>180</v>
      </c>
      <c r="B103" s="255" t="s">
        <v>42</v>
      </c>
      <c r="C103" s="73">
        <v>0</v>
      </c>
      <c r="D103" s="73">
        <v>0</v>
      </c>
      <c r="E103" s="73">
        <v>0</v>
      </c>
      <c r="F103" s="73">
        <v>0</v>
      </c>
      <c r="G103" s="73">
        <v>0</v>
      </c>
      <c r="H103" s="73">
        <v>0</v>
      </c>
      <c r="I103" s="73">
        <v>0</v>
      </c>
      <c r="J103" s="73">
        <v>0</v>
      </c>
      <c r="K103" s="73">
        <v>0</v>
      </c>
      <c r="L103" s="73">
        <v>0</v>
      </c>
      <c r="M103" s="73">
        <v>0</v>
      </c>
      <c r="N103" s="73">
        <v>0</v>
      </c>
      <c r="O103" s="73">
        <v>0</v>
      </c>
      <c r="P103" s="73">
        <v>0</v>
      </c>
      <c r="Q103" s="73">
        <v>0</v>
      </c>
      <c r="R103" s="73">
        <v>0</v>
      </c>
      <c r="S103" s="73">
        <v>0</v>
      </c>
      <c r="T103" t="s">
        <v>45</v>
      </c>
    </row>
    <row r="104" spans="1:20" x14ac:dyDescent="0.35">
      <c r="A104" s="255" t="s">
        <v>181</v>
      </c>
      <c r="B104" s="255" t="s">
        <v>48</v>
      </c>
      <c r="C104" s="73">
        <v>833.88890000000004</v>
      </c>
      <c r="D104" s="73">
        <v>0</v>
      </c>
      <c r="E104" s="73">
        <v>0</v>
      </c>
      <c r="F104" s="73">
        <v>4220.1111000000001</v>
      </c>
      <c r="G104" s="73">
        <v>420.11110000000002</v>
      </c>
      <c r="H104" s="73">
        <v>0</v>
      </c>
      <c r="I104" s="73">
        <v>0</v>
      </c>
      <c r="J104" s="73">
        <v>0</v>
      </c>
      <c r="K104" s="73">
        <v>0</v>
      </c>
      <c r="L104" s="73">
        <v>0</v>
      </c>
      <c r="M104" s="73">
        <v>0</v>
      </c>
      <c r="N104" s="73">
        <v>0</v>
      </c>
      <c r="O104" s="73">
        <v>0</v>
      </c>
      <c r="P104" s="73">
        <v>0</v>
      </c>
      <c r="Q104" s="73">
        <v>0</v>
      </c>
      <c r="R104" s="73">
        <v>420.11110000000002</v>
      </c>
      <c r="S104" s="73">
        <v>0</v>
      </c>
      <c r="T104" t="s">
        <v>45</v>
      </c>
    </row>
    <row r="105" spans="1:20" x14ac:dyDescent="0.35">
      <c r="A105" s="255" t="s">
        <v>182</v>
      </c>
      <c r="B105" s="255" t="s">
        <v>42</v>
      </c>
      <c r="C105" s="73">
        <v>0</v>
      </c>
      <c r="D105" s="73">
        <v>0</v>
      </c>
      <c r="E105" s="73">
        <v>0</v>
      </c>
      <c r="F105" s="73">
        <v>0</v>
      </c>
      <c r="G105" s="73">
        <v>0</v>
      </c>
      <c r="H105" s="73">
        <v>0</v>
      </c>
      <c r="I105" s="73">
        <v>0</v>
      </c>
      <c r="J105" s="73">
        <v>0</v>
      </c>
      <c r="K105" s="73">
        <v>0</v>
      </c>
      <c r="L105" s="73">
        <v>0</v>
      </c>
      <c r="M105" s="73">
        <v>0</v>
      </c>
      <c r="N105" s="73">
        <v>0</v>
      </c>
      <c r="O105" s="73">
        <v>0</v>
      </c>
      <c r="P105" s="73">
        <v>0</v>
      </c>
      <c r="Q105" s="73">
        <v>0</v>
      </c>
      <c r="R105" s="73">
        <v>0</v>
      </c>
      <c r="S105" s="73">
        <v>0</v>
      </c>
      <c r="T105" t="s">
        <v>45</v>
      </c>
    </row>
    <row r="106" spans="1:20" x14ac:dyDescent="0.35">
      <c r="A106" s="255" t="s">
        <v>183</v>
      </c>
      <c r="B106" s="255" t="s">
        <v>50</v>
      </c>
      <c r="C106" s="73">
        <v>498.22219999999999</v>
      </c>
      <c r="D106" s="73">
        <v>485.55560000000003</v>
      </c>
      <c r="E106" s="73">
        <v>3</v>
      </c>
      <c r="F106" s="73">
        <v>0</v>
      </c>
      <c r="G106" s="73">
        <v>0</v>
      </c>
      <c r="H106" s="73">
        <v>0</v>
      </c>
      <c r="I106" s="73">
        <v>0</v>
      </c>
      <c r="J106" s="73">
        <v>126.4556</v>
      </c>
      <c r="K106" s="73">
        <v>0</v>
      </c>
      <c r="L106" s="73">
        <v>0</v>
      </c>
      <c r="M106" s="73">
        <v>0</v>
      </c>
      <c r="N106" s="73">
        <v>0</v>
      </c>
      <c r="O106" s="73">
        <v>0</v>
      </c>
      <c r="P106" s="73">
        <v>0</v>
      </c>
      <c r="Q106" s="73">
        <v>0</v>
      </c>
      <c r="R106" s="73">
        <v>0</v>
      </c>
      <c r="S106" s="73">
        <v>0</v>
      </c>
      <c r="T106" t="s">
        <v>45</v>
      </c>
    </row>
  </sheetData>
  <phoneticPr fontId="1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C5F30-E78A-4C09-8A07-1B399F4F1A1B}">
  <sheetPr codeName="Planilha3"/>
  <dimension ref="B2:H20"/>
  <sheetViews>
    <sheetView showGridLines="0" workbookViewId="0">
      <selection activeCell="R13" sqref="R13"/>
    </sheetView>
  </sheetViews>
  <sheetFormatPr defaultRowHeight="14.5" x14ac:dyDescent="0.35"/>
  <cols>
    <col min="2" max="2" width="12.453125" bestFit="1" customWidth="1"/>
    <col min="3" max="4" width="4.7265625" customWidth="1"/>
    <col min="5" max="5" width="15.26953125" bestFit="1" customWidth="1"/>
    <col min="6" max="7" width="4.7265625" customWidth="1"/>
    <col min="8" max="8" width="21" bestFit="1" customWidth="1"/>
  </cols>
  <sheetData>
    <row r="2" spans="2:8" ht="14.5" customHeight="1" x14ac:dyDescent="0.35">
      <c r="B2" s="211" t="s">
        <v>202</v>
      </c>
      <c r="C2" s="211"/>
      <c r="D2" s="211"/>
      <c r="E2" s="211"/>
      <c r="F2" s="211"/>
      <c r="G2" s="211"/>
      <c r="H2" s="211"/>
    </row>
    <row r="3" spans="2:8" ht="14.5" customHeight="1" x14ac:dyDescent="0.35">
      <c r="B3" s="211"/>
      <c r="C3" s="211"/>
      <c r="D3" s="211"/>
      <c r="E3" s="211"/>
      <c r="F3" s="211"/>
      <c r="G3" s="211"/>
      <c r="H3" s="211"/>
    </row>
    <row r="4" spans="2:8" ht="14.5" customHeight="1" x14ac:dyDescent="0.35">
      <c r="B4" s="211"/>
      <c r="C4" s="211"/>
      <c r="D4" s="211"/>
      <c r="E4" s="211"/>
      <c r="F4" s="211"/>
      <c r="G4" s="211"/>
      <c r="H4" s="211"/>
    </row>
    <row r="6" spans="2:8" x14ac:dyDescent="0.35">
      <c r="B6" s="81" t="s">
        <v>27</v>
      </c>
      <c r="E6" s="81" t="s">
        <v>203</v>
      </c>
      <c r="H6" s="81" t="s">
        <v>43</v>
      </c>
    </row>
    <row r="8" spans="2:8" x14ac:dyDescent="0.35">
      <c r="B8" s="81" t="s">
        <v>30</v>
      </c>
      <c r="E8" s="81" t="s">
        <v>38</v>
      </c>
      <c r="H8" s="81" t="s">
        <v>204</v>
      </c>
    </row>
    <row r="10" spans="2:8" x14ac:dyDescent="0.35">
      <c r="B10" s="81" t="s">
        <v>32</v>
      </c>
      <c r="E10" s="81" t="s">
        <v>39</v>
      </c>
      <c r="H10" s="81" t="s">
        <v>46</v>
      </c>
    </row>
    <row r="12" spans="2:8" x14ac:dyDescent="0.35">
      <c r="B12" s="81" t="s">
        <v>205</v>
      </c>
      <c r="E12" s="81" t="s">
        <v>40</v>
      </c>
      <c r="H12" s="81" t="s">
        <v>47</v>
      </c>
    </row>
    <row r="14" spans="2:8" x14ac:dyDescent="0.35">
      <c r="B14" s="81" t="s">
        <v>31</v>
      </c>
      <c r="E14" s="81" t="s">
        <v>41</v>
      </c>
      <c r="H14" s="81" t="s">
        <v>48</v>
      </c>
    </row>
    <row r="16" spans="2:8" x14ac:dyDescent="0.35">
      <c r="B16" s="81" t="s">
        <v>33</v>
      </c>
      <c r="E16" s="81" t="s">
        <v>42</v>
      </c>
      <c r="H16" s="81" t="s">
        <v>49</v>
      </c>
    </row>
    <row r="18" spans="2:8" x14ac:dyDescent="0.35">
      <c r="B18" s="81" t="s">
        <v>35</v>
      </c>
      <c r="H18" s="81" t="s">
        <v>50</v>
      </c>
    </row>
    <row r="20" spans="2:8" x14ac:dyDescent="0.35">
      <c r="B20" s="81" t="s">
        <v>206</v>
      </c>
    </row>
  </sheetData>
  <mergeCells count="1">
    <mergeCell ref="B2:H4"/>
  </mergeCells>
  <hyperlinks>
    <hyperlink ref="B6" location="ANCHIETA!A1" display="ANCHIETA!A1" xr:uid="{153ADEAC-BD44-43D1-9C41-E02168939FF5}"/>
    <hyperlink ref="B12" location="'BOM JESUS'!A1" display="BOM JESUS" xr:uid="{7F7E6512-38BE-4B50-8721-D16AAA74411A}"/>
    <hyperlink ref="B8" location="ICONHA!A1" display="ICONHA" xr:uid="{A0A614C5-68C9-4076-856E-34CA6E44F86C}"/>
    <hyperlink ref="B10" location="PIUMA!A1" display="PIUMA" xr:uid="{0B54D69F-E5C1-409E-B519-5D165DC536DC}"/>
    <hyperlink ref="B14" location="MIRACEMA!A1" display="MIRACEMA" xr:uid="{C7911EA5-3C95-4D6B-9DBD-24F8DF8DB70B}"/>
    <hyperlink ref="B16" location="QUISSAMA!A1" display="QUISSAMA!A1" xr:uid="{9C94C93A-F1A4-48BF-8ED1-5726C76F3F3F}"/>
    <hyperlink ref="B18" location="'SAO FIDELIS'!A1" display="SAO FIDELIS" xr:uid="{9E09FD9D-F5BE-44B2-8BE4-A315F8E21AE8}"/>
    <hyperlink ref="B20" location="'ST PADUA'!A1" display="ST PADUA" xr:uid="{CFA669C5-4A72-4FB6-9EB8-015DC69650E7}"/>
    <hyperlink ref="E6" location="'CENTRO VV'!A1" display="CENTRO VV" xr:uid="{0BDAC731-25C5-4D9A-B16C-EA873AA2F831}"/>
    <hyperlink ref="E8" location="'CENTRO VIX'!A1" display="CENTRO VIX" xr:uid="{094E06F1-76A9-4B58-AE68-D2C6CFF19F8F}"/>
    <hyperlink ref="E10" location="GLÓRIA!A1" display="GLÓRIA" xr:uid="{97C940B5-C81C-4663-9921-BC73F43E4D5E}"/>
    <hyperlink ref="E12" location="'JARDIM CAMBURI'!A1" display="JARDIM CAMBURI" xr:uid="{6FC76F31-9371-4639-9D5B-DB533E9A0641}"/>
    <hyperlink ref="E14" location="MASTERPLACE!A1" display="MASTERPLACE" xr:uid="{5BE2C8C1-4F1C-40E6-B7DB-157E3BBFC555}"/>
    <hyperlink ref="E16" location="'NORTE SUL'!A1" display="NORTE SUL" xr:uid="{9F16102E-7D3E-4057-84E6-B031E5B33DBE}"/>
    <hyperlink ref="H6" location="ITACIBA!A1" display="ITACIBA" xr:uid="{3E8E000F-2D24-457C-A15B-BB19A229F324}"/>
    <hyperlink ref="H12" location="'MARCILIO DE NORONHA'!A1" display="MARCILIO DE NORONHA" xr:uid="{54D799F4-655C-400A-B917-C5FE8175AE37}"/>
    <hyperlink ref="H14" location="MONTSERRAT!A1" display="MONTSERRAT" xr:uid="{1AD7DD12-F4D7-42C1-9443-0FF690F50A41}"/>
    <hyperlink ref="H8" location="JACARAIPE!A1" display="JACARAIPE" xr:uid="{94F60E27-11F7-4A0A-ACFD-3BDD1A6D2D8A}"/>
    <hyperlink ref="H16" location="'PORTO CANOA'!A1" display="PORTO CANOA" xr:uid="{6130DD85-C499-4CE5-AE57-2D4419905DD3}"/>
    <hyperlink ref="H18" location="'SERRA SEDE'!A1" display="SERRA SEDE" xr:uid="{DA01D229-D025-4D6B-B020-3930188B2822}"/>
    <hyperlink ref="H10" location="LARANJEIRAS!A1" display="LARANJEIRAS" xr:uid="{35229676-4BEA-4FD9-ADCA-9FB86336401B}"/>
  </hyperlink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AC2A3-DA86-49D3-ACF2-3514A21CF107}">
  <sheetPr codeName="Planilha4"/>
  <dimension ref="B1:X54"/>
  <sheetViews>
    <sheetView showGridLines="0" zoomScale="80" zoomScaleNormal="80" workbookViewId="0">
      <selection activeCell="L45" sqref="L45:L53"/>
    </sheetView>
  </sheetViews>
  <sheetFormatPr defaultRowHeight="14.5" x14ac:dyDescent="0.35"/>
  <cols>
    <col min="1" max="1" width="2.1796875" customWidth="1"/>
    <col min="2" max="2" width="16.453125" customWidth="1"/>
    <col min="3" max="3" width="13.7265625" bestFit="1" customWidth="1"/>
    <col min="4" max="4" width="14.54296875" customWidth="1"/>
    <col min="5" max="5" width="13.453125" bestFit="1" customWidth="1"/>
    <col min="6" max="6" width="14" customWidth="1"/>
    <col min="7" max="7" width="18.7265625" customWidth="1"/>
    <col min="8" max="8" width="15" customWidth="1"/>
    <col min="9" max="9" width="20" customWidth="1"/>
    <col min="10" max="10" width="21.1796875" customWidth="1"/>
    <col min="11" max="12" width="16.453125" customWidth="1"/>
    <col min="13" max="13" width="9.7265625" customWidth="1"/>
    <col min="14" max="14" width="20.54296875" customWidth="1"/>
    <col min="15" max="15" width="21" customWidth="1"/>
    <col min="16" max="16" width="15.26953125" customWidth="1"/>
    <col min="17" max="17" width="13" bestFit="1" customWidth="1"/>
    <col min="18" max="18" width="10.453125" bestFit="1" customWidth="1"/>
    <col min="19" max="19" width="12.7265625" bestFit="1" customWidth="1"/>
    <col min="20" max="20" width="14.453125" customWidth="1"/>
  </cols>
  <sheetData>
    <row r="1" spans="2:24" x14ac:dyDescent="0.35">
      <c r="B1" s="59"/>
    </row>
    <row r="2" spans="2:24" x14ac:dyDescent="0.35">
      <c r="B2" s="143" t="s">
        <v>207</v>
      </c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5"/>
    </row>
    <row r="3" spans="2:24" x14ac:dyDescent="0.35">
      <c r="B3" s="146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8"/>
    </row>
    <row r="4" spans="2:24" x14ac:dyDescent="0.35">
      <c r="B4" s="149"/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1"/>
    </row>
    <row r="5" spans="2:24" x14ac:dyDescent="0.35">
      <c r="B5" s="60"/>
      <c r="T5" s="61"/>
    </row>
    <row r="6" spans="2:24" ht="14.5" customHeight="1" x14ac:dyDescent="0.35">
      <c r="B6" s="152" t="s">
        <v>208</v>
      </c>
      <c r="C6" s="153"/>
      <c r="D6" s="153"/>
      <c r="E6" s="153"/>
      <c r="F6" s="153"/>
      <c r="G6" s="153"/>
      <c r="H6" s="154"/>
      <c r="M6" s="155" t="s">
        <v>54</v>
      </c>
      <c r="N6" s="156"/>
      <c r="P6" s="74" t="s">
        <v>23</v>
      </c>
      <c r="T6" s="61"/>
      <c r="V6" s="1">
        <v>0</v>
      </c>
      <c r="W6" s="1">
        <v>2</v>
      </c>
      <c r="X6" s="1">
        <v>3</v>
      </c>
    </row>
    <row r="7" spans="2:24" ht="14.5" customHeight="1" x14ac:dyDescent="0.35">
      <c r="B7" s="62" t="s">
        <v>209</v>
      </c>
      <c r="C7" s="2" t="s">
        <v>13</v>
      </c>
      <c r="D7" s="2" t="s">
        <v>210</v>
      </c>
      <c r="E7" s="2" t="s">
        <v>16</v>
      </c>
      <c r="F7" s="2" t="s">
        <v>211</v>
      </c>
      <c r="G7" s="2" t="s">
        <v>212</v>
      </c>
      <c r="H7" s="3" t="s">
        <v>14</v>
      </c>
      <c r="M7" s="157" t="s">
        <v>27</v>
      </c>
      <c r="N7" s="158"/>
      <c r="P7" s="75" t="s">
        <v>28</v>
      </c>
      <c r="T7" s="61"/>
    </row>
    <row r="8" spans="2:24" ht="14.5" customHeight="1" x14ac:dyDescent="0.35">
      <c r="B8" s="63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5">
        <v>0</v>
      </c>
      <c r="T8" s="61"/>
    </row>
    <row r="9" spans="2:24" x14ac:dyDescent="0.35">
      <c r="B9" s="84"/>
      <c r="C9" s="85"/>
      <c r="D9" s="85"/>
      <c r="E9" s="85"/>
      <c r="F9" s="85"/>
      <c r="G9" s="85"/>
      <c r="H9" s="85"/>
    </row>
    <row r="10" spans="2:24" x14ac:dyDescent="0.35">
      <c r="B10" s="84"/>
      <c r="C10" s="85"/>
      <c r="D10" s="85"/>
      <c r="E10" s="85"/>
      <c r="F10" s="85"/>
      <c r="G10" s="85"/>
      <c r="H10" s="85"/>
    </row>
    <row r="11" spans="2:24" ht="18.5" x14ac:dyDescent="0.35">
      <c r="B11" s="159" t="s">
        <v>213</v>
      </c>
      <c r="C11" s="160"/>
      <c r="D11" s="160"/>
      <c r="E11" s="160"/>
      <c r="F11" s="160"/>
      <c r="G11" s="160"/>
      <c r="H11" s="160"/>
      <c r="I11" s="160"/>
      <c r="J11" s="160"/>
      <c r="K11" s="160"/>
      <c r="L11" s="160"/>
      <c r="M11" s="160"/>
      <c r="N11" s="160"/>
      <c r="O11" s="160"/>
      <c r="P11" s="160"/>
      <c r="Q11" s="160"/>
      <c r="R11" s="160"/>
      <c r="S11" s="160"/>
      <c r="T11" s="160"/>
    </row>
    <row r="12" spans="2:24" x14ac:dyDescent="0.35">
      <c r="B12" s="129" t="s">
        <v>9</v>
      </c>
      <c r="C12" s="130"/>
      <c r="D12" s="130"/>
      <c r="E12" s="130"/>
      <c r="F12" s="130"/>
      <c r="G12" s="130"/>
      <c r="H12" s="130"/>
      <c r="I12" s="130"/>
      <c r="J12" s="131"/>
      <c r="K12" s="132" t="s">
        <v>54</v>
      </c>
      <c r="L12" s="130"/>
      <c r="M12" s="130"/>
      <c r="N12" s="130"/>
      <c r="O12" s="130"/>
      <c r="P12" s="130"/>
      <c r="Q12" s="130"/>
      <c r="R12" s="130"/>
      <c r="S12" s="130"/>
      <c r="T12" s="133"/>
    </row>
    <row r="13" spans="2:24" ht="14.5" customHeight="1" x14ac:dyDescent="0.35">
      <c r="B13" s="115" t="s">
        <v>214</v>
      </c>
      <c r="C13" s="116" t="s">
        <v>215</v>
      </c>
      <c r="D13" s="117"/>
      <c r="E13" s="104"/>
      <c r="F13" s="135" t="s">
        <v>216</v>
      </c>
      <c r="G13" s="135" t="s">
        <v>217</v>
      </c>
      <c r="H13" s="135" t="s">
        <v>218</v>
      </c>
      <c r="I13" s="135" t="s">
        <v>219</v>
      </c>
      <c r="J13" s="135" t="s">
        <v>220</v>
      </c>
      <c r="K13" s="116" t="s">
        <v>221</v>
      </c>
      <c r="L13" s="117"/>
      <c r="M13" s="104"/>
      <c r="N13" s="127" t="s">
        <v>222</v>
      </c>
      <c r="O13" s="127" t="s">
        <v>223</v>
      </c>
      <c r="P13" s="127" t="s">
        <v>224</v>
      </c>
      <c r="Q13" s="127" t="s">
        <v>225</v>
      </c>
      <c r="R13" s="127" t="s">
        <v>226</v>
      </c>
      <c r="S13" s="127" t="s">
        <v>227</v>
      </c>
      <c r="T13" s="137" t="s">
        <v>228</v>
      </c>
    </row>
    <row r="14" spans="2:24" x14ac:dyDescent="0.35">
      <c r="B14" s="134"/>
      <c r="C14" s="94" t="s">
        <v>229</v>
      </c>
      <c r="D14" s="139" t="s">
        <v>230</v>
      </c>
      <c r="E14" s="140"/>
      <c r="F14" s="136"/>
      <c r="G14" s="136"/>
      <c r="H14" s="136"/>
      <c r="I14" s="136"/>
      <c r="J14" s="136"/>
      <c r="K14" s="52" t="s">
        <v>229</v>
      </c>
      <c r="L14" s="139" t="s">
        <v>230</v>
      </c>
      <c r="M14" s="140"/>
      <c r="N14" s="128"/>
      <c r="O14" s="128"/>
      <c r="P14" s="128"/>
      <c r="Q14" s="128"/>
      <c r="R14" s="128"/>
      <c r="S14" s="128"/>
      <c r="T14" s="138"/>
    </row>
    <row r="15" spans="2:24" x14ac:dyDescent="0.35">
      <c r="B15" s="45" t="s">
        <v>2</v>
      </c>
      <c r="C15" s="76">
        <f>SUMIFS(REALIZADO[META_MOVEL],REALIZADO[PDV],ANCHIETA!$M$7)</f>
        <v>6600</v>
      </c>
      <c r="D15" s="77">
        <f>SUMIFS(PROJEÇÃO[PROJ_MOVEL],PROJEÇÃO[PDV],ANCHIETA!$M$7)</f>
        <v>4671.7412000000004</v>
      </c>
      <c r="E15" s="49">
        <f>IFERROR(D15/C15,0)</f>
        <v>0.70783957575757583</v>
      </c>
      <c r="F15" s="8">
        <f>VLOOKUP($E$15,FATORES!$I$32:$K$34,3)</f>
        <v>5.0000000000000001E-3</v>
      </c>
      <c r="G15" s="8">
        <f>IFERROR(VLOOKUP($E$15,FATORES!$I$35:$K$36,3),0)</f>
        <v>0</v>
      </c>
      <c r="H15" s="9">
        <f>D15*F15</f>
        <v>23.358706000000002</v>
      </c>
      <c r="I15" s="9">
        <f t="shared" ref="I15:I23" si="0">IF($P$7="ARIEL",
   IF(AND($E$15&gt;=69.5%, AND($E$17&gt;=69.5%, $E$18&gt;=69.5%, $E$18&gt;=69.5%, $E$20&gt;=69.5%, $E$20&gt;=69.5%, $E$22&gt;=69.5%, $E$23&gt;=69.5%)),
      D15*G15,
      0),
   IF(AND($E$15&gt;=69.5%, $E$16&gt;=69.5%, $E$17&gt;=69.5%, $E$18&gt;=69.5%, $E$18&gt;=69.5%, $E$20&gt;=69.5%, $E$20&gt;=69.5%, $E$22&gt;=69.5%, $E$23&gt;=69.5%),
      D15*G15,
      0)
)</f>
        <v>0</v>
      </c>
      <c r="J15" s="9">
        <f>H15+I15</f>
        <v>23.358706000000002</v>
      </c>
      <c r="K15" s="76">
        <f>SUMIFS(REALIZADO[META_MOVEL],REALIZADO[COORDENAÇÃO],$P$7)</f>
        <v>59729.999899999995</v>
      </c>
      <c r="L15" s="77">
        <f>SUMIFS(PROJEÇÃO[PROJ_MOVEL],PROJEÇÃO[COORDENAÇÃO],$P$7)</f>
        <v>52523.219899999989</v>
      </c>
      <c r="M15" s="49">
        <f>IFERROR(L15/K15,0)</f>
        <v>0.87934404801497401</v>
      </c>
      <c r="N15" s="8">
        <f>IF($M$15&gt;=FATORES!$I$37,FATORES!$K$37,0)</f>
        <v>0</v>
      </c>
      <c r="O15" s="14">
        <f>IF(E15&gt;=100%,
   IF($P$7="ARIEL",
      IF(AND($E$15&gt;=69.5%,$E$17&gt;=69.5%,$E$18&gt;=69.5%,$E$20&gt;=69.5%,$E$22&gt;=69.5%,$E$23&gt;=69.5%),
         D15*N15,
         0
      ),
      IF(AND($E$15&gt;=69.5%,$E$16&gt;=69.5%,$E$17&gt;=69.5%,$E$18&gt;=69.5%,$E$20&gt;=69.5%,$E$22&gt;=69.5%,$E$23&gt;=69.5%),
         D15*N15,
         0
      )
   ),
0)</f>
        <v>0</v>
      </c>
      <c r="P15" s="10">
        <f>J15+O15</f>
        <v>23.358706000000002</v>
      </c>
      <c r="Q15" s="11">
        <f>IF($B$8=2,P15*0.05,0)</f>
        <v>0</v>
      </c>
      <c r="R15" s="11">
        <f>IF($B$8=3,P15*0.15,0)</f>
        <v>0</v>
      </c>
      <c r="S15" s="98">
        <v>0.1</v>
      </c>
      <c r="T15" s="124">
        <f>SUM(P24:S24)</f>
        <v>51.669128610000001</v>
      </c>
    </row>
    <row r="16" spans="2:24" x14ac:dyDescent="0.35">
      <c r="B16" s="46" t="s">
        <v>13</v>
      </c>
      <c r="C16" s="76">
        <f>SUMIFS(REALIZADO[META_FIXA],REALIZADO[PDV],ANCHIETA!$M$7)</f>
        <v>0</v>
      </c>
      <c r="D16" s="77">
        <f>SUMIFS(PROJEÇÃO[PROJ_FIXA],PROJEÇÃO[PDV],ANCHIETA!$M$7)</f>
        <v>0</v>
      </c>
      <c r="E16" s="50">
        <f>IFERROR(D16/C16,0)</f>
        <v>0</v>
      </c>
      <c r="F16" s="12">
        <f>VLOOKUP($E$16,FATORES!$I$40:$K$42,3)</f>
        <v>5.0000000000000001E-3</v>
      </c>
      <c r="G16" s="12">
        <f>IFERROR(VLOOKUP($E$16,FATORES!$I$43:$K$44,3),0)</f>
        <v>0</v>
      </c>
      <c r="H16" s="65">
        <f t="shared" ref="H16:H23" si="1">D16*F16</f>
        <v>0</v>
      </c>
      <c r="I16" s="65">
        <f t="shared" si="0"/>
        <v>0</v>
      </c>
      <c r="J16" s="65">
        <f t="shared" ref="J16:J23" si="2">H16+I16</f>
        <v>0</v>
      </c>
      <c r="K16" s="76">
        <f>SUMIFS(REALIZADO[META_FIXA],REALIZADO[COORDENAÇÃO],$P$7)</f>
        <v>0</v>
      </c>
      <c r="L16" s="77">
        <f>SUMIFS(PROJEÇÃO[PROJ_FIXA],PROJEÇÃO[COORDENAÇÃO],$P$7)</f>
        <v>0</v>
      </c>
      <c r="M16" s="50">
        <f t="shared" ref="M16:M17" si="3">IFERROR(L16/K16,0)</f>
        <v>0</v>
      </c>
      <c r="N16" s="12">
        <f>IF($M$16&gt;=FATORES!$I$45,FATORES!$K$45,0)</f>
        <v>0</v>
      </c>
      <c r="O16" s="14">
        <f t="shared" ref="O16:O23" si="4">IF(E16&gt;=100%,
   IF($P$7="ARIEL",
      IF(AND($E$15&gt;=69.5%,$E$17&gt;=69.5%,$E$18&gt;=69.5%,$E$20&gt;=69.5%,$E$22&gt;=69.5%,$E$23&gt;=69.5%),
         D16*N16,
         0
      ),
      IF(AND($E$15&gt;=69.5%,$E$16&gt;=69.5%,$E$17&gt;=69.5%,$E$18&gt;=69.5%,$E$20&gt;=69.5%,$E$22&gt;=69.5%,$E$23&gt;=69.5%),
         D16*N16,
         0
      )
   ),
0)</f>
        <v>0</v>
      </c>
      <c r="P16" s="13">
        <f t="shared" ref="P16:P23" si="5">J16+O16</f>
        <v>0</v>
      </c>
      <c r="Q16" s="15">
        <f>IF($C$8=2,P16*0.05,0)</f>
        <v>0</v>
      </c>
      <c r="R16" s="15">
        <f>IF($C$8=3,P16*0.15,0)</f>
        <v>0</v>
      </c>
      <c r="S16" s="99"/>
      <c r="T16" s="125"/>
    </row>
    <row r="17" spans="2:20" x14ac:dyDescent="0.35">
      <c r="B17" s="46" t="s">
        <v>231</v>
      </c>
      <c r="C17" s="53">
        <f>SUMIFS(REALIZADO[META_SMARTPHONE],REALIZADO[PDV],ANCHIETA!$M$7)</f>
        <v>116000.0001</v>
      </c>
      <c r="D17" s="78">
        <f>SUMIFS(PROJEÇÃO[PROJ_APARELHO],PROJEÇÃO[PDV],ANCHIETA!$M$7)</f>
        <v>58127.333300000006</v>
      </c>
      <c r="E17" s="50">
        <f>IFERROR(D17/C17,0)</f>
        <v>0.50109770043008817</v>
      </c>
      <c r="F17" s="12">
        <f>VLOOKUP($E$17,FATORES!$B$53:$D$54,3)</f>
        <v>2.0000000000000001E-4</v>
      </c>
      <c r="G17" s="12">
        <f>IFERROR(VLOOKUP($E$17,FATORES!$B$55:$D$55,3),0)</f>
        <v>0</v>
      </c>
      <c r="H17" s="65">
        <f t="shared" si="1"/>
        <v>11.625466660000003</v>
      </c>
      <c r="I17" s="65">
        <f t="shared" si="0"/>
        <v>0</v>
      </c>
      <c r="J17" s="65">
        <f t="shared" si="2"/>
        <v>11.625466660000003</v>
      </c>
      <c r="K17" s="53">
        <f>SUMIFS(REALIZADO[META_SMARTPHONE],REALIZADO[COORDENAÇÃO],$P$7)</f>
        <v>741000.00010000006</v>
      </c>
      <c r="L17" s="78">
        <f>SUMIFS(PROJEÇÃO[PROJ_APARELHO],PROJEÇÃO[COORDENAÇÃO],$P$7)</f>
        <v>619809.5554999999</v>
      </c>
      <c r="M17" s="50">
        <f t="shared" si="3"/>
        <v>0.8364501422622872</v>
      </c>
      <c r="N17" s="12">
        <f>IF($M$17&gt;=FATORES!$B$56,FATORES!$D$56,0)</f>
        <v>0</v>
      </c>
      <c r="O17" s="14">
        <f t="shared" si="4"/>
        <v>0</v>
      </c>
      <c r="P17" s="13">
        <f t="shared" si="5"/>
        <v>11.625466660000003</v>
      </c>
      <c r="Q17" s="15">
        <f>IF($D$8=2,P17*0.05,0)</f>
        <v>0</v>
      </c>
      <c r="R17" s="15">
        <f>IF($D$8=3,P17*0.15,0)</f>
        <v>0</v>
      </c>
      <c r="S17" s="99"/>
      <c r="T17" s="125"/>
    </row>
    <row r="18" spans="2:20" x14ac:dyDescent="0.35">
      <c r="B18" s="47" t="s">
        <v>232</v>
      </c>
      <c r="C18" s="121">
        <f>SUMIFS(REALIZADO[META_ACESSORIO],REALIZADO[PDV],ANCHIETA!$M$7)</f>
        <v>13950</v>
      </c>
      <c r="D18" s="86">
        <f>SUMIFS(PROJEÇÃO[PROJ_ELETRO_A],PROJEÇÃO[PDV],ANCHIETA!$M$7)</f>
        <v>0</v>
      </c>
      <c r="E18" s="123">
        <f>IFERROR((D18+D19)/C18,0)</f>
        <v>0.44083631541218643</v>
      </c>
      <c r="F18" s="12">
        <f>VLOOKUP($E$18,FATORES!$B$44:$E$46,3)</f>
        <v>5.0000000000000001E-4</v>
      </c>
      <c r="G18" s="12">
        <f>IFERROR(VLOOKUP($E$18,FATORES!$B$47:$E$48,3),0)</f>
        <v>0</v>
      </c>
      <c r="H18" s="65">
        <f t="shared" si="1"/>
        <v>0</v>
      </c>
      <c r="I18" s="65">
        <f t="shared" si="0"/>
        <v>0</v>
      </c>
      <c r="J18" s="65">
        <f t="shared" si="2"/>
        <v>0</v>
      </c>
      <c r="K18" s="121">
        <f>SUMIFS(REALIZADO[META_ACESSORIO],REALIZADO[COORDENAÇÃO],$P$7)</f>
        <v>84200.000200000009</v>
      </c>
      <c r="L18" s="86">
        <f>SUMIFS(PROJEÇÃO[PROJ_ELETRO_A],PROJEÇÃO[COORDENAÇÃO],$P$7)</f>
        <v>2058.3333000000002</v>
      </c>
      <c r="M18" s="97">
        <f>IFERROR((L18+L19)/K18,0)</f>
        <v>1.2364040611961895</v>
      </c>
      <c r="N18" s="12">
        <f>IF($M$18&gt;=FATORES!$B$49,FATORES!$D$49,0)</f>
        <v>2.5000000000000001E-3</v>
      </c>
      <c r="O18" s="14">
        <f t="shared" si="4"/>
        <v>0</v>
      </c>
      <c r="P18" s="13">
        <f t="shared" si="5"/>
        <v>0</v>
      </c>
      <c r="Q18" s="15">
        <f>IF($E$8=2,P18*0.05,0)</f>
        <v>0</v>
      </c>
      <c r="R18" s="15">
        <f>IF($E$8=3,P18*0.15,0)</f>
        <v>0</v>
      </c>
      <c r="S18" s="99"/>
      <c r="T18" s="125"/>
    </row>
    <row r="19" spans="2:20" x14ac:dyDescent="0.35">
      <c r="B19" s="47" t="s">
        <v>233</v>
      </c>
      <c r="C19" s="122"/>
      <c r="D19" s="87">
        <f>SUMIFS(PROJEÇÃO[PROJ_ELETRO_B],PROJEÇÃO[PDV],ANCHIETA!$M$7)</f>
        <v>6149.6666000000005</v>
      </c>
      <c r="E19" s="123"/>
      <c r="F19" s="12">
        <f>VLOOKUP($E$18,FATORES!$B$44:$E$46,4)</f>
        <v>2.5000000000000001E-4</v>
      </c>
      <c r="G19" s="12">
        <f>IFERROR(VLOOKUP($E$18,FATORES!$B$47:$E$48,4),0)</f>
        <v>0</v>
      </c>
      <c r="H19" s="65">
        <f t="shared" si="1"/>
        <v>1.5374166500000002</v>
      </c>
      <c r="I19" s="65">
        <f t="shared" si="0"/>
        <v>0</v>
      </c>
      <c r="J19" s="65">
        <f t="shared" si="2"/>
        <v>1.5374166500000002</v>
      </c>
      <c r="K19" s="122"/>
      <c r="L19" s="87">
        <f>SUMIFS(PROJEÇÃO[PROJ_ELETRO_B],PROJEÇÃO[COORDENAÇÃO],$P$7)</f>
        <v>102046.88889999999</v>
      </c>
      <c r="M19" s="97"/>
      <c r="N19" s="12">
        <f>IF($M$18&gt;=FATORES!$B$49,FATORES!$E$49,0)</f>
        <v>1.25E-3</v>
      </c>
      <c r="O19" s="14">
        <f t="shared" si="4"/>
        <v>0</v>
      </c>
      <c r="P19" s="13">
        <f t="shared" si="5"/>
        <v>1.5374166500000002</v>
      </c>
      <c r="Q19" s="15">
        <f>IF($E$8=2,P19*0.05,0)</f>
        <v>0</v>
      </c>
      <c r="R19" s="15">
        <f>IF($E$8=3,P19*0.15,0)</f>
        <v>0</v>
      </c>
      <c r="S19" s="99"/>
      <c r="T19" s="125"/>
    </row>
    <row r="20" spans="2:20" x14ac:dyDescent="0.35">
      <c r="B20" s="46" t="s">
        <v>234</v>
      </c>
      <c r="C20" s="121">
        <f>SUMIFS(REALIZADO[META_ESSENCIAIS],REALIZADO[PDV],ANCHIETA!$M$7)</f>
        <v>6849.9998999999989</v>
      </c>
      <c r="D20" s="86">
        <f>SUMIFS(PROJEÇÃO[PROJ_ESSEN_A],PROJEÇÃO[PDV],ANCHIETA!$M$7)</f>
        <v>3382</v>
      </c>
      <c r="E20" s="123">
        <f>IFERROR((D20+D21)/C20,0)</f>
        <v>0.95816707968127146</v>
      </c>
      <c r="F20" s="12">
        <f>VLOOKUP($E$20,FATORES!$B$34:$E$36,3)</f>
        <v>1.5E-3</v>
      </c>
      <c r="G20" s="12">
        <f>IFERROR(VLOOKUP($E$20,FATORES!$B$37:$E$38,3),0)</f>
        <v>0</v>
      </c>
      <c r="H20" s="65">
        <f t="shared" si="1"/>
        <v>5.0730000000000004</v>
      </c>
      <c r="I20" s="65">
        <f t="shared" si="0"/>
        <v>0</v>
      </c>
      <c r="J20" s="65">
        <f t="shared" si="2"/>
        <v>5.0730000000000004</v>
      </c>
      <c r="K20" s="121">
        <f>SUMIFS(REALIZADO[META_ESSENCIAIS],REALIZADO[COORDENAÇÃO],$P$7)</f>
        <v>58599.999900000003</v>
      </c>
      <c r="L20" s="86">
        <f>SUMIFS(PROJEÇÃO[PROJ_ESSEN_A],PROJEÇÃO[COORDENAÇÃO],$P$7)</f>
        <v>30216.333300000002</v>
      </c>
      <c r="M20" s="97">
        <f>IFERROR((L20+L21)/K20,0)</f>
        <v>1.094031099136572</v>
      </c>
      <c r="N20" s="12">
        <f>IF($M$20&gt;=FATORES!$B$39,FATORES!$D$39,0)</f>
        <v>8.0000000000000002E-3</v>
      </c>
      <c r="O20" s="14">
        <f t="shared" si="4"/>
        <v>0</v>
      </c>
      <c r="P20" s="13">
        <f t="shared" si="5"/>
        <v>5.0730000000000004</v>
      </c>
      <c r="Q20" s="15">
        <f>IF($F$8=2,P20*0.05,0)</f>
        <v>0</v>
      </c>
      <c r="R20" s="15">
        <f>IF($F$8=3,P20*0.15,0)</f>
        <v>0</v>
      </c>
      <c r="S20" s="99"/>
      <c r="T20" s="125"/>
    </row>
    <row r="21" spans="2:20" x14ac:dyDescent="0.35">
      <c r="B21" s="46" t="s">
        <v>235</v>
      </c>
      <c r="C21" s="122"/>
      <c r="D21" s="87">
        <f>SUMIFS(PROJEÇÃO[PROJ_ESSEN_B],PROJEÇÃO[PDV],ANCHIETA!$M$7)</f>
        <v>3181.4444000000003</v>
      </c>
      <c r="E21" s="123"/>
      <c r="F21" s="12">
        <f>VLOOKUP($E$20,FATORES!$B$34:$E$36,4)</f>
        <v>7.5000000000000002E-4</v>
      </c>
      <c r="G21" s="12">
        <f>IFERROR(VLOOKUP($E$20,FATORES!$B$37:$E$38,4),0)</f>
        <v>0</v>
      </c>
      <c r="H21" s="65">
        <f t="shared" si="1"/>
        <v>2.3860833000000001</v>
      </c>
      <c r="I21" s="65">
        <f t="shared" si="0"/>
        <v>0</v>
      </c>
      <c r="J21" s="65">
        <f t="shared" si="2"/>
        <v>2.3860833000000001</v>
      </c>
      <c r="K21" s="122"/>
      <c r="L21" s="87">
        <f>SUMIFS(PROJEÇÃO[PROJ_ESSEN_B],PROJEÇÃO[COORDENAÇÃO],$P$7)</f>
        <v>33893.88900000001</v>
      </c>
      <c r="M21" s="97"/>
      <c r="N21" s="12">
        <f>IF($M$20&gt;=FATORES!$B$39,FATORES!$E$39,0)</f>
        <v>4.0000000000000001E-3</v>
      </c>
      <c r="O21" s="14">
        <f t="shared" si="4"/>
        <v>0</v>
      </c>
      <c r="P21" s="13">
        <f t="shared" si="5"/>
        <v>2.3860833000000001</v>
      </c>
      <c r="Q21" s="15">
        <f>IF($F$8=2,P21*0.05,0)</f>
        <v>0</v>
      </c>
      <c r="R21" s="15">
        <f>IF($F$8=3,P21*0.15,0)</f>
        <v>0</v>
      </c>
      <c r="S21" s="99"/>
      <c r="T21" s="125"/>
    </row>
    <row r="22" spans="2:20" x14ac:dyDescent="0.35">
      <c r="B22" s="46" t="s">
        <v>212</v>
      </c>
      <c r="C22" s="57">
        <f>SUMIFS(REALIZADO[META_SEGUROS],REALIZADO[PDV],ANCHIETA!$M$7)</f>
        <v>825</v>
      </c>
      <c r="D22" s="79">
        <f>SUMIFS(PROJEÇÃO[PROJ_SEGURO],PROJEÇÃO[PDV],ANCHIETA!$M$7)</f>
        <v>552.90009999999995</v>
      </c>
      <c r="E22" s="83">
        <f>IFERROR(D22/C22,0)</f>
        <v>0.67018193939393933</v>
      </c>
      <c r="F22" s="83">
        <f>VLOOKUP($E$22,FATORES!$O$32:$Q$34,3)</f>
        <v>5.0000000000000001E-3</v>
      </c>
      <c r="G22" s="12">
        <f>IFERROR(VLOOKUP($E$22,FATORES!$O$35:$Q$36,3),0)</f>
        <v>0</v>
      </c>
      <c r="H22" s="65">
        <f t="shared" si="1"/>
        <v>2.7645005</v>
      </c>
      <c r="I22" s="65">
        <f t="shared" si="0"/>
        <v>0</v>
      </c>
      <c r="J22" s="65">
        <f t="shared" si="2"/>
        <v>2.7645005</v>
      </c>
      <c r="K22" s="57">
        <f>SUMIFS(REALIZADO[META_SEGUROS],REALIZADO[COORDENAÇÃO],$P$7)</f>
        <v>5665</v>
      </c>
      <c r="L22" s="79">
        <f>SUMIFS(PROJEÇÃO[PROJ_SEGURO],PROJEÇÃO[COORDENAÇÃO],$P$7)</f>
        <v>5467.5668999999998</v>
      </c>
      <c r="M22" s="50">
        <f t="shared" ref="M22:M23" si="6">IFERROR(L22/K22,0)</f>
        <v>0.96514861429832299</v>
      </c>
      <c r="N22" s="12">
        <f>IF($M$22&gt;=FATORES!$O$37,FATORES!$Q$37,0)</f>
        <v>0</v>
      </c>
      <c r="O22" s="14">
        <f t="shared" si="4"/>
        <v>0</v>
      </c>
      <c r="P22" s="13">
        <f t="shared" si="5"/>
        <v>2.7645005</v>
      </c>
      <c r="Q22" s="15">
        <f>IF($G$8=2,P22*0.05,0)</f>
        <v>0</v>
      </c>
      <c r="R22" s="15">
        <f>IF($G$8=3,P22*0.15,0)</f>
        <v>0</v>
      </c>
      <c r="S22" s="99"/>
      <c r="T22" s="125"/>
    </row>
    <row r="23" spans="2:20" x14ac:dyDescent="0.35">
      <c r="B23" s="48" t="s">
        <v>14</v>
      </c>
      <c r="C23" s="76">
        <f>SUMIFS(REALIZADO[META_SVA],REALIZADO[PDV],ANCHIETA!$M$7)</f>
        <v>849.99990000000003</v>
      </c>
      <c r="D23" s="77">
        <f>SUMIFS(PROJEÇÃO[PROJ_SVA],PROJEÇÃO[PDV],ANCHIETA!$M$7)</f>
        <v>984.79110000000003</v>
      </c>
      <c r="E23" s="82">
        <f>IFERROR(D23/C23,0)</f>
        <v>1.1585779010091648</v>
      </c>
      <c r="F23" s="16">
        <f>IF($E$23&gt;=0,FATORES!$Q$40)</f>
        <v>5.0000000000000001E-3</v>
      </c>
      <c r="G23" s="16">
        <f>IFERROR(VLOOKUP($E$23,FATORES!$O$43:$Q$44,3),0)</f>
        <v>5.0000000000000001E-3</v>
      </c>
      <c r="H23" s="17">
        <f t="shared" si="1"/>
        <v>4.9239554999999999</v>
      </c>
      <c r="I23" s="65">
        <f t="shared" si="0"/>
        <v>0</v>
      </c>
      <c r="J23" s="17">
        <f t="shared" si="2"/>
        <v>4.9239554999999999</v>
      </c>
      <c r="K23" s="76">
        <f>SUMIFS(REALIZADO[META_SVA],REALIZADO[COORDENAÇÃO],$P$7)</f>
        <v>5384.9997999999996</v>
      </c>
      <c r="L23" s="77">
        <f>SUMIFS(PROJEÇÃO[PROJ_SVA],PROJEÇÃO[COORDENAÇÃO],$P$7)</f>
        <v>5513.6099000000004</v>
      </c>
      <c r="M23" s="51">
        <f t="shared" si="6"/>
        <v>1.0238830278136688</v>
      </c>
      <c r="N23" s="16">
        <f>IF($M$23&gt;=FATORES!$O$45,FATORES!$Q$45,0)</f>
        <v>5.0000000000000001E-3</v>
      </c>
      <c r="O23" s="14">
        <f t="shared" si="4"/>
        <v>0</v>
      </c>
      <c r="P23" s="18">
        <f t="shared" si="5"/>
        <v>4.9239554999999999</v>
      </c>
      <c r="Q23" s="19">
        <f>IF($H$8=2,P23*0.05,0)</f>
        <v>0</v>
      </c>
      <c r="R23" s="19">
        <f>IF($H$8=3,P23*0.15,0)</f>
        <v>0</v>
      </c>
      <c r="S23" s="100"/>
      <c r="T23" s="126"/>
    </row>
    <row r="24" spans="2:20" x14ac:dyDescent="0.35">
      <c r="B24" s="66"/>
      <c r="C24" s="67"/>
      <c r="D24" s="67"/>
      <c r="E24" s="67"/>
      <c r="F24" s="67"/>
      <c r="G24" s="67"/>
      <c r="H24" s="67"/>
      <c r="I24" s="67"/>
      <c r="J24" s="68"/>
      <c r="K24" s="69"/>
      <c r="L24" s="67"/>
      <c r="M24" s="67"/>
      <c r="N24" s="67"/>
      <c r="O24" s="67"/>
      <c r="P24" s="70">
        <f>SUM(P15:P23)</f>
        <v>51.669128610000001</v>
      </c>
      <c r="Q24" s="70">
        <f t="shared" ref="Q24:R24" si="7">SUM(Q15:Q23)</f>
        <v>0</v>
      </c>
      <c r="R24" s="70">
        <f t="shared" si="7"/>
        <v>0</v>
      </c>
      <c r="S24" s="71" t="str">
        <f>IF($P$7="ARIEL",IF(MIN(E15,E17,E18,E19,E20,E22,E23)&gt;=100%,SUM(P24:R24)*S15,""),IF(MIN(E15:E23)&gt;=100%,SUM(P24:R24)*S15,""))</f>
        <v/>
      </c>
      <c r="T24" s="72"/>
    </row>
    <row r="25" spans="2:20" ht="16.149999999999999" customHeight="1" x14ac:dyDescent="0.35">
      <c r="B25" s="80"/>
      <c r="C25" s="6"/>
      <c r="D25" s="6"/>
      <c r="E25" s="6"/>
      <c r="F25" s="6"/>
      <c r="G25" s="6"/>
      <c r="H25" s="6"/>
      <c r="T25" s="61"/>
    </row>
    <row r="26" spans="2:20" ht="18.5" x14ac:dyDescent="0.35">
      <c r="B26" s="141" t="s">
        <v>236</v>
      </c>
      <c r="C26" s="142"/>
      <c r="D26" s="142"/>
      <c r="E26" s="142"/>
      <c r="F26" s="142"/>
      <c r="G26" s="142"/>
      <c r="H26" s="142"/>
      <c r="I26" s="142"/>
      <c r="J26" s="142"/>
      <c r="K26" s="142"/>
      <c r="L26" s="142"/>
      <c r="M26" s="142"/>
      <c r="N26" s="142"/>
      <c r="O26" s="142"/>
      <c r="P26" s="142"/>
      <c r="Q26" s="142"/>
      <c r="R26" s="142"/>
      <c r="S26" s="142"/>
      <c r="T26" s="142"/>
    </row>
    <row r="27" spans="2:20" x14ac:dyDescent="0.35">
      <c r="B27" s="129" t="s">
        <v>9</v>
      </c>
      <c r="C27" s="130"/>
      <c r="D27" s="130"/>
      <c r="E27" s="130"/>
      <c r="F27" s="130"/>
      <c r="G27" s="130"/>
      <c r="H27" s="130"/>
      <c r="I27" s="130"/>
      <c r="J27" s="131"/>
      <c r="K27" s="132" t="s">
        <v>54</v>
      </c>
      <c r="L27" s="130"/>
      <c r="M27" s="130"/>
      <c r="N27" s="130"/>
      <c r="O27" s="130"/>
      <c r="P27" s="130"/>
      <c r="Q27" s="130"/>
      <c r="R27" s="130"/>
      <c r="S27" s="130"/>
      <c r="T27" s="133"/>
    </row>
    <row r="28" spans="2:20" ht="14.5" customHeight="1" x14ac:dyDescent="0.35">
      <c r="B28" s="115" t="s">
        <v>214</v>
      </c>
      <c r="C28" s="116" t="s">
        <v>237</v>
      </c>
      <c r="D28" s="117"/>
      <c r="E28" s="104"/>
      <c r="F28" s="135" t="s">
        <v>216</v>
      </c>
      <c r="G28" s="135" t="s">
        <v>217</v>
      </c>
      <c r="H28" s="135" t="s">
        <v>218</v>
      </c>
      <c r="I28" s="135" t="s">
        <v>219</v>
      </c>
      <c r="J28" s="135" t="s">
        <v>220</v>
      </c>
      <c r="K28" s="116" t="s">
        <v>238</v>
      </c>
      <c r="L28" s="117"/>
      <c r="M28" s="104"/>
      <c r="N28" s="127" t="s">
        <v>222</v>
      </c>
      <c r="O28" s="127" t="s">
        <v>223</v>
      </c>
      <c r="P28" s="127" t="s">
        <v>224</v>
      </c>
      <c r="Q28" s="127" t="s">
        <v>225</v>
      </c>
      <c r="R28" s="127" t="s">
        <v>226</v>
      </c>
      <c r="S28" s="127" t="s">
        <v>227</v>
      </c>
      <c r="T28" s="137" t="s">
        <v>228</v>
      </c>
    </row>
    <row r="29" spans="2:20" ht="14.5" customHeight="1" x14ac:dyDescent="0.35">
      <c r="B29" s="134"/>
      <c r="C29" s="94" t="s">
        <v>229</v>
      </c>
      <c r="D29" s="139" t="s">
        <v>230</v>
      </c>
      <c r="E29" s="140"/>
      <c r="F29" s="136"/>
      <c r="G29" s="136"/>
      <c r="H29" s="136"/>
      <c r="I29" s="136"/>
      <c r="J29" s="136"/>
      <c r="K29" s="52" t="s">
        <v>229</v>
      </c>
      <c r="L29" s="139" t="s">
        <v>230</v>
      </c>
      <c r="M29" s="140"/>
      <c r="N29" s="128"/>
      <c r="O29" s="128"/>
      <c r="P29" s="128"/>
      <c r="Q29" s="128"/>
      <c r="R29" s="128"/>
      <c r="S29" s="128"/>
      <c r="T29" s="138"/>
    </row>
    <row r="30" spans="2:20" x14ac:dyDescent="0.35">
      <c r="B30" s="45" t="s">
        <v>2</v>
      </c>
      <c r="C30" s="76">
        <f>SUMIFS(REALIZADO[META_MOVEL],REALIZADO[PDV],ANCHIETA!$M$7)</f>
        <v>6600</v>
      </c>
      <c r="D30" s="77">
        <f>SUMIFS(REALIZADO[AT_MOVEL],REALIZADO[PDV],ANCHIETA!$M$7)</f>
        <v>477.01</v>
      </c>
      <c r="E30" s="49">
        <f>IFERROR(D30/C30,0)</f>
        <v>7.2274242424242421E-2</v>
      </c>
      <c r="F30" s="8">
        <f>VLOOKUP($E$30,FATORES!$I$32:$K$34,3)</f>
        <v>5.0000000000000001E-3</v>
      </c>
      <c r="G30" s="8">
        <f>IFERROR(VLOOKUP($E$30,FATORES!$I$35:$K$36,3),0)</f>
        <v>0</v>
      </c>
      <c r="H30" s="9">
        <f>D30*F30</f>
        <v>2.3850500000000001</v>
      </c>
      <c r="I30" s="9">
        <f t="shared" ref="I30:I38" si="8">IF($P$7="ARIEL",
   IF(AND($E$30&gt;=69.5%, AND($E$32&gt;=69.5%, $E$33&gt;=69.5%, $E$33&gt;=69.5%, $E$35&gt;=69.5%, $E$35&gt;=69.5%, $E$37&gt;=69.5%, $E$38&gt;=69.5%)),
      D30*G30,
      0),
   IF(AND($E$30&gt;=69.5%, $E$31&gt;=69.5%, $E$32&gt;=69.5%, $E$33&gt;=69.5%, $E$33&gt;=69.5%, $E$35&gt;=69.5%, $E$35&gt;=69.5%, $E$37&gt;=69.5%, $E$38&gt;=69.5%),
      D30*G30,
      0)
)</f>
        <v>0</v>
      </c>
      <c r="J30" s="9">
        <f>H30+I30</f>
        <v>2.3850500000000001</v>
      </c>
      <c r="K30" s="76">
        <f>SUMIFS(REALIZADO[META_MOVEL],REALIZADO[COORDENAÇÃO],$P$7)</f>
        <v>59729.999899999995</v>
      </c>
      <c r="L30" s="77">
        <f>SUMIFS(REALIZADO[AT_MOVEL],REALIZADO[COORDENAÇÃO],$P$7)</f>
        <v>5335.72</v>
      </c>
      <c r="M30" s="49">
        <f>IFERROR(L30/K30,0)</f>
        <v>8.9330654761980016E-2</v>
      </c>
      <c r="N30" s="8">
        <f>IF($M$30&gt;=FATORES!$I$37,FATORES!$K$37,0)</f>
        <v>0</v>
      </c>
      <c r="O30" s="14">
        <f>IF(E30&gt;=100%,
IF($P$7="ARIEL",
IF(AND($E$30&gt;=69.5%,$E$32&gt;=69.5%,$E$33&gt;=69.5%,$E$35&gt;=69.5%,$E$37&gt;=69.5%,$E$38&gt;=69.5%),
D30*N30,
0),
IF(AND($E$30&gt;=69.5%,$E$31&gt;=69.5%,$E$32&gt;=69.5%,$E$33&gt;=69.5%,$E$35&gt;=69.5%,$E$37&gt;=69.5%,$E$38&gt;=69.5%),
D30*N30,
0)
),0)</f>
        <v>0</v>
      </c>
      <c r="P30" s="10">
        <f>J30+O30</f>
        <v>2.3850500000000001</v>
      </c>
      <c r="Q30" s="11">
        <f>IF($B$8=2,P30*0.05,0)</f>
        <v>0</v>
      </c>
      <c r="R30" s="11">
        <f>IF($B$8=3,P30*0.15,0)</f>
        <v>0</v>
      </c>
      <c r="S30" s="98">
        <v>0.1</v>
      </c>
      <c r="T30" s="124">
        <f>SUM(P39:S39)</f>
        <v>5.3851000000000013</v>
      </c>
    </row>
    <row r="31" spans="2:20" x14ac:dyDescent="0.35">
      <c r="B31" s="46" t="s">
        <v>13</v>
      </c>
      <c r="C31" s="76">
        <f>SUMIFS(REALIZADO[META_FIXA],REALIZADO[PDV],ANCHIETA!$M$7)</f>
        <v>0</v>
      </c>
      <c r="D31" s="77">
        <f>SUMIFS(REALIZADO[AT_FIXA],REALIZADO[PDV],ANCHIETA!$M$7)</f>
        <v>0</v>
      </c>
      <c r="E31" s="50">
        <f>IFERROR(D31/C31,0)</f>
        <v>0</v>
      </c>
      <c r="F31" s="12">
        <f>VLOOKUP($E$31,FATORES!$I$40:$K$42,3)</f>
        <v>5.0000000000000001E-3</v>
      </c>
      <c r="G31" s="12">
        <f>IFERROR(VLOOKUP($E$31,FATORES!$I$43:$K$44,3),0)</f>
        <v>0</v>
      </c>
      <c r="H31" s="65">
        <f t="shared" ref="H31:H38" si="9">D31*F31</f>
        <v>0</v>
      </c>
      <c r="I31" s="65">
        <f t="shared" si="8"/>
        <v>0</v>
      </c>
      <c r="J31" s="65">
        <f t="shared" ref="J31:J38" si="10">H31+I31</f>
        <v>0</v>
      </c>
      <c r="K31" s="76">
        <f>SUMIFS(REALIZADO[META_FIXA],REALIZADO[COORDENAÇÃO],$P$7)</f>
        <v>0</v>
      </c>
      <c r="L31" s="77">
        <f>SUMIFS(REALIZADO[AT_FIXA],REALIZADO[COORDENAÇÃO],$P$7)</f>
        <v>0</v>
      </c>
      <c r="M31" s="50">
        <f t="shared" ref="M31:M32" si="11">IFERROR(L31/K31,0)</f>
        <v>0</v>
      </c>
      <c r="N31" s="12">
        <f>IF($M$31&gt;=FATORES!$I$45,FATORES!$K$45,0)</f>
        <v>0</v>
      </c>
      <c r="O31" s="14">
        <f t="shared" ref="O31:O38" si="12">IF(E31&gt;=100%,
IF($P$7="ARIEL",
IF(AND($E$30&gt;=69.5%,$E$32&gt;=69.5%,$E$33&gt;=69.5%,$E$35&gt;=69.5%,$E$37&gt;=69.5%,$E$38&gt;=69.5%),
D31*N31,
0),
IF(AND($E$30&gt;=69.5%,$E$31&gt;=69.5%,$E$32&gt;=69.5%,$E$33&gt;=69.5%,$E$35&gt;=69.5%,$E$37&gt;=69.5%,$E$38&gt;=69.5%),
D31*N31,
0)
),0)</f>
        <v>0</v>
      </c>
      <c r="P31" s="13">
        <f t="shared" ref="P31:P38" si="13">J31+O31</f>
        <v>0</v>
      </c>
      <c r="Q31" s="15">
        <f>IF($C$8=2,P31*0.05,0)</f>
        <v>0</v>
      </c>
      <c r="R31" s="15">
        <f>IF($C$8=3,P31*0.15,0)</f>
        <v>0</v>
      </c>
      <c r="S31" s="99"/>
      <c r="T31" s="125"/>
    </row>
    <row r="32" spans="2:20" x14ac:dyDescent="0.35">
      <c r="B32" s="46" t="s">
        <v>231</v>
      </c>
      <c r="C32" s="53">
        <f>SUMIFS(REALIZADO[META_SMARTPHONE],REALIZADO[PDV],ANCHIETA!$M$7)</f>
        <v>116000.0001</v>
      </c>
      <c r="D32" s="78">
        <f>SUMIFS(REALIZADO[AT_SMARTPHONE],REALIZADO[PDV],ANCHIETA!$M$7)</f>
        <v>8844</v>
      </c>
      <c r="E32" s="50">
        <f>IFERROR(D32/C32,0)</f>
        <v>7.6241379244619503E-2</v>
      </c>
      <c r="F32" s="12">
        <f>VLOOKUP($E$32,FATORES!$B$53:$D$54,3)</f>
        <v>2.0000000000000001E-4</v>
      </c>
      <c r="G32" s="12">
        <f>IFERROR(VLOOKUP($E$32,FATORES!$B$55:$D$55,3),0)</f>
        <v>0</v>
      </c>
      <c r="H32" s="65">
        <f t="shared" si="9"/>
        <v>1.7688000000000001</v>
      </c>
      <c r="I32" s="65">
        <f t="shared" si="8"/>
        <v>0</v>
      </c>
      <c r="J32" s="65">
        <f t="shared" si="10"/>
        <v>1.7688000000000001</v>
      </c>
      <c r="K32" s="53">
        <f>SUMIFS(REALIZADO[META_SMARTPHONE],REALIZADO[COORDENAÇÃO],$P$7)</f>
        <v>741000.00010000006</v>
      </c>
      <c r="L32" s="78">
        <f>SUMIFS(REALIZADO[AT_SMARTPHONE],REALIZADO[COORDENAÇÃO],$P$7)</f>
        <v>81442</v>
      </c>
      <c r="M32" s="50">
        <f t="shared" si="11"/>
        <v>0.109908232103926</v>
      </c>
      <c r="N32" s="12">
        <f>IF($M$32&gt;=FATORES!$B$56,FATORES!$D$56,0)</f>
        <v>0</v>
      </c>
      <c r="O32" s="14">
        <f t="shared" si="12"/>
        <v>0</v>
      </c>
      <c r="P32" s="13">
        <f t="shared" si="13"/>
        <v>1.7688000000000001</v>
      </c>
      <c r="Q32" s="15">
        <f>IF($D$8=2,P32*0.05,0)</f>
        <v>0</v>
      </c>
      <c r="R32" s="15">
        <f>IF($D$8=3,P32*0.15,0)</f>
        <v>0</v>
      </c>
      <c r="S32" s="99"/>
      <c r="T32" s="125"/>
    </row>
    <row r="33" spans="2:20" x14ac:dyDescent="0.35">
      <c r="B33" s="47" t="s">
        <v>232</v>
      </c>
      <c r="C33" s="121">
        <f>SUMIFS(REALIZADO[META_ACESSORIO],REALIZADO[PDV],ANCHIETA!$M$7)</f>
        <v>13950</v>
      </c>
      <c r="D33" s="86">
        <f>SUMIFS(REALIZADO[AT_ACESSORIOS_A],REALIZADO[PDV],ANCHIETA!$M$7)</f>
        <v>0</v>
      </c>
      <c r="E33" s="123">
        <f>IFERROR((D33+D34)/C33,0)</f>
        <v>1.4265232974910395E-2</v>
      </c>
      <c r="F33" s="12">
        <f>VLOOKUP($E$33,FATORES!$B$44:$E$46,3)</f>
        <v>5.0000000000000001E-4</v>
      </c>
      <c r="G33" s="12">
        <f>IFERROR(VLOOKUP($E$33,FATORES!$B$47:$E$48,3),0)</f>
        <v>0</v>
      </c>
      <c r="H33" s="65">
        <f t="shared" si="9"/>
        <v>0</v>
      </c>
      <c r="I33" s="65">
        <f t="shared" si="8"/>
        <v>0</v>
      </c>
      <c r="J33" s="65">
        <f t="shared" si="10"/>
        <v>0</v>
      </c>
      <c r="K33" s="121">
        <f>SUMIFS(REALIZADO[META_ACESSORIO],REALIZADO[COORDENAÇÃO],$P$7)</f>
        <v>84200.000200000009</v>
      </c>
      <c r="L33" s="86">
        <f>SUMIFS(REALIZADO[AT_ACESSORIOS_A],REALIZADO[COORDENAÇÃO],$P$7)</f>
        <v>0</v>
      </c>
      <c r="M33" s="97">
        <f>IFERROR((L33+L34)/K33,0)</f>
        <v>0.13485748186494659</v>
      </c>
      <c r="N33" s="12">
        <f>IF($M$33&gt;=FATORES!$B$49,FATORES!$D$49,0)</f>
        <v>0</v>
      </c>
      <c r="O33" s="14">
        <f t="shared" si="12"/>
        <v>0</v>
      </c>
      <c r="P33" s="13">
        <f t="shared" si="13"/>
        <v>0</v>
      </c>
      <c r="Q33" s="15">
        <f>IF($E$8=2,P33*0.05,0)</f>
        <v>0</v>
      </c>
      <c r="R33" s="15">
        <f>IF($E$8=3,P33*0.15,0)</f>
        <v>0</v>
      </c>
      <c r="S33" s="99"/>
      <c r="T33" s="125"/>
    </row>
    <row r="34" spans="2:20" x14ac:dyDescent="0.35">
      <c r="B34" s="47" t="s">
        <v>233</v>
      </c>
      <c r="C34" s="122"/>
      <c r="D34" s="87">
        <f>SUMIFS(REALIZADO[AT_ACESSORIOS_B],REALIZADO[PDV],ANCHIETA!$M$7)</f>
        <v>199</v>
      </c>
      <c r="E34" s="123"/>
      <c r="F34" s="12">
        <f>VLOOKUP($E$33,FATORES!$B$44:$E$46,4)</f>
        <v>2.5000000000000001E-4</v>
      </c>
      <c r="G34" s="12">
        <f>IFERROR(VLOOKUP($E$33,FATORES!$B$47:$E$48,4),0)</f>
        <v>0</v>
      </c>
      <c r="H34" s="65">
        <f t="shared" si="9"/>
        <v>4.9750000000000003E-2</v>
      </c>
      <c r="I34" s="65">
        <f t="shared" si="8"/>
        <v>0</v>
      </c>
      <c r="J34" s="65">
        <f t="shared" si="10"/>
        <v>4.9750000000000003E-2</v>
      </c>
      <c r="K34" s="122"/>
      <c r="L34" s="87">
        <f>SUMIFS(REALIZADO[AT_ACESSORIOS_B],REALIZADO[COORDENAÇÃO],$P$7)</f>
        <v>11355</v>
      </c>
      <c r="M34" s="97"/>
      <c r="N34" s="12">
        <f>IF($M$33&gt;=FATORES!$B$49,FATORES!$E$49,0)</f>
        <v>0</v>
      </c>
      <c r="O34" s="14">
        <f t="shared" si="12"/>
        <v>0</v>
      </c>
      <c r="P34" s="13">
        <f t="shared" si="13"/>
        <v>4.9750000000000003E-2</v>
      </c>
      <c r="Q34" s="15">
        <f>IF($E$8=2,P34*0.05,0)</f>
        <v>0</v>
      </c>
      <c r="R34" s="15">
        <f>IF($E$8=3,P34*0.15,0)</f>
        <v>0</v>
      </c>
      <c r="S34" s="99"/>
      <c r="T34" s="125"/>
    </row>
    <row r="35" spans="2:20" x14ac:dyDescent="0.35">
      <c r="B35" s="46" t="s">
        <v>234</v>
      </c>
      <c r="C35" s="121">
        <f>SUMIFS(REALIZADO[META_ESSENCIAIS],REALIZADO[PDV],ANCHIETA!$M$7)</f>
        <v>6849.9998999999989</v>
      </c>
      <c r="D35" s="86">
        <f>SUMIFS(REALIZADO[AT_ESSENCIAIS_A],REALIZADO[PDV],ANCHIETA!$M$7)</f>
        <v>643</v>
      </c>
      <c r="E35" s="123">
        <f>IFERROR((D35+D36)/C35,0)</f>
        <v>0.14875912625925733</v>
      </c>
      <c r="F35" s="12">
        <f>VLOOKUP($E$35,FATORES!$B$34:$E$36,3)</f>
        <v>5.0000000000000001E-4</v>
      </c>
      <c r="G35" s="12">
        <f>IFERROR(VLOOKUP($E$35,FATORES!$B$37:$E$38,3),0)</f>
        <v>0</v>
      </c>
      <c r="H35" s="65">
        <f t="shared" si="9"/>
        <v>0.32150000000000001</v>
      </c>
      <c r="I35" s="65">
        <f t="shared" si="8"/>
        <v>0</v>
      </c>
      <c r="J35" s="65">
        <f t="shared" si="10"/>
        <v>0.32150000000000001</v>
      </c>
      <c r="K35" s="121">
        <f>SUMIFS(REALIZADO[META_ESSENCIAIS],REALIZADO[COORDENAÇÃO],$P$7)</f>
        <v>58599.999900000003</v>
      </c>
      <c r="L35" s="86">
        <f>SUMIFS(REALIZADO[AT_ESSENCIAIS_A],REALIZADO[COORDENAÇÃO],$P$7)</f>
        <v>4117</v>
      </c>
      <c r="M35" s="97">
        <f>IFERROR((L35+L36)/K35,0)</f>
        <v>0.1419112630408042</v>
      </c>
      <c r="N35" s="12">
        <f>IF($M$35&gt;=FATORES!$B$39,FATORES!$D$39,0)</f>
        <v>0</v>
      </c>
      <c r="O35" s="14">
        <f t="shared" si="12"/>
        <v>0</v>
      </c>
      <c r="P35" s="13">
        <f t="shared" si="13"/>
        <v>0.32150000000000001</v>
      </c>
      <c r="Q35" s="15">
        <f>IF($F$8=2,P35*0.05,0)</f>
        <v>0</v>
      </c>
      <c r="R35" s="15">
        <f>IF($F$8=3,P35*0.15,0)</f>
        <v>0</v>
      </c>
      <c r="S35" s="99"/>
      <c r="T35" s="125"/>
    </row>
    <row r="36" spans="2:20" x14ac:dyDescent="0.35">
      <c r="B36" s="46" t="s">
        <v>235</v>
      </c>
      <c r="C36" s="122"/>
      <c r="D36" s="87">
        <f>SUMIFS(REALIZADO[AT_ESSENCIAIS_B],REALIZADO[PDV],ANCHIETA!$M$7)</f>
        <v>376</v>
      </c>
      <c r="E36" s="123"/>
      <c r="F36" s="12">
        <f>VLOOKUP($E$35,FATORES!$B$34:$E$36,4)</f>
        <v>2.5000000000000001E-4</v>
      </c>
      <c r="G36" s="12">
        <f>IFERROR(VLOOKUP($E$35,FATORES!$B$37:$E$38,4),0)</f>
        <v>0</v>
      </c>
      <c r="H36" s="65">
        <f t="shared" si="9"/>
        <v>9.4E-2</v>
      </c>
      <c r="I36" s="65">
        <f t="shared" si="8"/>
        <v>0</v>
      </c>
      <c r="J36" s="65">
        <f t="shared" si="10"/>
        <v>9.4E-2</v>
      </c>
      <c r="K36" s="122"/>
      <c r="L36" s="87">
        <f>SUMIFS(REALIZADO[AT_ESSENCIAIS_B],REALIZADO[COORDENAÇÃO],$P$7)</f>
        <v>4199</v>
      </c>
      <c r="M36" s="97"/>
      <c r="N36" s="12">
        <f>IF($M$35&gt;=FATORES!$B$39,FATORES!$E$39,0)</f>
        <v>0</v>
      </c>
      <c r="O36" s="14">
        <f t="shared" si="12"/>
        <v>0</v>
      </c>
      <c r="P36" s="13">
        <f t="shared" si="13"/>
        <v>9.4E-2</v>
      </c>
      <c r="Q36" s="15">
        <f>IF($F$8=2,P36*0.05,0)</f>
        <v>0</v>
      </c>
      <c r="R36" s="15">
        <f>IF($F$8=3,P36*0.15,0)</f>
        <v>0</v>
      </c>
      <c r="S36" s="99"/>
      <c r="T36" s="125"/>
    </row>
    <row r="37" spans="2:20" x14ac:dyDescent="0.35">
      <c r="B37" s="46" t="s">
        <v>212</v>
      </c>
      <c r="C37" s="57">
        <f>SUMIFS(REALIZADO[META_SEGUROS],REALIZADO[PDV],ANCHIETA!$M$7)</f>
        <v>825</v>
      </c>
      <c r="D37" s="79">
        <f>SUMIFS(REALIZADO[AT_SEGUROS],REALIZADO[PDV],ANCHIETA!$M$7)</f>
        <v>33.799999999999997</v>
      </c>
      <c r="E37" s="83">
        <f>IFERROR(D37/C37,0)</f>
        <v>4.0969696969696968E-2</v>
      </c>
      <c r="F37" s="83">
        <f>VLOOKUP($E$37,FATORES!$O$32:$Q$34,3)</f>
        <v>5.0000000000000001E-3</v>
      </c>
      <c r="G37" s="12">
        <f>IFERROR(VLOOKUP($E$37,FATORES!$O$35:$Q$36,3),0)</f>
        <v>0</v>
      </c>
      <c r="H37" s="65">
        <f t="shared" si="9"/>
        <v>0.16899999999999998</v>
      </c>
      <c r="I37" s="65">
        <f t="shared" si="8"/>
        <v>0</v>
      </c>
      <c r="J37" s="65">
        <f t="shared" si="10"/>
        <v>0.16899999999999998</v>
      </c>
      <c r="K37" s="57">
        <f>SUMIFS(REALIZADO[META_SEGUROS],REALIZADO[COORDENAÇÃO],$P$7)</f>
        <v>5665</v>
      </c>
      <c r="L37" s="79">
        <f>SUMIFS(REALIZADO[AT_SEGUROS],REALIZADO[COORDENAÇÃO],$P$7)</f>
        <v>420.19999999999993</v>
      </c>
      <c r="M37" s="50">
        <f t="shared" ref="M37:M38" si="14">IFERROR(L37/K37,0)</f>
        <v>7.4174757281553386E-2</v>
      </c>
      <c r="N37" s="12">
        <f>IF($M$37&gt;=FATORES!$O$37,FATORES!$Q$37,0)</f>
        <v>0</v>
      </c>
      <c r="O37" s="14">
        <f t="shared" si="12"/>
        <v>0</v>
      </c>
      <c r="P37" s="13">
        <f t="shared" si="13"/>
        <v>0.16899999999999998</v>
      </c>
      <c r="Q37" s="15">
        <f>IF($G$8=2,P37*0.05,0)</f>
        <v>0</v>
      </c>
      <c r="R37" s="15">
        <f>IF($G$8=3,P37*0.15,0)</f>
        <v>0</v>
      </c>
      <c r="S37" s="99"/>
      <c r="T37" s="125"/>
    </row>
    <row r="38" spans="2:20" x14ac:dyDescent="0.35">
      <c r="B38" s="48" t="s">
        <v>14</v>
      </c>
      <c r="C38" s="76">
        <f>SUMIFS(REALIZADO[META_SVA],REALIZADO[PDV],ANCHIETA!$M$7)</f>
        <v>849.99990000000003</v>
      </c>
      <c r="D38" s="77">
        <f>SUMIFS(REALIZADO[AT_SVA],REALIZADO[PDV],ANCHIETA!$M$7)</f>
        <v>119.39999999999999</v>
      </c>
      <c r="E38" s="82">
        <f>IFERROR(D38/C38,0)</f>
        <v>0.14047060476124759</v>
      </c>
      <c r="F38" s="16">
        <f>IF($E$38&gt;=0,FATORES!$Q$40)</f>
        <v>5.0000000000000001E-3</v>
      </c>
      <c r="G38" s="16">
        <f>IFERROR(VLOOKUP($E$38,FATORES!$O$43:$Q$44,3),0)</f>
        <v>0</v>
      </c>
      <c r="H38" s="17">
        <f t="shared" si="9"/>
        <v>0.59699999999999998</v>
      </c>
      <c r="I38" s="65">
        <f t="shared" si="8"/>
        <v>0</v>
      </c>
      <c r="J38" s="17">
        <f t="shared" si="10"/>
        <v>0.59699999999999998</v>
      </c>
      <c r="K38" s="76">
        <f>SUMIFS(REALIZADO[META_SVA],REALIZADO[COORDENAÇÃO],$P$7)</f>
        <v>5384.9997999999996</v>
      </c>
      <c r="L38" s="77">
        <f>SUMIFS(REALIZADO[AT_SVA],REALIZADO[COORDENAÇÃO],$P$7)</f>
        <v>461.54999999999995</v>
      </c>
      <c r="M38" s="51">
        <f t="shared" si="14"/>
        <v>8.5710309589983644E-2</v>
      </c>
      <c r="N38" s="16">
        <f>IF($M$38&gt;=FATORES!$O$45,FATORES!$Q$45,0)</f>
        <v>0</v>
      </c>
      <c r="O38" s="14">
        <f t="shared" si="12"/>
        <v>0</v>
      </c>
      <c r="P38" s="18">
        <f t="shared" si="13"/>
        <v>0.59699999999999998</v>
      </c>
      <c r="Q38" s="19">
        <f>IF($H$8=2,P38*0.05,0)</f>
        <v>0</v>
      </c>
      <c r="R38" s="19">
        <f>IF($H$8=3,P38*0.15,0)</f>
        <v>0</v>
      </c>
      <c r="S38" s="100"/>
      <c r="T38" s="126"/>
    </row>
    <row r="39" spans="2:20" x14ac:dyDescent="0.35">
      <c r="B39" s="66"/>
      <c r="C39" s="67"/>
      <c r="D39" s="67"/>
      <c r="E39" s="67"/>
      <c r="F39" s="67"/>
      <c r="G39" s="67"/>
      <c r="H39" s="67"/>
      <c r="I39" s="67"/>
      <c r="J39" s="68"/>
      <c r="K39" s="69"/>
      <c r="L39" s="67"/>
      <c r="M39" s="67"/>
      <c r="N39" s="67"/>
      <c r="O39" s="67"/>
      <c r="P39" s="70">
        <f>SUM(P30:P38)</f>
        <v>5.3851000000000013</v>
      </c>
      <c r="Q39" s="70">
        <f t="shared" ref="Q39:R39" si="15">SUM(Q30:Q38)</f>
        <v>0</v>
      </c>
      <c r="R39" s="70">
        <f t="shared" si="15"/>
        <v>0</v>
      </c>
      <c r="S39" s="71" t="str">
        <f>IF($P$7="ARIEL",IF(MIN(E30,E32,E33,E34,E35,E37,E38)&gt;=100%,SUM(P39:R39)*S30,""),IF(MIN(E30:E38)&gt;=100%,SUM(P39:R39)*S30,""))</f>
        <v/>
      </c>
      <c r="T39" s="72"/>
    </row>
    <row r="41" spans="2:20" ht="18.5" x14ac:dyDescent="0.35">
      <c r="B41" s="107" t="s">
        <v>239</v>
      </c>
      <c r="C41" s="108"/>
      <c r="D41" s="108"/>
      <c r="E41" s="108"/>
      <c r="F41" s="108"/>
      <c r="G41" s="108"/>
      <c r="H41" s="108"/>
      <c r="I41" s="108"/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T41" s="108"/>
    </row>
    <row r="42" spans="2:20" x14ac:dyDescent="0.35">
      <c r="B42" s="109" t="s">
        <v>9</v>
      </c>
      <c r="C42" s="110"/>
      <c r="D42" s="110"/>
      <c r="E42" s="110"/>
      <c r="F42" s="110"/>
      <c r="G42" s="110"/>
      <c r="H42" s="110"/>
      <c r="I42" s="110"/>
      <c r="J42" s="111"/>
      <c r="K42" s="112" t="s">
        <v>54</v>
      </c>
      <c r="L42" s="113"/>
      <c r="M42" s="113"/>
      <c r="N42" s="113"/>
      <c r="O42" s="113"/>
      <c r="P42" s="7"/>
      <c r="Q42" s="7"/>
      <c r="R42" s="7"/>
      <c r="S42" s="7"/>
      <c r="T42" s="64"/>
    </row>
    <row r="43" spans="2:20" x14ac:dyDescent="0.35">
      <c r="B43" s="114" t="s">
        <v>214</v>
      </c>
      <c r="C43" s="116" t="s">
        <v>237</v>
      </c>
      <c r="D43" s="117"/>
      <c r="E43" s="104"/>
      <c r="F43" s="118" t="s">
        <v>216</v>
      </c>
      <c r="G43" s="118" t="s">
        <v>217</v>
      </c>
      <c r="H43" s="118" t="s">
        <v>218</v>
      </c>
      <c r="I43" s="118" t="s">
        <v>219</v>
      </c>
      <c r="J43" s="118" t="s">
        <v>220</v>
      </c>
      <c r="K43" s="104" t="s">
        <v>238</v>
      </c>
      <c r="L43" s="105"/>
      <c r="M43" s="105"/>
      <c r="N43" s="106" t="s">
        <v>222</v>
      </c>
      <c r="O43" s="106" t="s">
        <v>223</v>
      </c>
      <c r="P43" s="106" t="s">
        <v>224</v>
      </c>
      <c r="Q43" s="106" t="s">
        <v>225</v>
      </c>
      <c r="R43" s="106" t="s">
        <v>226</v>
      </c>
      <c r="S43" s="106" t="s">
        <v>227</v>
      </c>
      <c r="T43" s="119" t="s">
        <v>228</v>
      </c>
    </row>
    <row r="44" spans="2:20" x14ac:dyDescent="0.35">
      <c r="B44" s="115"/>
      <c r="C44" s="94" t="s">
        <v>229</v>
      </c>
      <c r="D44" s="120" t="s">
        <v>230</v>
      </c>
      <c r="E44" s="120"/>
      <c r="F44" s="118"/>
      <c r="G44" s="118"/>
      <c r="H44" s="118"/>
      <c r="I44" s="118"/>
      <c r="J44" s="118"/>
      <c r="K44" s="52" t="s">
        <v>229</v>
      </c>
      <c r="L44" s="120" t="s">
        <v>230</v>
      </c>
      <c r="M44" s="120"/>
      <c r="N44" s="106"/>
      <c r="O44" s="106"/>
      <c r="P44" s="106"/>
      <c r="Q44" s="106"/>
      <c r="R44" s="106"/>
      <c r="S44" s="106"/>
      <c r="T44" s="119"/>
    </row>
    <row r="45" spans="2:20" x14ac:dyDescent="0.35">
      <c r="B45" s="45" t="s">
        <v>2</v>
      </c>
      <c r="C45" s="53">
        <f>SUMIFS(REALIZADO[META_MOVEL],REALIZADO[PDV],ANCHIETA!$M$7)</f>
        <v>6600</v>
      </c>
      <c r="D45" s="54">
        <v>7842.21</v>
      </c>
      <c r="E45" s="49">
        <f>IFERROR(D45/C45,0)</f>
        <v>1.1882136363636364</v>
      </c>
      <c r="F45" s="8">
        <f>VLOOKUP($E$45,FATORES!$I$32:$K$34,3)</f>
        <v>0.04</v>
      </c>
      <c r="G45" s="8">
        <f>IFERROR(VLOOKUP(E45,FATORES!$I$35:$K$36,3),0)</f>
        <v>0.08</v>
      </c>
      <c r="H45" s="9">
        <f>D45*F45</f>
        <v>313.6884</v>
      </c>
      <c r="I45" s="9">
        <f t="shared" ref="I45:I53" si="16">IF($P$7="ARIEL",
   IF(AND($E$45&gt;=69.5%, AND($E$47&gt;=69.5%, $E$48&gt;=69.5%, $E$48&gt;=69.5%, $E$50&gt;=69.5%, $E$50&gt;=69.5%, $E$52&gt;=69.5%, $E$53&gt;=69.5%)),
      D45*G45,
      0),
   IF(AND($E$45&gt;=69.5%, $E$46&gt;=69.5%, $E$47&gt;=69.5%, $E$48&gt;=69.5%, $E$48&gt;=69.5%, $E$50&gt;=69.5%, $E$50&gt;=69.5%, $E$52&gt;=69.5%, $E$53&gt;=69.5%),
      D45*G45,
      0)
)</f>
        <v>627.3768</v>
      </c>
      <c r="J45" s="9">
        <f>H45+I45</f>
        <v>941.0652</v>
      </c>
      <c r="K45" s="53">
        <f>SUMIFS(REALIZADO[META_MOVEL],REALIZADO[PDV],ANCHIETA!$M$7)</f>
        <v>6600</v>
      </c>
      <c r="L45" s="54">
        <v>7842.21</v>
      </c>
      <c r="M45" s="49">
        <f>IFERROR(L45/K45,0)</f>
        <v>1.1882136363636364</v>
      </c>
      <c r="N45" s="8">
        <f>IF($M$45&gt;=FATORES!$I$37,FATORES!$K$37,0)</f>
        <v>0.03</v>
      </c>
      <c r="O45" s="14">
        <f>IF(E45&gt;=100%,
IF($P$7="ARIEL",
   IF(AND($E$45&gt;=69.5%, AND($E$47&gt;=69.5%, $E$48&gt;=69.5%, $E$48&gt;=69.5%, $E$50&gt;=69.5%, $E$50&gt;=69.5%, $E$52&gt;=69.5%, $E$53&gt;=69.5%)),
      D45*N45,
      0),
   IF(AND($E$45&gt;=69.5%, $E$46&gt;=69.5%, $E$47&gt;=69.5%, $E$48&gt;=69.5%, $E$48&gt;=69.5%, $E$50&gt;=69.5%, $E$50&gt;=69.5%, $E$52&gt;=69.5%, $E$53&gt;=69.5%),
      D45*N45,
      0)
),0)</f>
        <v>235.2663</v>
      </c>
      <c r="P45" s="10">
        <f>J45+O45</f>
        <v>1176.3315</v>
      </c>
      <c r="Q45" s="11">
        <f>IF($B$8=2,P45*0.05,0)</f>
        <v>0</v>
      </c>
      <c r="R45" s="11">
        <f>IF($B$8=3,P45*0.15,0)</f>
        <v>0</v>
      </c>
      <c r="S45" s="98">
        <v>0.1</v>
      </c>
      <c r="T45" s="101">
        <f>SUM($P$54:$S$54)</f>
        <v>2057.7615850000002</v>
      </c>
    </row>
    <row r="46" spans="2:20" x14ac:dyDescent="0.35">
      <c r="B46" s="46" t="s">
        <v>13</v>
      </c>
      <c r="C46" s="55">
        <f>SUMIFS(REALIZADO[META_FIXA],REALIZADO[PDV],ANCHIETA!$M$7)</f>
        <v>0</v>
      </c>
      <c r="D46" s="56">
        <v>100</v>
      </c>
      <c r="E46" s="50">
        <f>IFERROR(D46/C46,0)</f>
        <v>0</v>
      </c>
      <c r="F46" s="12">
        <f>VLOOKUP($E$46,FATORES!$I$40:$K$42,3)</f>
        <v>5.0000000000000001E-3</v>
      </c>
      <c r="G46" s="12">
        <f>IFERROR(VLOOKUP(E46,FATORES!$I$43:$K$44,3),0)</f>
        <v>0</v>
      </c>
      <c r="H46" s="65">
        <f t="shared" ref="H46:H53" si="17">D46*F46</f>
        <v>0.5</v>
      </c>
      <c r="I46" s="65">
        <f t="shared" si="16"/>
        <v>0</v>
      </c>
      <c r="J46" s="65">
        <f t="shared" ref="J46:J53" si="18">H46+I46</f>
        <v>0.5</v>
      </c>
      <c r="K46" s="55">
        <f>SUMIFS(REALIZADO[META_FIXA],REALIZADO[PDV],ANCHIETA!$M$7)</f>
        <v>0</v>
      </c>
      <c r="L46" s="56">
        <v>100</v>
      </c>
      <c r="M46" s="50">
        <f t="shared" ref="M46:M53" si="19">IFERROR(L46/K46,0)</f>
        <v>0</v>
      </c>
      <c r="N46" s="12">
        <f>IF($M$46&gt;=FATORES!$I$45,FATORES!$K$45,0)</f>
        <v>0</v>
      </c>
      <c r="O46" s="14">
        <f t="shared" ref="O46:O53" si="20">IF(E46&gt;=100%,
IF($P$7="ARIEL",
   IF(AND($E$45&gt;=69.5%, AND($E$47&gt;=69.5%, $E$48&gt;=69.5%, $E$48&gt;=69.5%, $E$50&gt;=69.5%, $E$50&gt;=69.5%, $E$52&gt;=69.5%, $E$53&gt;=69.5%)),
      D46*N46,
      0),
   IF(AND($E$45&gt;=69.5%, $E$46&gt;=69.5%, $E$47&gt;=69.5%, $E$48&gt;=69.5%, $E$48&gt;=69.5%, $E$50&gt;=69.5%, $E$50&gt;=69.5%, $E$52&gt;=69.5%, $E$53&gt;=69.5%),
      D46*N46,
      0)
),0)</f>
        <v>0</v>
      </c>
      <c r="P46" s="13">
        <f t="shared" ref="P46:P53" si="21">J46+O46</f>
        <v>0.5</v>
      </c>
      <c r="Q46" s="15">
        <f>IF($C$8=2,P46*0.05,0)</f>
        <v>0</v>
      </c>
      <c r="R46" s="15">
        <f>IF($C$8=3,P46*0.15,0)</f>
        <v>0</v>
      </c>
      <c r="S46" s="99"/>
      <c r="T46" s="102"/>
    </row>
    <row r="47" spans="2:20" x14ac:dyDescent="0.35">
      <c r="B47" s="46" t="s">
        <v>231</v>
      </c>
      <c r="C47" s="55">
        <f>SUMIFS(REALIZADO[META_SMARTPHONE],REALIZADO[PDV],ANCHIETA!$M$7)</f>
        <v>116000.0001</v>
      </c>
      <c r="D47" s="56">
        <v>156456</v>
      </c>
      <c r="E47" s="50">
        <f>IFERROR(D47/C47,0)</f>
        <v>1.3487586195269321</v>
      </c>
      <c r="F47" s="12">
        <f>VLOOKUP($E$47,FATORES!$B$53:$D$54,3)</f>
        <v>5.0000000000000001E-4</v>
      </c>
      <c r="G47" s="12">
        <f>IFERROR(VLOOKUP(E47,FATORES!$B$55:$D$55,3),0)</f>
        <v>1E-3</v>
      </c>
      <c r="H47" s="65">
        <f t="shared" si="17"/>
        <v>78.228000000000009</v>
      </c>
      <c r="I47" s="65">
        <f t="shared" si="16"/>
        <v>156.45600000000002</v>
      </c>
      <c r="J47" s="65">
        <f t="shared" si="18"/>
        <v>234.68400000000003</v>
      </c>
      <c r="K47" s="55">
        <f>SUMIFS(REALIZADO[META_SMARTPHONE],REALIZADO[PDV],ANCHIETA!$M$7)</f>
        <v>116000.0001</v>
      </c>
      <c r="L47" s="56">
        <v>156456</v>
      </c>
      <c r="M47" s="50">
        <f t="shared" si="19"/>
        <v>1.3487586195269321</v>
      </c>
      <c r="N47" s="12">
        <f>IF($M$47&gt;=FATORES!$B$56,FATORES!$D$56,0)</f>
        <v>5.0000000000000001E-4</v>
      </c>
      <c r="O47" s="14">
        <f t="shared" si="20"/>
        <v>78.228000000000009</v>
      </c>
      <c r="P47" s="13">
        <f t="shared" si="21"/>
        <v>312.91200000000003</v>
      </c>
      <c r="Q47" s="15">
        <f>IF($D$8=2,P47*0.05,0)</f>
        <v>0</v>
      </c>
      <c r="R47" s="15">
        <f>IF($D$8=3,P47*0.15,0)</f>
        <v>0</v>
      </c>
      <c r="S47" s="99"/>
      <c r="T47" s="102"/>
    </row>
    <row r="48" spans="2:20" x14ac:dyDescent="0.35">
      <c r="B48" s="47" t="s">
        <v>232</v>
      </c>
      <c r="C48" s="96">
        <f>SUMIFS(REALIZADO[META_ACESSORIO],REALIZADO[PDV],ANCHIETA!$M$7)</f>
        <v>13950</v>
      </c>
      <c r="D48" s="56">
        <f>SUMIFS(REALIZADO[AT_ACESSORIOS_A],REALIZADO[PDV],ANCHIETA!$M$7)</f>
        <v>0</v>
      </c>
      <c r="E48" s="97">
        <f>IFERROR((D48+D49)/C48,0)</f>
        <v>1.2959139784946236</v>
      </c>
      <c r="F48" s="12">
        <f>VLOOKUP($E$48,FATORES!$B$44:$E$46,3)</f>
        <v>1.5E-3</v>
      </c>
      <c r="G48" s="12">
        <f>IFERROR(VLOOKUP(E48,FATORES!$B$47:$E$48,3),0)</f>
        <v>6.0000000000000001E-3</v>
      </c>
      <c r="H48" s="65">
        <f t="shared" si="17"/>
        <v>0</v>
      </c>
      <c r="I48" s="65">
        <f t="shared" si="16"/>
        <v>0</v>
      </c>
      <c r="J48" s="65">
        <f t="shared" si="18"/>
        <v>0</v>
      </c>
      <c r="K48" s="96">
        <f>SUMIFS(REALIZADO[META_ACESSORIO],REALIZADO[PDV],ANCHIETA!$M$7)</f>
        <v>13950</v>
      </c>
      <c r="L48" s="56">
        <f>SUMIFS(REALIZADO[AT_ACESSORIOS_A],REALIZADO[PDV],ANCHIETA!$M$7)</f>
        <v>0</v>
      </c>
      <c r="M48" s="97">
        <f>IFERROR((L48+L49)/K48,0)</f>
        <v>1.2959139784946236</v>
      </c>
      <c r="N48" s="12">
        <f>IF($M$48&gt;=FATORES!$B$49,FATORES!$D$49,0)</f>
        <v>2.5000000000000001E-3</v>
      </c>
      <c r="O48" s="14">
        <f t="shared" si="20"/>
        <v>0</v>
      </c>
      <c r="P48" s="13">
        <f t="shared" si="21"/>
        <v>0</v>
      </c>
      <c r="Q48" s="15">
        <f>IF($E$8=2,P48*0.05,0)</f>
        <v>0</v>
      </c>
      <c r="R48" s="15">
        <f>IF($E$8=3,P48*0.15,0)</f>
        <v>0</v>
      </c>
      <c r="S48" s="99"/>
      <c r="T48" s="102"/>
    </row>
    <row r="49" spans="2:20" x14ac:dyDescent="0.35">
      <c r="B49" s="47" t="s">
        <v>233</v>
      </c>
      <c r="C49" s="96"/>
      <c r="D49" s="56">
        <v>18078</v>
      </c>
      <c r="E49" s="97"/>
      <c r="F49" s="12">
        <f>VLOOKUP($E$48,FATORES!$B$44:$E$46,4)</f>
        <v>7.5000000000000002E-4</v>
      </c>
      <c r="G49" s="12">
        <f>IFERROR(VLOOKUP(E48,FATORES!$B$47:$E$48,4),0)</f>
        <v>3.0000000000000001E-3</v>
      </c>
      <c r="H49" s="65">
        <f t="shared" si="17"/>
        <v>13.5585</v>
      </c>
      <c r="I49" s="65">
        <f t="shared" si="16"/>
        <v>54.234000000000002</v>
      </c>
      <c r="J49" s="65">
        <f t="shared" si="18"/>
        <v>67.792500000000004</v>
      </c>
      <c r="K49" s="96"/>
      <c r="L49" s="56">
        <v>18078</v>
      </c>
      <c r="M49" s="97"/>
      <c r="N49" s="12">
        <f>IF($M$48&gt;=FATORES!$B$49,FATORES!$E$49,0)</f>
        <v>1.25E-3</v>
      </c>
      <c r="O49" s="14">
        <f t="shared" si="20"/>
        <v>0</v>
      </c>
      <c r="P49" s="13">
        <f t="shared" si="21"/>
        <v>67.792500000000004</v>
      </c>
      <c r="Q49" s="15">
        <f>IF($E$8=2,P49*0.05,0)</f>
        <v>0</v>
      </c>
      <c r="R49" s="15">
        <f>IF($E$8=3,P49*0.15,0)</f>
        <v>0</v>
      </c>
      <c r="S49" s="99"/>
      <c r="T49" s="102"/>
    </row>
    <row r="50" spans="2:20" x14ac:dyDescent="0.35">
      <c r="B50" s="46" t="s">
        <v>234</v>
      </c>
      <c r="C50" s="96">
        <f>SUMIFS(REALIZADO[META_ESSENCIAIS],REALIZADO[PDV],ANCHIETA!$M$7)</f>
        <v>6849.9998999999989</v>
      </c>
      <c r="D50" s="56">
        <v>3293</v>
      </c>
      <c r="E50" s="97">
        <f>IFERROR((D50+D51)/C50,0)</f>
        <v>1.0788321325376955</v>
      </c>
      <c r="F50" s="12">
        <f>VLOOKUP($E$50,FATORES!$B$34:$E$36,3)</f>
        <v>1.5E-3</v>
      </c>
      <c r="G50" s="12">
        <f>IFERROR(VLOOKUP(E50,FATORES!$B$37:$E$38,3),0)</f>
        <v>6.0000000000000001E-3</v>
      </c>
      <c r="H50" s="65">
        <f t="shared" si="17"/>
        <v>4.9394999999999998</v>
      </c>
      <c r="I50" s="65">
        <f t="shared" si="16"/>
        <v>19.757999999999999</v>
      </c>
      <c r="J50" s="65">
        <f t="shared" si="18"/>
        <v>24.697499999999998</v>
      </c>
      <c r="K50" s="96">
        <f>SUMIFS(REALIZADO[META_ESSENCIAIS],REALIZADO[PDV],ANCHIETA!$M$7)</f>
        <v>6849.9998999999989</v>
      </c>
      <c r="L50" s="56">
        <v>3293</v>
      </c>
      <c r="M50" s="97">
        <f>IFERROR((L50+L51)/K50,0)</f>
        <v>1.0788321325376955</v>
      </c>
      <c r="N50" s="12">
        <f>IF($M$50&gt;=FATORES!$B$39,FATORES!$D$39,0)</f>
        <v>8.0000000000000002E-3</v>
      </c>
      <c r="O50" s="14">
        <f t="shared" si="20"/>
        <v>26.344000000000001</v>
      </c>
      <c r="P50" s="13">
        <f t="shared" si="21"/>
        <v>51.041499999999999</v>
      </c>
      <c r="Q50" s="15">
        <f>IF($F$8=2,P50*0.05,0)</f>
        <v>0</v>
      </c>
      <c r="R50" s="15">
        <f>IF($F$8=3,P50*0.15,0)</f>
        <v>0</v>
      </c>
      <c r="S50" s="99"/>
      <c r="T50" s="102"/>
    </row>
    <row r="51" spans="2:20" x14ac:dyDescent="0.35">
      <c r="B51" s="46" t="s">
        <v>235</v>
      </c>
      <c r="C51" s="96"/>
      <c r="D51" s="56">
        <v>4097</v>
      </c>
      <c r="E51" s="97"/>
      <c r="F51" s="12">
        <f>VLOOKUP($E$50,FATORES!$B$34:$E$36,4)</f>
        <v>7.5000000000000002E-4</v>
      </c>
      <c r="G51" s="12">
        <f>IFERROR(VLOOKUP(E50,FATORES!$B$37:$E$38,4),0)</f>
        <v>3.0000000000000001E-3</v>
      </c>
      <c r="H51" s="65">
        <f t="shared" si="17"/>
        <v>3.0727500000000001</v>
      </c>
      <c r="I51" s="65">
        <f t="shared" si="16"/>
        <v>12.291</v>
      </c>
      <c r="J51" s="65">
        <f t="shared" si="18"/>
        <v>15.36375</v>
      </c>
      <c r="K51" s="96"/>
      <c r="L51" s="56">
        <v>4097</v>
      </c>
      <c r="M51" s="97"/>
      <c r="N51" s="12">
        <f>IF($M$50&gt;=FATORES!$B$39,FATORES!$E$39,0)</f>
        <v>4.0000000000000001E-3</v>
      </c>
      <c r="O51" s="14">
        <f t="shared" si="20"/>
        <v>0</v>
      </c>
      <c r="P51" s="13">
        <f t="shared" si="21"/>
        <v>15.36375</v>
      </c>
      <c r="Q51" s="15">
        <f>IF($F$8=2,P51*0.05,0)</f>
        <v>0</v>
      </c>
      <c r="R51" s="15">
        <f>IF($F$8=3,P51*0.15,0)</f>
        <v>0</v>
      </c>
      <c r="S51" s="99"/>
      <c r="T51" s="102"/>
    </row>
    <row r="52" spans="2:20" x14ac:dyDescent="0.35">
      <c r="B52" s="46" t="s">
        <v>212</v>
      </c>
      <c r="C52" s="55">
        <f>SUMIFS(REALIZADO[META_SEGUROS],REALIZADO[PDV],ANCHIETA!$M$7)</f>
        <v>825</v>
      </c>
      <c r="D52" s="56">
        <v>1034.3</v>
      </c>
      <c r="E52" s="50">
        <f>IFERROR(D52/C52,0)</f>
        <v>1.2536969696969695</v>
      </c>
      <c r="F52" s="83">
        <f>VLOOKUP($E$52,FATORES!$O$32:$Q$34,3)</f>
        <v>0.04</v>
      </c>
      <c r="G52" s="12">
        <f>IFERROR(VLOOKUP(E52,FATORES!$O$35:$Q$36,3),0)</f>
        <v>0.15</v>
      </c>
      <c r="H52" s="65">
        <f t="shared" si="17"/>
        <v>41.372</v>
      </c>
      <c r="I52" s="65">
        <f t="shared" si="16"/>
        <v>155.14499999999998</v>
      </c>
      <c r="J52" s="65">
        <f t="shared" si="18"/>
        <v>196.517</v>
      </c>
      <c r="K52" s="55">
        <f>SUMIFS(REALIZADO[META_SEGUROS],REALIZADO[PDV],ANCHIETA!$M$7)</f>
        <v>825</v>
      </c>
      <c r="L52" s="56">
        <v>1034.3</v>
      </c>
      <c r="M52" s="50">
        <f t="shared" si="19"/>
        <v>1.2536969696969695</v>
      </c>
      <c r="N52" s="12">
        <f>IF($M$52&gt;=FATORES!$O$37,FATORES!$Q$37,0)</f>
        <v>0.03</v>
      </c>
      <c r="O52" s="14">
        <f t="shared" si="20"/>
        <v>31.028999999999996</v>
      </c>
      <c r="P52" s="13">
        <f t="shared" si="21"/>
        <v>227.54599999999999</v>
      </c>
      <c r="Q52" s="15">
        <f>IF($G$8=2,P52*0.05,0)</f>
        <v>0</v>
      </c>
      <c r="R52" s="15">
        <f>IF($G$8=3,P52*0.15,0)</f>
        <v>0</v>
      </c>
      <c r="S52" s="99"/>
      <c r="T52" s="102"/>
    </row>
    <row r="53" spans="2:20" x14ac:dyDescent="0.35">
      <c r="B53" s="48" t="s">
        <v>14</v>
      </c>
      <c r="C53" s="57">
        <f>SUMIFS(REALIZADO[META_SVA],REALIZADO[PDV],ANCHIETA!$M$7)</f>
        <v>849.99990000000003</v>
      </c>
      <c r="D53" s="58">
        <v>1280.3399999999999</v>
      </c>
      <c r="E53" s="51">
        <f>IFERROR(D53/C53,0)</f>
        <v>1.5062825301508858</v>
      </c>
      <c r="F53" s="16">
        <f>IF($E$53&gt;=0,FATORES!$Q$40)</f>
        <v>5.0000000000000001E-3</v>
      </c>
      <c r="G53" s="16">
        <f>IFERROR(VLOOKUP(E53,FATORES!$O$43:$Q$44,3),0)</f>
        <v>5.0000000000000001E-3</v>
      </c>
      <c r="H53" s="17">
        <f t="shared" si="17"/>
        <v>6.4016999999999999</v>
      </c>
      <c r="I53" s="65">
        <f t="shared" si="16"/>
        <v>6.4016999999999999</v>
      </c>
      <c r="J53" s="17">
        <f t="shared" si="18"/>
        <v>12.8034</v>
      </c>
      <c r="K53" s="57">
        <f>SUMIFS(REALIZADO[META_SVA],REALIZADO[PDV],ANCHIETA!$M$7)</f>
        <v>849.99990000000003</v>
      </c>
      <c r="L53" s="58">
        <v>1280.3399999999999</v>
      </c>
      <c r="M53" s="51">
        <f t="shared" si="19"/>
        <v>1.5062825301508858</v>
      </c>
      <c r="N53" s="16">
        <f>IF($M$53&gt;=FATORES!$O$45,FATORES!$Q$45,0)</f>
        <v>5.0000000000000001E-3</v>
      </c>
      <c r="O53" s="14">
        <f t="shared" si="20"/>
        <v>6.4016999999999999</v>
      </c>
      <c r="P53" s="18">
        <f t="shared" si="21"/>
        <v>19.205100000000002</v>
      </c>
      <c r="Q53" s="19">
        <f>IF($H$8=2,P53*0.05,0)</f>
        <v>0</v>
      </c>
      <c r="R53" s="19">
        <f>IF($H$8=3,P53*0.15,0)</f>
        <v>0</v>
      </c>
      <c r="S53" s="100"/>
      <c r="T53" s="103"/>
    </row>
    <row r="54" spans="2:20" x14ac:dyDescent="0.35">
      <c r="B54" s="66"/>
      <c r="C54" s="67"/>
      <c r="D54" s="67"/>
      <c r="E54" s="67"/>
      <c r="F54" s="67"/>
      <c r="G54" s="67"/>
      <c r="H54" s="67"/>
      <c r="I54" s="67"/>
      <c r="J54" s="68"/>
      <c r="K54" s="69"/>
      <c r="L54" s="67"/>
      <c r="M54" s="67"/>
      <c r="N54" s="67"/>
      <c r="O54" s="67"/>
      <c r="P54" s="70">
        <f>SUM(P45:P53)</f>
        <v>1870.69235</v>
      </c>
      <c r="Q54" s="70">
        <f t="shared" ref="Q54:R54" si="22">SUM(Q45:Q53)</f>
        <v>0</v>
      </c>
      <c r="R54" s="70">
        <f t="shared" si="22"/>
        <v>0</v>
      </c>
      <c r="S54" s="71">
        <f>IF($P$7="ARIEL",IF(MIN(E45,E47,E48,E49,E50,E52,E53)&gt;=99.99%,SUM(P54:R54)*S45,""),IF(MIN(E45:E53)&gt;=99.99%,SUM(P54:R54)*S45,""))</f>
        <v>187.06923500000002</v>
      </c>
      <c r="T54" s="72"/>
    </row>
  </sheetData>
  <sheetProtection algorithmName="SHA-512" hashValue="emU39qIWPBe7ueR83XW/Kk/1tIM6gle1l4C1rjNJ01amR+5C6tcrPpAEY+nfbpcOgGR5LmdVzhY6XznT6jsBug==" saltValue="X5TCtZC7K9hiByTQ6iiz8Q==" spinCount="100000" sheet="1" objects="1" scenarios="1"/>
  <protectedRanges>
    <protectedRange sqref="B6:H8 C45:D53 K45:L53 B57:B58" name="Intervalo1"/>
  </protectedRanges>
  <mergeCells count="94">
    <mergeCell ref="B41:T41"/>
    <mergeCell ref="B11:T11"/>
    <mergeCell ref="M6:N6"/>
    <mergeCell ref="M7:N7"/>
    <mergeCell ref="S30:S38"/>
    <mergeCell ref="T30:T38"/>
    <mergeCell ref="E33:E34"/>
    <mergeCell ref="M33:M34"/>
    <mergeCell ref="E35:E36"/>
    <mergeCell ref="M35:M36"/>
    <mergeCell ref="P28:P29"/>
    <mergeCell ref="Q28:Q29"/>
    <mergeCell ref="R28:R29"/>
    <mergeCell ref="S28:S29"/>
    <mergeCell ref="T28:T29"/>
    <mergeCell ref="B27:J27"/>
    <mergeCell ref="B28:B29"/>
    <mergeCell ref="C28:E28"/>
    <mergeCell ref="F28:F29"/>
    <mergeCell ref="G28:G29"/>
    <mergeCell ref="H28:H29"/>
    <mergeCell ref="D29:E29"/>
    <mergeCell ref="I28:I29"/>
    <mergeCell ref="J28:J29"/>
    <mergeCell ref="K28:M28"/>
    <mergeCell ref="N28:N29"/>
    <mergeCell ref="O28:O29"/>
    <mergeCell ref="L29:M29"/>
    <mergeCell ref="K12:T12"/>
    <mergeCell ref="P13:P14"/>
    <mergeCell ref="Q13:Q14"/>
    <mergeCell ref="R13:R14"/>
    <mergeCell ref="S13:S14"/>
    <mergeCell ref="T13:T14"/>
    <mergeCell ref="I13:I14"/>
    <mergeCell ref="J13:J14"/>
    <mergeCell ref="K13:M13"/>
    <mergeCell ref="N13:N14"/>
    <mergeCell ref="O13:O14"/>
    <mergeCell ref="L14:M14"/>
    <mergeCell ref="B13:B14"/>
    <mergeCell ref="C13:E13"/>
    <mergeCell ref="F13:F14"/>
    <mergeCell ref="G13:G14"/>
    <mergeCell ref="H13:H14"/>
    <mergeCell ref="D14:E14"/>
    <mergeCell ref="B6:H6"/>
    <mergeCell ref="B2:T4"/>
    <mergeCell ref="C48:C49"/>
    <mergeCell ref="E48:E49"/>
    <mergeCell ref="K48:K49"/>
    <mergeCell ref="M48:M49"/>
    <mergeCell ref="S43:S44"/>
    <mergeCell ref="T43:T44"/>
    <mergeCell ref="S45:S53"/>
    <mergeCell ref="T45:T53"/>
    <mergeCell ref="B43:B44"/>
    <mergeCell ref="H43:H44"/>
    <mergeCell ref="I43:I44"/>
    <mergeCell ref="B42:J42"/>
    <mergeCell ref="K42:O42"/>
    <mergeCell ref="B12:J12"/>
    <mergeCell ref="C50:C51"/>
    <mergeCell ref="E50:E51"/>
    <mergeCell ref="K50:K51"/>
    <mergeCell ref="M50:M51"/>
    <mergeCell ref="R43:R44"/>
    <mergeCell ref="D44:E44"/>
    <mergeCell ref="L44:M44"/>
    <mergeCell ref="J43:J44"/>
    <mergeCell ref="K43:M43"/>
    <mergeCell ref="N43:N44"/>
    <mergeCell ref="O43:O44"/>
    <mergeCell ref="P43:P44"/>
    <mergeCell ref="Q43:Q44"/>
    <mergeCell ref="C43:E43"/>
    <mergeCell ref="F43:F44"/>
    <mergeCell ref="G43:G44"/>
    <mergeCell ref="C18:C19"/>
    <mergeCell ref="C20:C21"/>
    <mergeCell ref="C35:C36"/>
    <mergeCell ref="C33:C34"/>
    <mergeCell ref="K35:K36"/>
    <mergeCell ref="K33:K34"/>
    <mergeCell ref="K20:K21"/>
    <mergeCell ref="K18:K19"/>
    <mergeCell ref="B26:T26"/>
    <mergeCell ref="K27:T27"/>
    <mergeCell ref="S15:S23"/>
    <mergeCell ref="T15:T23"/>
    <mergeCell ref="E18:E19"/>
    <mergeCell ref="M18:M19"/>
    <mergeCell ref="E20:E21"/>
    <mergeCell ref="M20:M21"/>
  </mergeCells>
  <conditionalFormatting sqref="E15:E18 E20 E22:E23">
    <cfRule type="cellIs" dxfId="774" priority="22" operator="between">
      <formula>0.7</formula>
      <formula>1</formula>
    </cfRule>
    <cfRule type="cellIs" dxfId="773" priority="23" operator="greaterThanOrEqual">
      <formula>1</formula>
    </cfRule>
    <cfRule type="cellIs" dxfId="772" priority="24" operator="lessThan">
      <formula>0.7</formula>
    </cfRule>
  </conditionalFormatting>
  <conditionalFormatting sqref="E30:E33 E35 E37:E38">
    <cfRule type="cellIs" dxfId="771" priority="10" operator="between">
      <formula>0.7</formula>
      <formula>1</formula>
    </cfRule>
    <cfRule type="cellIs" dxfId="770" priority="11" operator="greaterThanOrEqual">
      <formula>1</formula>
    </cfRule>
    <cfRule type="cellIs" dxfId="769" priority="12" operator="lessThan">
      <formula>0.7</formula>
    </cfRule>
  </conditionalFormatting>
  <conditionalFormatting sqref="E45:E48 E50 E52:E53">
    <cfRule type="cellIs" dxfId="768" priority="46" operator="between">
      <formula>0.7</formula>
      <formula>1</formula>
    </cfRule>
    <cfRule type="cellIs" dxfId="767" priority="47" operator="greaterThanOrEqual">
      <formula>1</formula>
    </cfRule>
    <cfRule type="cellIs" dxfId="766" priority="48" operator="lessThan">
      <formula>0.7</formula>
    </cfRule>
  </conditionalFormatting>
  <conditionalFormatting sqref="M15:M18">
    <cfRule type="cellIs" dxfId="765" priority="16" operator="between">
      <formula>0.7</formula>
      <formula>1</formula>
    </cfRule>
    <cfRule type="cellIs" dxfId="764" priority="17" operator="greaterThanOrEqual">
      <formula>1</formula>
    </cfRule>
    <cfRule type="cellIs" dxfId="763" priority="18" operator="lessThan">
      <formula>0.7</formula>
    </cfRule>
  </conditionalFormatting>
  <conditionalFormatting sqref="M20">
    <cfRule type="cellIs" dxfId="762" priority="13" operator="between">
      <formula>0.7</formula>
      <formula>1</formula>
    </cfRule>
    <cfRule type="cellIs" dxfId="761" priority="14" operator="greaterThanOrEqual">
      <formula>1</formula>
    </cfRule>
    <cfRule type="cellIs" dxfId="760" priority="15" operator="lessThan">
      <formula>0.7</formula>
    </cfRule>
  </conditionalFormatting>
  <conditionalFormatting sqref="M22:M23">
    <cfRule type="cellIs" dxfId="759" priority="19" operator="between">
      <formula>0.7</formula>
      <formula>1</formula>
    </cfRule>
    <cfRule type="cellIs" dxfId="758" priority="20" operator="greaterThanOrEqual">
      <formula>1</formula>
    </cfRule>
    <cfRule type="cellIs" dxfId="757" priority="21" operator="lessThan">
      <formula>0.7</formula>
    </cfRule>
  </conditionalFormatting>
  <conditionalFormatting sqref="M30:M33">
    <cfRule type="cellIs" dxfId="756" priority="4" operator="between">
      <formula>0.7</formula>
      <formula>1</formula>
    </cfRule>
    <cfRule type="cellIs" dxfId="755" priority="5" operator="greaterThanOrEqual">
      <formula>1</formula>
    </cfRule>
    <cfRule type="cellIs" dxfId="754" priority="6" operator="lessThan">
      <formula>0.7</formula>
    </cfRule>
  </conditionalFormatting>
  <conditionalFormatting sqref="M35">
    <cfRule type="cellIs" dxfId="753" priority="1" operator="between">
      <formula>0.7</formula>
      <formula>1</formula>
    </cfRule>
    <cfRule type="cellIs" dxfId="752" priority="2" operator="greaterThanOrEqual">
      <formula>1</formula>
    </cfRule>
    <cfRule type="cellIs" dxfId="751" priority="3" operator="lessThan">
      <formula>0.7</formula>
    </cfRule>
  </conditionalFormatting>
  <conditionalFormatting sqref="M37:M38">
    <cfRule type="cellIs" dxfId="750" priority="7" operator="between">
      <formula>0.7</formula>
      <formula>1</formula>
    </cfRule>
    <cfRule type="cellIs" dxfId="749" priority="8" operator="greaterThanOrEqual">
      <formula>1</formula>
    </cfRule>
    <cfRule type="cellIs" dxfId="748" priority="9" operator="lessThan">
      <formula>0.7</formula>
    </cfRule>
  </conditionalFormatting>
  <conditionalFormatting sqref="M45:M48">
    <cfRule type="cellIs" dxfId="747" priority="40" operator="between">
      <formula>0.7</formula>
      <formula>1</formula>
    </cfRule>
    <cfRule type="cellIs" dxfId="746" priority="41" operator="greaterThanOrEqual">
      <formula>1</formula>
    </cfRule>
    <cfRule type="cellIs" dxfId="745" priority="42" operator="lessThan">
      <formula>0.7</formula>
    </cfRule>
  </conditionalFormatting>
  <conditionalFormatting sqref="M50">
    <cfRule type="cellIs" dxfId="744" priority="37" operator="between">
      <formula>0.7</formula>
      <formula>1</formula>
    </cfRule>
    <cfRule type="cellIs" dxfId="743" priority="38" operator="greaterThanOrEqual">
      <formula>1</formula>
    </cfRule>
    <cfRule type="cellIs" dxfId="742" priority="39" operator="lessThan">
      <formula>0.7</formula>
    </cfRule>
  </conditionalFormatting>
  <conditionalFormatting sqref="M52:M53">
    <cfRule type="cellIs" dxfId="741" priority="43" operator="between">
      <formula>0.7</formula>
      <formula>1</formula>
    </cfRule>
    <cfRule type="cellIs" dxfId="740" priority="44" operator="greaterThanOrEqual">
      <formula>1</formula>
    </cfRule>
    <cfRule type="cellIs" dxfId="739" priority="45" operator="lessThan">
      <formula>0.7</formula>
    </cfRule>
  </conditionalFormatting>
  <dataValidations count="1">
    <dataValidation type="list" allowBlank="1" showInputMessage="1" showErrorMessage="1" sqref="B8:H8 B58" xr:uid="{D24EFDD9-AA18-452D-BBD0-619B22EDE547}">
      <formula1>$V$6:$X$6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59ED1-5BED-4FFF-BCA0-47CD4C2340A0}">
  <dimension ref="B1:X54"/>
  <sheetViews>
    <sheetView showGridLines="0" zoomScale="70" zoomScaleNormal="70" workbookViewId="0">
      <selection activeCell="C45" sqref="C45"/>
    </sheetView>
  </sheetViews>
  <sheetFormatPr defaultRowHeight="14.5" x14ac:dyDescent="0.35"/>
  <cols>
    <col min="1" max="1" width="2.1796875" customWidth="1"/>
    <col min="2" max="2" width="16.453125" customWidth="1"/>
    <col min="3" max="3" width="13.7265625" bestFit="1" customWidth="1"/>
    <col min="4" max="4" width="14.54296875" customWidth="1"/>
    <col min="5" max="5" width="13.453125" bestFit="1" customWidth="1"/>
    <col min="6" max="6" width="14" customWidth="1"/>
    <col min="7" max="7" width="18.7265625" customWidth="1"/>
    <col min="8" max="8" width="15" customWidth="1"/>
    <col min="9" max="9" width="20" customWidth="1"/>
    <col min="10" max="10" width="21.1796875" customWidth="1"/>
    <col min="11" max="12" width="16.453125" customWidth="1"/>
    <col min="13" max="13" width="9.7265625" customWidth="1"/>
    <col min="14" max="14" width="20.54296875" customWidth="1"/>
    <col min="15" max="15" width="21" customWidth="1"/>
    <col min="16" max="16" width="15.26953125" customWidth="1"/>
    <col min="17" max="17" width="13" bestFit="1" customWidth="1"/>
    <col min="18" max="18" width="10.453125" bestFit="1" customWidth="1"/>
    <col min="19" max="19" width="12.7265625" bestFit="1" customWidth="1"/>
    <col min="20" max="20" width="14.453125" customWidth="1"/>
  </cols>
  <sheetData>
    <row r="1" spans="2:24" x14ac:dyDescent="0.35">
      <c r="B1" s="59"/>
    </row>
    <row r="2" spans="2:24" x14ac:dyDescent="0.35">
      <c r="B2" s="143" t="s">
        <v>207</v>
      </c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5"/>
    </row>
    <row r="3" spans="2:24" x14ac:dyDescent="0.35">
      <c r="B3" s="146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8"/>
    </row>
    <row r="4" spans="2:24" x14ac:dyDescent="0.35">
      <c r="B4" s="149"/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1"/>
    </row>
    <row r="5" spans="2:24" x14ac:dyDescent="0.35">
      <c r="B5" s="60"/>
      <c r="T5" s="61"/>
    </row>
    <row r="6" spans="2:24" ht="14.5" customHeight="1" x14ac:dyDescent="0.35">
      <c r="B6" s="152" t="s">
        <v>208</v>
      </c>
      <c r="C6" s="153"/>
      <c r="D6" s="153"/>
      <c r="E6" s="153"/>
      <c r="F6" s="153"/>
      <c r="G6" s="153"/>
      <c r="H6" s="154"/>
      <c r="M6" s="155" t="s">
        <v>54</v>
      </c>
      <c r="N6" s="156"/>
      <c r="P6" s="74" t="s">
        <v>23</v>
      </c>
      <c r="T6" s="61"/>
      <c r="V6" s="1">
        <v>0</v>
      </c>
      <c r="W6" s="1">
        <v>2</v>
      </c>
      <c r="X6" s="1">
        <v>3</v>
      </c>
    </row>
    <row r="7" spans="2:24" ht="14.5" customHeight="1" x14ac:dyDescent="0.35">
      <c r="B7" s="62" t="s">
        <v>209</v>
      </c>
      <c r="C7" s="2" t="s">
        <v>13</v>
      </c>
      <c r="D7" s="2" t="s">
        <v>210</v>
      </c>
      <c r="E7" s="2" t="s">
        <v>16</v>
      </c>
      <c r="F7" s="2" t="s">
        <v>211</v>
      </c>
      <c r="G7" s="2" t="s">
        <v>212</v>
      </c>
      <c r="H7" s="3" t="s">
        <v>14</v>
      </c>
      <c r="M7" s="157" t="s">
        <v>29</v>
      </c>
      <c r="N7" s="158"/>
      <c r="P7" s="75" t="s">
        <v>28</v>
      </c>
      <c r="T7" s="61"/>
    </row>
    <row r="8" spans="2:24" ht="14.5" customHeight="1" x14ac:dyDescent="0.35">
      <c r="B8" s="63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5">
        <v>0</v>
      </c>
      <c r="T8" s="61"/>
    </row>
    <row r="9" spans="2:24" x14ac:dyDescent="0.35">
      <c r="B9" s="84"/>
      <c r="C9" s="85"/>
      <c r="D9" s="85"/>
      <c r="E9" s="85"/>
      <c r="F9" s="85"/>
      <c r="G9" s="85"/>
      <c r="H9" s="85"/>
    </row>
    <row r="10" spans="2:24" x14ac:dyDescent="0.35">
      <c r="B10" s="84"/>
      <c r="C10" s="85"/>
      <c r="D10" s="85"/>
      <c r="E10" s="85"/>
      <c r="F10" s="85"/>
      <c r="G10" s="85"/>
      <c r="H10" s="85"/>
    </row>
    <row r="11" spans="2:24" ht="18.5" x14ac:dyDescent="0.35">
      <c r="B11" s="159" t="s">
        <v>213</v>
      </c>
      <c r="C11" s="160"/>
      <c r="D11" s="160"/>
      <c r="E11" s="160"/>
      <c r="F11" s="160"/>
      <c r="G11" s="160"/>
      <c r="H11" s="160"/>
      <c r="I11" s="160"/>
      <c r="J11" s="160"/>
      <c r="K11" s="160"/>
      <c r="L11" s="160"/>
      <c r="M11" s="160"/>
      <c r="N11" s="160"/>
      <c r="O11" s="160"/>
      <c r="P11" s="160"/>
      <c r="Q11" s="160"/>
      <c r="R11" s="160"/>
      <c r="S11" s="160"/>
      <c r="T11" s="160"/>
    </row>
    <row r="12" spans="2:24" x14ac:dyDescent="0.35">
      <c r="B12" s="129" t="s">
        <v>9</v>
      </c>
      <c r="C12" s="130"/>
      <c r="D12" s="130"/>
      <c r="E12" s="130"/>
      <c r="F12" s="130"/>
      <c r="G12" s="130"/>
      <c r="H12" s="130"/>
      <c r="I12" s="130"/>
      <c r="J12" s="131"/>
      <c r="K12" s="132" t="s">
        <v>54</v>
      </c>
      <c r="L12" s="130"/>
      <c r="M12" s="130"/>
      <c r="N12" s="130"/>
      <c r="O12" s="130"/>
      <c r="P12" s="130"/>
      <c r="Q12" s="130"/>
      <c r="R12" s="130"/>
      <c r="S12" s="130"/>
      <c r="T12" s="133"/>
    </row>
    <row r="13" spans="2:24" ht="14.5" customHeight="1" x14ac:dyDescent="0.35">
      <c r="B13" s="115" t="s">
        <v>214</v>
      </c>
      <c r="C13" s="116" t="s">
        <v>215</v>
      </c>
      <c r="D13" s="117"/>
      <c r="E13" s="104"/>
      <c r="F13" s="135" t="s">
        <v>216</v>
      </c>
      <c r="G13" s="135" t="s">
        <v>217</v>
      </c>
      <c r="H13" s="135" t="s">
        <v>218</v>
      </c>
      <c r="I13" s="135" t="s">
        <v>219</v>
      </c>
      <c r="J13" s="135" t="s">
        <v>220</v>
      </c>
      <c r="K13" s="116" t="s">
        <v>221</v>
      </c>
      <c r="L13" s="117"/>
      <c r="M13" s="104"/>
      <c r="N13" s="127" t="s">
        <v>222</v>
      </c>
      <c r="O13" s="127" t="s">
        <v>223</v>
      </c>
      <c r="P13" s="127" t="s">
        <v>224</v>
      </c>
      <c r="Q13" s="127" t="s">
        <v>225</v>
      </c>
      <c r="R13" s="127" t="s">
        <v>226</v>
      </c>
      <c r="S13" s="127" t="s">
        <v>227</v>
      </c>
      <c r="T13" s="137" t="s">
        <v>228</v>
      </c>
    </row>
    <row r="14" spans="2:24" x14ac:dyDescent="0.35">
      <c r="B14" s="134"/>
      <c r="C14" s="94" t="s">
        <v>229</v>
      </c>
      <c r="D14" s="139" t="s">
        <v>230</v>
      </c>
      <c r="E14" s="140"/>
      <c r="F14" s="136"/>
      <c r="G14" s="136"/>
      <c r="H14" s="136"/>
      <c r="I14" s="136"/>
      <c r="J14" s="136"/>
      <c r="K14" s="52" t="s">
        <v>229</v>
      </c>
      <c r="L14" s="139" t="s">
        <v>230</v>
      </c>
      <c r="M14" s="140"/>
      <c r="N14" s="128"/>
      <c r="O14" s="128"/>
      <c r="P14" s="128"/>
      <c r="Q14" s="128"/>
      <c r="R14" s="128"/>
      <c r="S14" s="128"/>
      <c r="T14" s="138"/>
    </row>
    <row r="15" spans="2:24" x14ac:dyDescent="0.35">
      <c r="B15" s="45" t="s">
        <v>2</v>
      </c>
      <c r="C15" s="76">
        <f>SUMIFS(REALIZADO[META_MOVEL],REALIZADO[PDV],'BOM JESUS'!$M$7)</f>
        <v>12999.999900000001</v>
      </c>
      <c r="D15" s="77">
        <f>SUMIFS(PROJEÇÃO[PROJ_MOVEL],PROJEÇÃO[PDV],'BOM JESUS'!$M$7)</f>
        <v>12715.0111</v>
      </c>
      <c r="E15" s="49">
        <f>IFERROR(D15/C15,0)</f>
        <v>0.97807778444675209</v>
      </c>
      <c r="F15" s="8">
        <f>VLOOKUP($E$15,FATORES!$I$32:$K$34,3)</f>
        <v>0.04</v>
      </c>
      <c r="G15" s="8">
        <f>IFERROR(VLOOKUP($E$15,FATORES!$I$35:$K$36,3),0)</f>
        <v>0</v>
      </c>
      <c r="H15" s="9">
        <f>D15*F15</f>
        <v>508.60044399999998</v>
      </c>
      <c r="I15" s="9">
        <f t="shared" ref="I15:I23" si="0">IF($P$7="ARIEL",
   IF(AND($E$15&gt;=69.5%, AND($E$17&gt;=69.5%, $E$18&gt;=69.5%, $E$18&gt;=69.5%, $E$20&gt;=69.5%, $E$20&gt;=69.5%, $E$22&gt;=69.5%, $E$23&gt;=69.5%)),
      D15*G15,
      0),
   IF(AND($E$15&gt;=69.5%, $E$16&gt;=69.5%, $E$17&gt;=69.5%, $E$18&gt;=69.5%, $E$18&gt;=69.5%, $E$20&gt;=69.5%, $E$20&gt;=69.5%, $E$22&gt;=69.5%, $E$23&gt;=69.5%),
      D15*G15,
      0)
)</f>
        <v>0</v>
      </c>
      <c r="J15" s="9">
        <f>H15+I15</f>
        <v>508.60044399999998</v>
      </c>
      <c r="K15" s="76">
        <f>SUMIFS(REALIZADO[META_MOVEL],REALIZADO[COORDENAÇÃO],$P$7)</f>
        <v>59729.999899999995</v>
      </c>
      <c r="L15" s="77">
        <f>SUMIFS(PROJEÇÃO[PROJ_MOVEL],PROJEÇÃO[COORDENAÇÃO],$P$7)</f>
        <v>52523.219899999989</v>
      </c>
      <c r="M15" s="49">
        <f>IFERROR(L15/K15,0)</f>
        <v>0.87934404801497401</v>
      </c>
      <c r="N15" s="8">
        <f>IF($M$15&gt;=FATORES!$I$37,FATORES!$K$37,0)</f>
        <v>0</v>
      </c>
      <c r="O15" s="14">
        <f>IF(E15&gt;=100%,
   IF($P$7="ARIEL",
      IF(AND($E$15&gt;=69.5%,$E$17&gt;=69.5%,$E$18&gt;=69.5%,$E$20&gt;=69.5%,$E$22&gt;=69.5%,$E$23&gt;=69.5%),
         D15*N15,
         0
      ),
      IF(AND($E$15&gt;=69.5%,$E$16&gt;=69.5%,$E$17&gt;=69.5%,$E$18&gt;=69.5%,$E$20&gt;=69.5%,$E$22&gt;=69.5%,$E$23&gt;=69.5%),
         D15*N15,
         0
      )
   ),
0)</f>
        <v>0</v>
      </c>
      <c r="P15" s="10">
        <f>J15+O15</f>
        <v>508.60044399999998</v>
      </c>
      <c r="Q15" s="11">
        <f>IF($B$8=2,P15*0.05,0)</f>
        <v>0</v>
      </c>
      <c r="R15" s="11">
        <f>IF($B$8=3,P15*0.15,0)</f>
        <v>0</v>
      </c>
      <c r="S15" s="98">
        <v>0.1</v>
      </c>
      <c r="T15" s="124">
        <f>SUM(P24:S24)</f>
        <v>804.68388373999983</v>
      </c>
    </row>
    <row r="16" spans="2:24" x14ac:dyDescent="0.35">
      <c r="B16" s="46" t="s">
        <v>13</v>
      </c>
      <c r="C16" s="76">
        <f>SUMIFS(REALIZADO[META_FIXA],REALIZADO[PDV],'BOM JESUS'!$M$7)</f>
        <v>0</v>
      </c>
      <c r="D16" s="77">
        <f>SUMIFS(PROJEÇÃO[PROJ_FIXA],PROJEÇÃO[PDV],'BOM JESUS'!$M$7)</f>
        <v>0</v>
      </c>
      <c r="E16" s="50">
        <f>IFERROR(D16/C16,0)</f>
        <v>0</v>
      </c>
      <c r="F16" s="12">
        <f>VLOOKUP($E$16,FATORES!$I$40:$K$42,3)</f>
        <v>5.0000000000000001E-3</v>
      </c>
      <c r="G16" s="12">
        <f>IFERROR(VLOOKUP($E$16,FATORES!$I$43:$K$44,3),0)</f>
        <v>0</v>
      </c>
      <c r="H16" s="65">
        <f t="shared" ref="H16:H23" si="1">D16*F16</f>
        <v>0</v>
      </c>
      <c r="I16" s="65">
        <f t="shared" si="0"/>
        <v>0</v>
      </c>
      <c r="J16" s="65">
        <f t="shared" ref="J16:J23" si="2">H16+I16</f>
        <v>0</v>
      </c>
      <c r="K16" s="76">
        <f>SUMIFS(REALIZADO[META_FIXA],REALIZADO[COORDENAÇÃO],$P$7)</f>
        <v>0</v>
      </c>
      <c r="L16" s="77">
        <f>SUMIFS(PROJEÇÃO[PROJ_FIXA],PROJEÇÃO[COORDENAÇÃO],$P$7)</f>
        <v>0</v>
      </c>
      <c r="M16" s="50">
        <f t="shared" ref="M16:M17" si="3">IFERROR(L16/K16,0)</f>
        <v>0</v>
      </c>
      <c r="N16" s="12">
        <f>IF($M$16&gt;=FATORES!$I$45,FATORES!$K$45,0)</f>
        <v>0</v>
      </c>
      <c r="O16" s="14">
        <f t="shared" ref="O16:O23" si="4">IF(E16&gt;=100%,
   IF($P$7="ARIEL",
      IF(AND($E$15&gt;=69.5%,$E$17&gt;=69.5%,$E$18&gt;=69.5%,$E$20&gt;=69.5%,$E$22&gt;=69.5%,$E$23&gt;=69.5%),
         D16*N16,
         0
      ),
      IF(AND($E$15&gt;=69.5%,$E$16&gt;=69.5%,$E$17&gt;=69.5%,$E$18&gt;=69.5%,$E$20&gt;=69.5%,$E$22&gt;=69.5%,$E$23&gt;=69.5%),
         D16*N16,
         0
      )
   ),
0)</f>
        <v>0</v>
      </c>
      <c r="P16" s="13">
        <f t="shared" ref="P16:P23" si="5">J16+O16</f>
        <v>0</v>
      </c>
      <c r="Q16" s="15">
        <f>IF($C$8=2,P16*0.05,0)</f>
        <v>0</v>
      </c>
      <c r="R16" s="15">
        <f>IF($C$8=3,P16*0.15,0)</f>
        <v>0</v>
      </c>
      <c r="S16" s="99"/>
      <c r="T16" s="125"/>
    </row>
    <row r="17" spans="2:20" x14ac:dyDescent="0.35">
      <c r="B17" s="46" t="s">
        <v>231</v>
      </c>
      <c r="C17" s="53">
        <f>SUMIFS(REALIZADO[META_SMARTPHONE],REALIZADO[PDV],'BOM JESUS'!$M$7)</f>
        <v>90000</v>
      </c>
      <c r="D17" s="78">
        <f>SUMIFS(PROJEÇÃO[PROJ_APARELHO],PROJEÇÃO[PDV],'BOM JESUS'!$M$7)</f>
        <v>80401.666700000002</v>
      </c>
      <c r="E17" s="50">
        <f>IFERROR(D17/C17,0)</f>
        <v>0.89335185222222224</v>
      </c>
      <c r="F17" s="12">
        <f>VLOOKUP($E$17,FATORES!$B$53:$D$54,3)</f>
        <v>2.0000000000000001E-4</v>
      </c>
      <c r="G17" s="12">
        <f>IFERROR(VLOOKUP($E$17,FATORES!$B$55:$D$55,3),0)</f>
        <v>0</v>
      </c>
      <c r="H17" s="65">
        <f t="shared" si="1"/>
        <v>16.080333340000003</v>
      </c>
      <c r="I17" s="65">
        <f t="shared" si="0"/>
        <v>0</v>
      </c>
      <c r="J17" s="65">
        <f t="shared" si="2"/>
        <v>16.080333340000003</v>
      </c>
      <c r="K17" s="53">
        <f>SUMIFS(REALIZADO[META_SMARTPHONE],REALIZADO[COORDENAÇÃO],$P$7)</f>
        <v>741000.00010000006</v>
      </c>
      <c r="L17" s="78">
        <f>SUMIFS(PROJEÇÃO[PROJ_APARELHO],PROJEÇÃO[COORDENAÇÃO],$P$7)</f>
        <v>619809.5554999999</v>
      </c>
      <c r="M17" s="50">
        <f t="shared" si="3"/>
        <v>0.8364501422622872</v>
      </c>
      <c r="N17" s="12">
        <f>IF($M$17&gt;=FATORES!$B$56,FATORES!$D$56,0)</f>
        <v>0</v>
      </c>
      <c r="O17" s="14">
        <f t="shared" si="4"/>
        <v>0</v>
      </c>
      <c r="P17" s="13">
        <f t="shared" si="5"/>
        <v>16.080333340000003</v>
      </c>
      <c r="Q17" s="15">
        <f>IF($D$8=2,P17*0.05,0)</f>
        <v>0</v>
      </c>
      <c r="R17" s="15">
        <f>IF($D$8=3,P17*0.15,0)</f>
        <v>0</v>
      </c>
      <c r="S17" s="99"/>
      <c r="T17" s="125"/>
    </row>
    <row r="18" spans="2:20" x14ac:dyDescent="0.35">
      <c r="B18" s="47" t="s">
        <v>232</v>
      </c>
      <c r="C18" s="121">
        <f>SUMIFS(REALIZADO[META_ACESSORIO],REALIZADO[PDV],'BOM JESUS'!$M$7)</f>
        <v>10700.000100000001</v>
      </c>
      <c r="D18" s="86">
        <f>SUMIFS(PROJEÇÃO[PROJ_ELETRO_A],PROJEÇÃO[PDV],'BOM JESUS'!$M$7)</f>
        <v>420.11110000000002</v>
      </c>
      <c r="E18" s="123">
        <f>IFERROR((D18+D19)/C18,0)</f>
        <v>3.0040913457561556</v>
      </c>
      <c r="F18" s="12">
        <f>VLOOKUP($E$18,FATORES!$B$44:$E$46,3)</f>
        <v>1.5E-3</v>
      </c>
      <c r="G18" s="12">
        <f>IFERROR(VLOOKUP($E$18,FATORES!$B$47:$E$48,3),0)</f>
        <v>7.0000000000000001E-3</v>
      </c>
      <c r="H18" s="65">
        <f t="shared" si="1"/>
        <v>0.63016665000000005</v>
      </c>
      <c r="I18" s="65">
        <f t="shared" si="0"/>
        <v>2.9407777000000004</v>
      </c>
      <c r="J18" s="65">
        <f t="shared" si="2"/>
        <v>3.5709443500000004</v>
      </c>
      <c r="K18" s="121">
        <f>SUMIFS(REALIZADO[META_ACESSORIO],REALIZADO[COORDENAÇÃO],$P$7)</f>
        <v>84200.000200000009</v>
      </c>
      <c r="L18" s="86">
        <f>SUMIFS(PROJEÇÃO[PROJ_ELETRO_A],PROJEÇÃO[COORDENAÇÃO],$P$7)</f>
        <v>2058.3333000000002</v>
      </c>
      <c r="M18" s="97">
        <f>IFERROR((L18+L19)/K18,0)</f>
        <v>1.2364040611961895</v>
      </c>
      <c r="N18" s="12">
        <f>IF($M$18&gt;=FATORES!$B$49,FATORES!$D$49,0)</f>
        <v>2.5000000000000001E-3</v>
      </c>
      <c r="O18" s="14">
        <f t="shared" si="4"/>
        <v>1.05027775</v>
      </c>
      <c r="P18" s="13">
        <f t="shared" si="5"/>
        <v>4.6212221000000007</v>
      </c>
      <c r="Q18" s="15">
        <f>IF($E$8=2,P18*0.05,0)</f>
        <v>0</v>
      </c>
      <c r="R18" s="15">
        <f>IF($E$8=3,P18*0.15,0)</f>
        <v>0</v>
      </c>
      <c r="S18" s="99"/>
      <c r="T18" s="125"/>
    </row>
    <row r="19" spans="2:20" x14ac:dyDescent="0.35">
      <c r="B19" s="47" t="s">
        <v>233</v>
      </c>
      <c r="C19" s="122"/>
      <c r="D19" s="87">
        <f>SUMIFS(PROJEÇÃO[PROJ_ELETRO_B],PROJEÇÃO[PDV],'BOM JESUS'!$M$7)</f>
        <v>31723.666600000004</v>
      </c>
      <c r="E19" s="123"/>
      <c r="F19" s="12">
        <f>VLOOKUP($E$18,FATORES!$B$44:$E$46,4)</f>
        <v>7.5000000000000002E-4</v>
      </c>
      <c r="G19" s="12">
        <f>IFERROR(VLOOKUP($E$18,FATORES!$B$47:$E$48,4),0)</f>
        <v>3.5000000000000001E-3</v>
      </c>
      <c r="H19" s="65">
        <f t="shared" si="1"/>
        <v>23.792749950000005</v>
      </c>
      <c r="I19" s="65">
        <f t="shared" si="0"/>
        <v>111.03283310000002</v>
      </c>
      <c r="J19" s="65">
        <f t="shared" si="2"/>
        <v>134.82558305000003</v>
      </c>
      <c r="K19" s="122"/>
      <c r="L19" s="87">
        <f>SUMIFS(PROJEÇÃO[PROJ_ELETRO_B],PROJEÇÃO[COORDENAÇÃO],$P$7)</f>
        <v>102046.88889999999</v>
      </c>
      <c r="M19" s="97"/>
      <c r="N19" s="12">
        <f>IF($M$18&gt;=FATORES!$B$49,FATORES!$E$49,0)</f>
        <v>1.25E-3</v>
      </c>
      <c r="O19" s="14">
        <f t="shared" si="4"/>
        <v>0</v>
      </c>
      <c r="P19" s="13">
        <f t="shared" si="5"/>
        <v>134.82558305000003</v>
      </c>
      <c r="Q19" s="15">
        <f>IF($E$8=2,P19*0.05,0)</f>
        <v>0</v>
      </c>
      <c r="R19" s="15">
        <f>IF($E$8=3,P19*0.15,0)</f>
        <v>0</v>
      </c>
      <c r="S19" s="99"/>
      <c r="T19" s="125"/>
    </row>
    <row r="20" spans="2:20" x14ac:dyDescent="0.35">
      <c r="B20" s="46" t="s">
        <v>234</v>
      </c>
      <c r="C20" s="121">
        <f>SUMIFS(REALIZADO[META_ESSENCIAIS],REALIZADO[PDV],'BOM JESUS'!$M$7)</f>
        <v>8550</v>
      </c>
      <c r="D20" s="86">
        <f>SUMIFS(PROJEÇÃO[PROJ_ESSEN_A],PROJEÇÃO[PDV],'BOM JESUS'!$M$7)</f>
        <v>6289</v>
      </c>
      <c r="E20" s="123">
        <f>IFERROR((D20+D21)/C20,0)</f>
        <v>1.4303703625730995</v>
      </c>
      <c r="F20" s="12">
        <f>VLOOKUP($E$20,FATORES!$B$34:$E$36,3)</f>
        <v>1.5E-3</v>
      </c>
      <c r="G20" s="12">
        <f>IFERROR(VLOOKUP($E$20,FATORES!$B$37:$E$38,3),0)</f>
        <v>6.0000000000000001E-3</v>
      </c>
      <c r="H20" s="65">
        <f t="shared" si="1"/>
        <v>9.4335000000000004</v>
      </c>
      <c r="I20" s="65">
        <f t="shared" si="0"/>
        <v>37.734000000000002</v>
      </c>
      <c r="J20" s="65">
        <f t="shared" si="2"/>
        <v>47.167500000000004</v>
      </c>
      <c r="K20" s="121">
        <f>SUMIFS(REALIZADO[META_ESSENCIAIS],REALIZADO[COORDENAÇÃO],$P$7)</f>
        <v>58599.999900000003</v>
      </c>
      <c r="L20" s="86">
        <f>SUMIFS(PROJEÇÃO[PROJ_ESSEN_A],PROJEÇÃO[COORDENAÇÃO],$P$7)</f>
        <v>30216.333300000002</v>
      </c>
      <c r="M20" s="97">
        <f>IFERROR((L20+L21)/K20,0)</f>
        <v>1.094031099136572</v>
      </c>
      <c r="N20" s="12">
        <f>IF($M$20&gt;=FATORES!$B$39,FATORES!$D$39,0)</f>
        <v>8.0000000000000002E-3</v>
      </c>
      <c r="O20" s="14">
        <f t="shared" si="4"/>
        <v>50.311999999999998</v>
      </c>
      <c r="P20" s="13">
        <f t="shared" si="5"/>
        <v>97.479500000000002</v>
      </c>
      <c r="Q20" s="15">
        <f>IF($F$8=2,P20*0.05,0)</f>
        <v>0</v>
      </c>
      <c r="R20" s="15">
        <f>IF($F$8=3,P20*0.15,0)</f>
        <v>0</v>
      </c>
      <c r="S20" s="99"/>
      <c r="T20" s="125"/>
    </row>
    <row r="21" spans="2:20" x14ac:dyDescent="0.35">
      <c r="B21" s="46" t="s">
        <v>235</v>
      </c>
      <c r="C21" s="122"/>
      <c r="D21" s="87">
        <f>SUMIFS(PROJEÇÃO[PROJ_ESSEN_B],PROJEÇÃO[PDV],'BOM JESUS'!$M$7)</f>
        <v>5940.6666000000005</v>
      </c>
      <c r="E21" s="123"/>
      <c r="F21" s="12">
        <f>VLOOKUP($E$20,FATORES!$B$34:$E$36,4)</f>
        <v>7.5000000000000002E-4</v>
      </c>
      <c r="G21" s="12">
        <f>IFERROR(VLOOKUP($E$20,FATORES!$B$37:$E$38,4),0)</f>
        <v>3.0000000000000001E-3</v>
      </c>
      <c r="H21" s="65">
        <f t="shared" si="1"/>
        <v>4.4554999500000001</v>
      </c>
      <c r="I21" s="65">
        <f t="shared" si="0"/>
        <v>17.8219998</v>
      </c>
      <c r="J21" s="65">
        <f t="shared" si="2"/>
        <v>22.27749975</v>
      </c>
      <c r="K21" s="122"/>
      <c r="L21" s="87">
        <f>SUMIFS(PROJEÇÃO[PROJ_ESSEN_B],PROJEÇÃO[COORDENAÇÃO],$P$7)</f>
        <v>33893.88900000001</v>
      </c>
      <c r="M21" s="97"/>
      <c r="N21" s="12">
        <f>IF($M$20&gt;=FATORES!$B$39,FATORES!$E$39,0)</f>
        <v>4.0000000000000001E-3</v>
      </c>
      <c r="O21" s="14">
        <f t="shared" si="4"/>
        <v>0</v>
      </c>
      <c r="P21" s="13">
        <f t="shared" si="5"/>
        <v>22.27749975</v>
      </c>
      <c r="Q21" s="15">
        <f>IF($F$8=2,P21*0.05,0)</f>
        <v>0</v>
      </c>
      <c r="R21" s="15">
        <f>IF($F$8=3,P21*0.15,0)</f>
        <v>0</v>
      </c>
      <c r="S21" s="99"/>
      <c r="T21" s="125"/>
    </row>
    <row r="22" spans="2:20" x14ac:dyDescent="0.35">
      <c r="B22" s="46" t="s">
        <v>212</v>
      </c>
      <c r="C22" s="57">
        <f>SUMIFS(REALIZADO[META_SEGUROS],REALIZADO[PDV],'BOM JESUS'!$M$7)</f>
        <v>999.99990000000003</v>
      </c>
      <c r="D22" s="79">
        <f>SUMIFS(PROJEÇÃO[PROJ_SEGURO],PROJEÇÃO[PDV],'BOM JESUS'!$M$7)</f>
        <v>830.93340000000001</v>
      </c>
      <c r="E22" s="83">
        <f>IFERROR(D22/C22,0)</f>
        <v>0.83093348309334825</v>
      </c>
      <c r="F22" s="83">
        <f>VLOOKUP($E$22,FATORES!$O$32:$Q$34,3)</f>
        <v>0.02</v>
      </c>
      <c r="G22" s="12">
        <f>IFERROR(VLOOKUP($E$22,FATORES!$O$35:$Q$36,3),0)</f>
        <v>0</v>
      </c>
      <c r="H22" s="65">
        <f t="shared" si="1"/>
        <v>16.618668</v>
      </c>
      <c r="I22" s="65">
        <f t="shared" si="0"/>
        <v>0</v>
      </c>
      <c r="J22" s="65">
        <f t="shared" si="2"/>
        <v>16.618668</v>
      </c>
      <c r="K22" s="57">
        <f>SUMIFS(REALIZADO[META_SEGUROS],REALIZADO[COORDENAÇÃO],$P$7)</f>
        <v>5665</v>
      </c>
      <c r="L22" s="79">
        <f>SUMIFS(PROJEÇÃO[PROJ_SEGURO],PROJEÇÃO[COORDENAÇÃO],$P$7)</f>
        <v>5467.5668999999998</v>
      </c>
      <c r="M22" s="50">
        <f t="shared" ref="M22:M23" si="6">IFERROR(L22/K22,0)</f>
        <v>0.96514861429832299</v>
      </c>
      <c r="N22" s="12">
        <f>IF($M$22&gt;=FATORES!$O$37,FATORES!$Q$37,0)</f>
        <v>0</v>
      </c>
      <c r="O22" s="14">
        <f t="shared" si="4"/>
        <v>0</v>
      </c>
      <c r="P22" s="13">
        <f t="shared" si="5"/>
        <v>16.618668</v>
      </c>
      <c r="Q22" s="15">
        <f>IF($G$8=2,P22*0.05,0)</f>
        <v>0</v>
      </c>
      <c r="R22" s="15">
        <f>IF($G$8=3,P22*0.15,0)</f>
        <v>0</v>
      </c>
      <c r="S22" s="99"/>
      <c r="T22" s="125"/>
    </row>
    <row r="23" spans="2:20" x14ac:dyDescent="0.35">
      <c r="B23" s="48" t="s">
        <v>14</v>
      </c>
      <c r="C23" s="76">
        <f>SUMIFS(REALIZADO[META_SVA],REALIZADO[PDV],'BOM JESUS'!$M$7)</f>
        <v>849.99990000000003</v>
      </c>
      <c r="D23" s="77">
        <f>SUMIFS(PROJEÇÃO[PROJ_SVA],PROJEÇÃO[PDV],'BOM JESUS'!$M$7)</f>
        <v>836.12669999999991</v>
      </c>
      <c r="E23" s="82">
        <f>IFERROR(D23/C23,0)</f>
        <v>0.98367858631512772</v>
      </c>
      <c r="F23" s="16">
        <f>IF($E$23&gt;=0,FATORES!$Q$40)</f>
        <v>5.0000000000000001E-3</v>
      </c>
      <c r="G23" s="16">
        <f>IFERROR(VLOOKUP($E$23,FATORES!$O$43:$Q$44,3),0)</f>
        <v>0</v>
      </c>
      <c r="H23" s="17">
        <f t="shared" si="1"/>
        <v>4.1806334999999999</v>
      </c>
      <c r="I23" s="65">
        <f t="shared" si="0"/>
        <v>0</v>
      </c>
      <c r="J23" s="17">
        <f t="shared" si="2"/>
        <v>4.1806334999999999</v>
      </c>
      <c r="K23" s="76">
        <f>SUMIFS(REALIZADO[META_SVA],REALIZADO[COORDENAÇÃO],$P$7)</f>
        <v>5384.9997999999996</v>
      </c>
      <c r="L23" s="77">
        <f>SUMIFS(PROJEÇÃO[PROJ_SVA],PROJEÇÃO[COORDENAÇÃO],$P$7)</f>
        <v>5513.6099000000004</v>
      </c>
      <c r="M23" s="51">
        <f t="shared" si="6"/>
        <v>1.0238830278136688</v>
      </c>
      <c r="N23" s="16">
        <f>IF($M$23&gt;=FATORES!$O$45,FATORES!$Q$45,0)</f>
        <v>5.0000000000000001E-3</v>
      </c>
      <c r="O23" s="14">
        <f t="shared" si="4"/>
        <v>0</v>
      </c>
      <c r="P23" s="18">
        <f t="shared" si="5"/>
        <v>4.1806334999999999</v>
      </c>
      <c r="Q23" s="19">
        <f>IF($H$8=2,P23*0.05,0)</f>
        <v>0</v>
      </c>
      <c r="R23" s="19">
        <f>IF($H$8=3,P23*0.15,0)</f>
        <v>0</v>
      </c>
      <c r="S23" s="100"/>
      <c r="T23" s="126"/>
    </row>
    <row r="24" spans="2:20" x14ac:dyDescent="0.35">
      <c r="B24" s="66"/>
      <c r="C24" s="67"/>
      <c r="D24" s="67"/>
      <c r="E24" s="67"/>
      <c r="F24" s="67"/>
      <c r="G24" s="67"/>
      <c r="H24" s="67"/>
      <c r="I24" s="67"/>
      <c r="J24" s="68"/>
      <c r="K24" s="69"/>
      <c r="L24" s="67"/>
      <c r="M24" s="67"/>
      <c r="N24" s="67"/>
      <c r="O24" s="67"/>
      <c r="P24" s="70">
        <f>SUM(P15:P23)</f>
        <v>804.68388373999983</v>
      </c>
      <c r="Q24" s="70">
        <f t="shared" ref="Q24:R24" si="7">SUM(Q15:Q23)</f>
        <v>0</v>
      </c>
      <c r="R24" s="70">
        <f t="shared" si="7"/>
        <v>0</v>
      </c>
      <c r="S24" s="71" t="str">
        <f>IF($P$7="ARIEL",IF(MIN(E15,E17,E18,E19,E20,E22,E23)&gt;=100%,SUM(P24:R24)*S15,""),IF(MIN(E15:E23)&gt;=100%,SUM(P24:R24)*S15,""))</f>
        <v/>
      </c>
      <c r="T24" s="72"/>
    </row>
    <row r="25" spans="2:20" ht="16.149999999999999" customHeight="1" x14ac:dyDescent="0.35">
      <c r="B25" s="80"/>
      <c r="C25" s="6"/>
      <c r="D25" s="6"/>
      <c r="E25" s="6"/>
      <c r="F25" s="6"/>
      <c r="G25" s="6"/>
      <c r="H25" s="6"/>
      <c r="T25" s="61"/>
    </row>
    <row r="26" spans="2:20" ht="18.5" x14ac:dyDescent="0.35">
      <c r="B26" s="141" t="s">
        <v>236</v>
      </c>
      <c r="C26" s="142"/>
      <c r="D26" s="142"/>
      <c r="E26" s="142"/>
      <c r="F26" s="142"/>
      <c r="G26" s="142"/>
      <c r="H26" s="142"/>
      <c r="I26" s="142"/>
      <c r="J26" s="142"/>
      <c r="K26" s="142"/>
      <c r="L26" s="142"/>
      <c r="M26" s="142"/>
      <c r="N26" s="142"/>
      <c r="O26" s="142"/>
      <c r="P26" s="142"/>
      <c r="Q26" s="142"/>
      <c r="R26" s="142"/>
      <c r="S26" s="142"/>
      <c r="T26" s="142"/>
    </row>
    <row r="27" spans="2:20" x14ac:dyDescent="0.35">
      <c r="B27" s="129" t="s">
        <v>9</v>
      </c>
      <c r="C27" s="130"/>
      <c r="D27" s="130"/>
      <c r="E27" s="130"/>
      <c r="F27" s="130"/>
      <c r="G27" s="130"/>
      <c r="H27" s="130"/>
      <c r="I27" s="130"/>
      <c r="J27" s="131"/>
      <c r="K27" s="132" t="s">
        <v>54</v>
      </c>
      <c r="L27" s="130"/>
      <c r="M27" s="130"/>
      <c r="N27" s="130"/>
      <c r="O27" s="130"/>
      <c r="P27" s="130"/>
      <c r="Q27" s="130"/>
      <c r="R27" s="130"/>
      <c r="S27" s="130"/>
      <c r="T27" s="133"/>
    </row>
    <row r="28" spans="2:20" ht="14.5" customHeight="1" x14ac:dyDescent="0.35">
      <c r="B28" s="115" t="s">
        <v>214</v>
      </c>
      <c r="C28" s="116" t="s">
        <v>237</v>
      </c>
      <c r="D28" s="117"/>
      <c r="E28" s="104"/>
      <c r="F28" s="135" t="s">
        <v>216</v>
      </c>
      <c r="G28" s="135" t="s">
        <v>217</v>
      </c>
      <c r="H28" s="135" t="s">
        <v>218</v>
      </c>
      <c r="I28" s="135" t="s">
        <v>219</v>
      </c>
      <c r="J28" s="135" t="s">
        <v>220</v>
      </c>
      <c r="K28" s="116" t="s">
        <v>238</v>
      </c>
      <c r="L28" s="117"/>
      <c r="M28" s="104"/>
      <c r="N28" s="127" t="s">
        <v>222</v>
      </c>
      <c r="O28" s="127" t="s">
        <v>223</v>
      </c>
      <c r="P28" s="127" t="s">
        <v>224</v>
      </c>
      <c r="Q28" s="127" t="s">
        <v>225</v>
      </c>
      <c r="R28" s="127" t="s">
        <v>226</v>
      </c>
      <c r="S28" s="127" t="s">
        <v>227</v>
      </c>
      <c r="T28" s="137" t="s">
        <v>228</v>
      </c>
    </row>
    <row r="29" spans="2:20" ht="14.5" customHeight="1" x14ac:dyDescent="0.35">
      <c r="B29" s="134"/>
      <c r="C29" s="94" t="s">
        <v>229</v>
      </c>
      <c r="D29" s="139" t="s">
        <v>230</v>
      </c>
      <c r="E29" s="140"/>
      <c r="F29" s="136"/>
      <c r="G29" s="136"/>
      <c r="H29" s="136"/>
      <c r="I29" s="136"/>
      <c r="J29" s="136"/>
      <c r="K29" s="52" t="s">
        <v>229</v>
      </c>
      <c r="L29" s="139" t="s">
        <v>230</v>
      </c>
      <c r="M29" s="140"/>
      <c r="N29" s="128"/>
      <c r="O29" s="128"/>
      <c r="P29" s="128"/>
      <c r="Q29" s="128"/>
      <c r="R29" s="128"/>
      <c r="S29" s="128"/>
      <c r="T29" s="138"/>
    </row>
    <row r="30" spans="2:20" x14ac:dyDescent="0.35">
      <c r="B30" s="45" t="s">
        <v>2</v>
      </c>
      <c r="C30" s="76">
        <f>SUMIFS(REALIZADO[META_MOVEL],REALIZADO[PDV],'BOM JESUS'!$M$7)</f>
        <v>12999.999900000001</v>
      </c>
      <c r="D30" s="77">
        <f>SUMIFS(REALIZADO[AT_MOVEL],REALIZADO[PDV],'BOM JESUS'!$M$7)</f>
        <v>1369.99</v>
      </c>
      <c r="E30" s="49">
        <f>IFERROR(D30/C30,0)</f>
        <v>0.10538384696449113</v>
      </c>
      <c r="F30" s="8">
        <f>VLOOKUP($E$30,FATORES!$I$32:$K$34,3)</f>
        <v>5.0000000000000001E-3</v>
      </c>
      <c r="G30" s="8">
        <f>IFERROR(VLOOKUP($E$30,FATORES!$I$35:$K$36,3),0)</f>
        <v>0</v>
      </c>
      <c r="H30" s="9">
        <f>D30*F30</f>
        <v>6.8499499999999998</v>
      </c>
      <c r="I30" s="9">
        <f t="shared" ref="I30:I38" si="8">IF($P$7="ARIEL",
   IF(AND($E$30&gt;=69.5%, AND($E$32&gt;=69.5%, $E$33&gt;=69.5%, $E$33&gt;=69.5%, $E$35&gt;=69.5%, $E$35&gt;=69.5%, $E$37&gt;=69.5%, $E$38&gt;=69.5%)),
      D30*G30,
      0),
   IF(AND($E$30&gt;=69.5%, $E$31&gt;=69.5%, $E$32&gt;=69.5%, $E$33&gt;=69.5%, $E$33&gt;=69.5%, $E$35&gt;=69.5%, $E$35&gt;=69.5%, $E$37&gt;=69.5%, $E$38&gt;=69.5%),
      D30*G30,
      0)
)</f>
        <v>0</v>
      </c>
      <c r="J30" s="9">
        <f>H30+I30</f>
        <v>6.8499499999999998</v>
      </c>
      <c r="K30" s="76">
        <f>SUMIFS(REALIZADO[META_MOVEL],REALIZADO[COORDENAÇÃO],$P$7)</f>
        <v>59729.999899999995</v>
      </c>
      <c r="L30" s="77">
        <f>SUMIFS(REALIZADO[AT_MOVEL],REALIZADO[COORDENAÇÃO],$P$7)</f>
        <v>5335.72</v>
      </c>
      <c r="M30" s="49">
        <f>IFERROR(L30/K30,0)</f>
        <v>8.9330654761980016E-2</v>
      </c>
      <c r="N30" s="8">
        <f>IF($M$30&gt;=FATORES!$I$37,FATORES!$K$37,0)</f>
        <v>0</v>
      </c>
      <c r="O30" s="14">
        <f>IF(E30&gt;=100%,
IF($P$7="ARIEL",
IF(AND($E$30&gt;=69.5%,$E$32&gt;=69.5%,$E$33&gt;=69.5%,$E$35&gt;=69.5%,$E$37&gt;=69.5%,$E$38&gt;=69.5%),
D30*N30,
0),
IF(AND($E$30&gt;=69.5%,$E$31&gt;=69.5%,$E$32&gt;=69.5%,$E$33&gt;=69.5%,$E$35&gt;=69.5%,$E$37&gt;=69.5%,$E$38&gt;=69.5%),
D30*N30,
0)
),0)</f>
        <v>0</v>
      </c>
      <c r="P30" s="10">
        <f>J30+O30</f>
        <v>6.8499499999999998</v>
      </c>
      <c r="Q30" s="11">
        <f>IF($B$8=2,P30*0.05,0)</f>
        <v>0</v>
      </c>
      <c r="R30" s="11">
        <f>IF($B$8=3,P30*0.15,0)</f>
        <v>0</v>
      </c>
      <c r="S30" s="98">
        <v>0.1</v>
      </c>
      <c r="T30" s="124">
        <f>SUM(P39:S39)</f>
        <v>14.616300000000001</v>
      </c>
    </row>
    <row r="31" spans="2:20" x14ac:dyDescent="0.35">
      <c r="B31" s="46" t="s">
        <v>13</v>
      </c>
      <c r="C31" s="76">
        <f>SUMIFS(REALIZADO[META_FIXA],REALIZADO[PDV],'BOM JESUS'!$M$7)</f>
        <v>0</v>
      </c>
      <c r="D31" s="77">
        <f>SUMIFS(REALIZADO[AT_FIXA],REALIZADO[PDV],'BOM JESUS'!$M$7)</f>
        <v>0</v>
      </c>
      <c r="E31" s="50">
        <f>IFERROR(D31/C31,0)</f>
        <v>0</v>
      </c>
      <c r="F31" s="12">
        <f>VLOOKUP($E$31,FATORES!$I$40:$K$42,3)</f>
        <v>5.0000000000000001E-3</v>
      </c>
      <c r="G31" s="12">
        <f>IFERROR(VLOOKUP($E$31,FATORES!$I$43:$K$44,3),0)</f>
        <v>0</v>
      </c>
      <c r="H31" s="65">
        <f t="shared" ref="H31:H38" si="9">D31*F31</f>
        <v>0</v>
      </c>
      <c r="I31" s="65">
        <f t="shared" si="8"/>
        <v>0</v>
      </c>
      <c r="J31" s="65">
        <f t="shared" ref="J31:J38" si="10">H31+I31</f>
        <v>0</v>
      </c>
      <c r="K31" s="76">
        <f>SUMIFS(REALIZADO[META_FIXA],REALIZADO[COORDENAÇÃO],$P$7)</f>
        <v>0</v>
      </c>
      <c r="L31" s="77">
        <f>SUMIFS(REALIZADO[AT_FIXA],REALIZADO[COORDENAÇÃO],$P$7)</f>
        <v>0</v>
      </c>
      <c r="M31" s="50">
        <f t="shared" ref="M31:M32" si="11">IFERROR(L31/K31,0)</f>
        <v>0</v>
      </c>
      <c r="N31" s="12">
        <f>IF($M$31&gt;=FATORES!$I$45,FATORES!$K$45,0)</f>
        <v>0</v>
      </c>
      <c r="O31" s="14">
        <f t="shared" ref="O31:O38" si="12">IF(E31&gt;=100%,
IF($P$7="ARIEL",
IF(AND($E$30&gt;=69.5%,$E$32&gt;=69.5%,$E$33&gt;=69.5%,$E$35&gt;=69.5%,$E$37&gt;=69.5%,$E$38&gt;=69.5%),
D31*N31,
0),
IF(AND($E$30&gt;=69.5%,$E$31&gt;=69.5%,$E$32&gt;=69.5%,$E$33&gt;=69.5%,$E$35&gt;=69.5%,$E$37&gt;=69.5%,$E$38&gt;=69.5%),
D31*N31,
0)
),0)</f>
        <v>0</v>
      </c>
      <c r="P31" s="13">
        <f t="shared" ref="P31:P38" si="13">J31+O31</f>
        <v>0</v>
      </c>
      <c r="Q31" s="15">
        <f>IF($C$8=2,P31*0.05,0)</f>
        <v>0</v>
      </c>
      <c r="R31" s="15">
        <f>IF($C$8=3,P31*0.15,0)</f>
        <v>0</v>
      </c>
      <c r="S31" s="99"/>
      <c r="T31" s="125"/>
    </row>
    <row r="32" spans="2:20" x14ac:dyDescent="0.35">
      <c r="B32" s="46" t="s">
        <v>231</v>
      </c>
      <c r="C32" s="53">
        <f>SUMIFS(REALIZADO[META_SMARTPHONE],REALIZADO[PDV],'BOM JESUS'!$M$7)</f>
        <v>90000</v>
      </c>
      <c r="D32" s="78">
        <f>SUMIFS(REALIZADO[AT_SMARTPHONE],REALIZADO[PDV],'BOM JESUS'!$M$7)</f>
        <v>23443</v>
      </c>
      <c r="E32" s="50">
        <f>IFERROR(D32/C32,0)</f>
        <v>0.26047777777777775</v>
      </c>
      <c r="F32" s="12">
        <f>VLOOKUP($E$32,FATORES!$B$53:$D$54,3)</f>
        <v>2.0000000000000001E-4</v>
      </c>
      <c r="G32" s="12">
        <f>IFERROR(VLOOKUP($E$32,FATORES!$B$55:$D$55,3),0)</f>
        <v>0</v>
      </c>
      <c r="H32" s="65">
        <f t="shared" si="9"/>
        <v>4.6886000000000001</v>
      </c>
      <c r="I32" s="65">
        <f t="shared" si="8"/>
        <v>0</v>
      </c>
      <c r="J32" s="65">
        <f t="shared" si="10"/>
        <v>4.6886000000000001</v>
      </c>
      <c r="K32" s="53">
        <f>SUMIFS(REALIZADO[META_SMARTPHONE],REALIZADO[COORDENAÇÃO],$P$7)</f>
        <v>741000.00010000006</v>
      </c>
      <c r="L32" s="78">
        <f>SUMIFS(REALIZADO[AT_SMARTPHONE],REALIZADO[COORDENAÇÃO],$P$7)</f>
        <v>81442</v>
      </c>
      <c r="M32" s="50">
        <f t="shared" si="11"/>
        <v>0.109908232103926</v>
      </c>
      <c r="N32" s="12">
        <f>IF($M$32&gt;=FATORES!$B$56,FATORES!$D$56,0)</f>
        <v>0</v>
      </c>
      <c r="O32" s="14">
        <f t="shared" si="12"/>
        <v>0</v>
      </c>
      <c r="P32" s="13">
        <f t="shared" si="13"/>
        <v>4.6886000000000001</v>
      </c>
      <c r="Q32" s="15">
        <f>IF($D$8=2,P32*0.05,0)</f>
        <v>0</v>
      </c>
      <c r="R32" s="15">
        <f>IF($D$8=3,P32*0.15,0)</f>
        <v>0</v>
      </c>
      <c r="S32" s="99"/>
      <c r="T32" s="125"/>
    </row>
    <row r="33" spans="2:20" x14ac:dyDescent="0.35">
      <c r="B33" s="47" t="s">
        <v>232</v>
      </c>
      <c r="C33" s="121">
        <f>SUMIFS(REALIZADO[META_ACESSORIO],REALIZADO[PDV],'BOM JESUS'!$M$7)</f>
        <v>10700.000100000001</v>
      </c>
      <c r="D33" s="86">
        <f>SUMIFS(REALIZADO[AT_ACESSORIOS_A],REALIZADO[PDV],'BOM JESUS'!$M$7)</f>
        <v>0</v>
      </c>
      <c r="E33" s="123">
        <f>IFERROR((D33+D34)/C33,0)</f>
        <v>0.5490654154292951</v>
      </c>
      <c r="F33" s="12">
        <f>VLOOKUP($E$33,FATORES!$B$44:$E$46,3)</f>
        <v>5.0000000000000001E-4</v>
      </c>
      <c r="G33" s="12">
        <f>IFERROR(VLOOKUP($E$33,FATORES!$B$47:$E$48,3),0)</f>
        <v>0</v>
      </c>
      <c r="H33" s="65">
        <f t="shared" si="9"/>
        <v>0</v>
      </c>
      <c r="I33" s="65">
        <f t="shared" si="8"/>
        <v>0</v>
      </c>
      <c r="J33" s="65">
        <f t="shared" si="10"/>
        <v>0</v>
      </c>
      <c r="K33" s="121">
        <f>SUMIFS(REALIZADO[META_ACESSORIO],REALIZADO[COORDENAÇÃO],$P$7)</f>
        <v>84200.000200000009</v>
      </c>
      <c r="L33" s="86">
        <f>SUMIFS(REALIZADO[AT_ACESSORIOS_A],REALIZADO[COORDENAÇÃO],$P$7)</f>
        <v>0</v>
      </c>
      <c r="M33" s="97">
        <f>IFERROR((L33+L34)/K33,0)</f>
        <v>0.13485748186494659</v>
      </c>
      <c r="N33" s="12">
        <f>IF($M$33&gt;=FATORES!$B$49,FATORES!$D$49,0)</f>
        <v>0</v>
      </c>
      <c r="O33" s="14">
        <f t="shared" si="12"/>
        <v>0</v>
      </c>
      <c r="P33" s="13">
        <f t="shared" si="13"/>
        <v>0</v>
      </c>
      <c r="Q33" s="15">
        <f>IF($E$8=2,P33*0.05,0)</f>
        <v>0</v>
      </c>
      <c r="R33" s="15">
        <f>IF($E$8=3,P33*0.15,0)</f>
        <v>0</v>
      </c>
      <c r="S33" s="99"/>
      <c r="T33" s="125"/>
    </row>
    <row r="34" spans="2:20" x14ac:dyDescent="0.35">
      <c r="B34" s="47" t="s">
        <v>233</v>
      </c>
      <c r="C34" s="122"/>
      <c r="D34" s="87">
        <f>SUMIFS(REALIZADO[AT_ACESSORIOS_B],REALIZADO[PDV],'BOM JESUS'!$M$7)</f>
        <v>5875</v>
      </c>
      <c r="E34" s="123"/>
      <c r="F34" s="12">
        <f>VLOOKUP($E$33,FATORES!$B$44:$E$46,4)</f>
        <v>2.5000000000000001E-4</v>
      </c>
      <c r="G34" s="12">
        <f>IFERROR(VLOOKUP($E$33,FATORES!$B$47:$E$48,4),0)</f>
        <v>0</v>
      </c>
      <c r="H34" s="65">
        <f t="shared" si="9"/>
        <v>1.46875</v>
      </c>
      <c r="I34" s="65">
        <f t="shared" si="8"/>
        <v>0</v>
      </c>
      <c r="J34" s="65">
        <f t="shared" si="10"/>
        <v>1.46875</v>
      </c>
      <c r="K34" s="122"/>
      <c r="L34" s="87">
        <f>SUMIFS(REALIZADO[AT_ACESSORIOS_B],REALIZADO[COORDENAÇÃO],$P$7)</f>
        <v>11355</v>
      </c>
      <c r="M34" s="97"/>
      <c r="N34" s="12">
        <f>IF($M$33&gt;=FATORES!$B$49,FATORES!$E$49,0)</f>
        <v>0</v>
      </c>
      <c r="O34" s="14">
        <f t="shared" si="12"/>
        <v>0</v>
      </c>
      <c r="P34" s="13">
        <f t="shared" si="13"/>
        <v>1.46875</v>
      </c>
      <c r="Q34" s="15">
        <f>IF($E$8=2,P34*0.05,0)</f>
        <v>0</v>
      </c>
      <c r="R34" s="15">
        <f>IF($E$8=3,P34*0.15,0)</f>
        <v>0</v>
      </c>
      <c r="S34" s="99"/>
      <c r="T34" s="125"/>
    </row>
    <row r="35" spans="2:20" x14ac:dyDescent="0.35">
      <c r="B35" s="46" t="s">
        <v>234</v>
      </c>
      <c r="C35" s="121">
        <f>SUMIFS(REALIZADO[META_ESSENCIAIS],REALIZADO[PDV],'BOM JESUS'!$M$7)</f>
        <v>8550</v>
      </c>
      <c r="D35" s="86">
        <f>SUMIFS(REALIZADO[AT_ESSENCIAIS_A],REALIZADO[PDV],'BOM JESUS'!$M$7)</f>
        <v>1069</v>
      </c>
      <c r="E35" s="123">
        <f>IFERROR((D35+D36)/C35,0)</f>
        <v>0.26163742690058478</v>
      </c>
      <c r="F35" s="12">
        <f>VLOOKUP($E$35,FATORES!$B$34:$E$36,3)</f>
        <v>5.0000000000000001E-4</v>
      </c>
      <c r="G35" s="12">
        <f>IFERROR(VLOOKUP($E$35,FATORES!$B$37:$E$38,3),0)</f>
        <v>0</v>
      </c>
      <c r="H35" s="65">
        <f t="shared" si="9"/>
        <v>0.53449999999999998</v>
      </c>
      <c r="I35" s="65">
        <f t="shared" si="8"/>
        <v>0</v>
      </c>
      <c r="J35" s="65">
        <f t="shared" si="10"/>
        <v>0.53449999999999998</v>
      </c>
      <c r="K35" s="121">
        <f>SUMIFS(REALIZADO[META_ESSENCIAIS],REALIZADO[COORDENAÇÃO],$P$7)</f>
        <v>58599.999900000003</v>
      </c>
      <c r="L35" s="86">
        <f>SUMIFS(REALIZADO[AT_ESSENCIAIS_A],REALIZADO[COORDENAÇÃO],$P$7)</f>
        <v>4117</v>
      </c>
      <c r="M35" s="97">
        <f>IFERROR((L35+L36)/K35,0)</f>
        <v>0.1419112630408042</v>
      </c>
      <c r="N35" s="12">
        <f>IF($M$35&gt;=FATORES!$B$39,FATORES!$D$39,0)</f>
        <v>0</v>
      </c>
      <c r="O35" s="14">
        <f t="shared" si="12"/>
        <v>0</v>
      </c>
      <c r="P35" s="13">
        <f t="shared" si="13"/>
        <v>0.53449999999999998</v>
      </c>
      <c r="Q35" s="15">
        <f>IF($F$8=2,P35*0.05,0)</f>
        <v>0</v>
      </c>
      <c r="R35" s="15">
        <f>IF($F$8=3,P35*0.15,0)</f>
        <v>0</v>
      </c>
      <c r="S35" s="99"/>
      <c r="T35" s="125"/>
    </row>
    <row r="36" spans="2:20" x14ac:dyDescent="0.35">
      <c r="B36" s="46" t="s">
        <v>235</v>
      </c>
      <c r="C36" s="122"/>
      <c r="D36" s="87">
        <f>SUMIFS(REALIZADO[AT_ESSENCIAIS_B],REALIZADO[PDV],'BOM JESUS'!$M$7)</f>
        <v>1168</v>
      </c>
      <c r="E36" s="123"/>
      <c r="F36" s="12">
        <f>VLOOKUP($E$35,FATORES!$B$34:$E$36,4)</f>
        <v>2.5000000000000001E-4</v>
      </c>
      <c r="G36" s="12">
        <f>IFERROR(VLOOKUP($E$35,FATORES!$B$37:$E$38,4),0)</f>
        <v>0</v>
      </c>
      <c r="H36" s="65">
        <f t="shared" si="9"/>
        <v>0.29199999999999998</v>
      </c>
      <c r="I36" s="65">
        <f t="shared" si="8"/>
        <v>0</v>
      </c>
      <c r="J36" s="65">
        <f t="shared" si="10"/>
        <v>0.29199999999999998</v>
      </c>
      <c r="K36" s="122"/>
      <c r="L36" s="87">
        <f>SUMIFS(REALIZADO[AT_ESSENCIAIS_B],REALIZADO[COORDENAÇÃO],$P$7)</f>
        <v>4199</v>
      </c>
      <c r="M36" s="97"/>
      <c r="N36" s="12">
        <f>IF($M$35&gt;=FATORES!$B$39,FATORES!$E$39,0)</f>
        <v>0</v>
      </c>
      <c r="O36" s="14">
        <f t="shared" si="12"/>
        <v>0</v>
      </c>
      <c r="P36" s="13">
        <f t="shared" si="13"/>
        <v>0.29199999999999998</v>
      </c>
      <c r="Q36" s="15">
        <f>IF($F$8=2,P36*0.05,0)</f>
        <v>0</v>
      </c>
      <c r="R36" s="15">
        <f>IF($F$8=3,P36*0.15,0)</f>
        <v>0</v>
      </c>
      <c r="S36" s="99"/>
      <c r="T36" s="125"/>
    </row>
    <row r="37" spans="2:20" x14ac:dyDescent="0.35">
      <c r="B37" s="46" t="s">
        <v>212</v>
      </c>
      <c r="C37" s="57">
        <f>SUMIFS(REALIZADO[META_SEGUROS],REALIZADO[PDV],'BOM JESUS'!$M$7)</f>
        <v>999.99990000000003</v>
      </c>
      <c r="D37" s="79">
        <f>SUMIFS(REALIZADO[AT_SEGUROS],REALIZADO[PDV],'BOM JESUS'!$M$7)</f>
        <v>85.6</v>
      </c>
      <c r="E37" s="83">
        <f>IFERROR(D37/C37,0)</f>
        <v>8.5600008560000843E-2</v>
      </c>
      <c r="F37" s="83">
        <f>VLOOKUP($E$37,FATORES!$O$32:$Q$34,3)</f>
        <v>5.0000000000000001E-3</v>
      </c>
      <c r="G37" s="12">
        <f>IFERROR(VLOOKUP($E$37,FATORES!$O$35:$Q$36,3),0)</f>
        <v>0</v>
      </c>
      <c r="H37" s="65">
        <f t="shared" si="9"/>
        <v>0.42799999999999999</v>
      </c>
      <c r="I37" s="65">
        <f t="shared" si="8"/>
        <v>0</v>
      </c>
      <c r="J37" s="65">
        <f t="shared" si="10"/>
        <v>0.42799999999999999</v>
      </c>
      <c r="K37" s="57">
        <f>SUMIFS(REALIZADO[META_SEGUROS],REALIZADO[COORDENAÇÃO],$P$7)</f>
        <v>5665</v>
      </c>
      <c r="L37" s="79">
        <f>SUMIFS(REALIZADO[AT_SEGUROS],REALIZADO[COORDENAÇÃO],$P$7)</f>
        <v>420.19999999999993</v>
      </c>
      <c r="M37" s="50">
        <f t="shared" ref="M37:M38" si="14">IFERROR(L37/K37,0)</f>
        <v>7.4174757281553386E-2</v>
      </c>
      <c r="N37" s="12">
        <f>IF($M$37&gt;=FATORES!$O$37,FATORES!$Q$37,0)</f>
        <v>0</v>
      </c>
      <c r="O37" s="14">
        <f t="shared" si="12"/>
        <v>0</v>
      </c>
      <c r="P37" s="13">
        <f t="shared" si="13"/>
        <v>0.42799999999999999</v>
      </c>
      <c r="Q37" s="15">
        <f>IF($G$8=2,P37*0.05,0)</f>
        <v>0</v>
      </c>
      <c r="R37" s="15">
        <f>IF($G$8=3,P37*0.15,0)</f>
        <v>0</v>
      </c>
      <c r="S37" s="99"/>
      <c r="T37" s="125"/>
    </row>
    <row r="38" spans="2:20" x14ac:dyDescent="0.35">
      <c r="B38" s="48" t="s">
        <v>14</v>
      </c>
      <c r="C38" s="76">
        <f>SUMIFS(REALIZADO[META_SVA],REALIZADO[PDV],'BOM JESUS'!$M$7)</f>
        <v>849.99990000000003</v>
      </c>
      <c r="D38" s="77">
        <f>SUMIFS(REALIZADO[AT_SVA],REALIZADO[PDV],'BOM JESUS'!$M$7)</f>
        <v>70.900000000000006</v>
      </c>
      <c r="E38" s="82">
        <f>IFERROR(D38/C38,0)</f>
        <v>8.3411774519032297E-2</v>
      </c>
      <c r="F38" s="16">
        <f>IF($E$38&gt;=0,FATORES!$Q$40)</f>
        <v>5.0000000000000001E-3</v>
      </c>
      <c r="G38" s="16">
        <f>IFERROR(VLOOKUP($E$38,FATORES!$O$43:$Q$44,3),0)</f>
        <v>0</v>
      </c>
      <c r="H38" s="17">
        <f t="shared" si="9"/>
        <v>0.35450000000000004</v>
      </c>
      <c r="I38" s="65">
        <f t="shared" si="8"/>
        <v>0</v>
      </c>
      <c r="J38" s="17">
        <f t="shared" si="10"/>
        <v>0.35450000000000004</v>
      </c>
      <c r="K38" s="76">
        <f>SUMIFS(REALIZADO[META_SVA],REALIZADO[COORDENAÇÃO],$P$7)</f>
        <v>5384.9997999999996</v>
      </c>
      <c r="L38" s="77">
        <f>SUMIFS(REALIZADO[AT_SVA],REALIZADO[COORDENAÇÃO],$P$7)</f>
        <v>461.54999999999995</v>
      </c>
      <c r="M38" s="51">
        <f t="shared" si="14"/>
        <v>8.5710309589983644E-2</v>
      </c>
      <c r="N38" s="16">
        <f>IF($M$38&gt;=FATORES!$O$45,FATORES!$Q$45,0)</f>
        <v>0</v>
      </c>
      <c r="O38" s="14">
        <f t="shared" si="12"/>
        <v>0</v>
      </c>
      <c r="P38" s="18">
        <f t="shared" si="13"/>
        <v>0.35450000000000004</v>
      </c>
      <c r="Q38" s="19">
        <f>IF($H$8=2,P38*0.05,0)</f>
        <v>0</v>
      </c>
      <c r="R38" s="19">
        <f>IF($H$8=3,P38*0.15,0)</f>
        <v>0</v>
      </c>
      <c r="S38" s="100"/>
      <c r="T38" s="126"/>
    </row>
    <row r="39" spans="2:20" x14ac:dyDescent="0.35">
      <c r="B39" s="66"/>
      <c r="C39" s="67"/>
      <c r="D39" s="67"/>
      <c r="E39" s="67"/>
      <c r="F39" s="67"/>
      <c r="G39" s="67"/>
      <c r="H39" s="67"/>
      <c r="I39" s="67"/>
      <c r="J39" s="68"/>
      <c r="K39" s="69"/>
      <c r="L39" s="67"/>
      <c r="M39" s="67"/>
      <c r="N39" s="67"/>
      <c r="O39" s="67"/>
      <c r="P39" s="70">
        <f>SUM(P30:P38)</f>
        <v>14.616300000000001</v>
      </c>
      <c r="Q39" s="70">
        <f t="shared" ref="Q39:R39" si="15">SUM(Q30:Q38)</f>
        <v>0</v>
      </c>
      <c r="R39" s="70">
        <f t="shared" si="15"/>
        <v>0</v>
      </c>
      <c r="S39" s="71" t="str">
        <f>IF($P$7="ARIEL",IF(MIN(E30,E32,E33,E34,E35,E37,E38)&gt;=100%,SUM(P39:R39)*S30,""),IF(MIN(E30:E38)&gt;=100%,SUM(P39:R39)*S30,""))</f>
        <v/>
      </c>
      <c r="T39" s="72"/>
    </row>
    <row r="41" spans="2:20" ht="18.5" x14ac:dyDescent="0.35">
      <c r="B41" s="107" t="s">
        <v>239</v>
      </c>
      <c r="C41" s="108"/>
      <c r="D41" s="108"/>
      <c r="E41" s="108"/>
      <c r="F41" s="108"/>
      <c r="G41" s="108"/>
      <c r="H41" s="108"/>
      <c r="I41" s="108"/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T41" s="108"/>
    </row>
    <row r="42" spans="2:20" x14ac:dyDescent="0.35">
      <c r="B42" s="109" t="s">
        <v>9</v>
      </c>
      <c r="C42" s="110"/>
      <c r="D42" s="110"/>
      <c r="E42" s="110"/>
      <c r="F42" s="110"/>
      <c r="G42" s="110"/>
      <c r="H42" s="110"/>
      <c r="I42" s="110"/>
      <c r="J42" s="111"/>
      <c r="K42" s="112" t="s">
        <v>54</v>
      </c>
      <c r="L42" s="113"/>
      <c r="M42" s="113"/>
      <c r="N42" s="113"/>
      <c r="O42" s="113"/>
      <c r="P42" s="7"/>
      <c r="Q42" s="7"/>
      <c r="R42" s="7"/>
      <c r="S42" s="7"/>
      <c r="T42" s="64"/>
    </row>
    <row r="43" spans="2:20" ht="14.5" customHeight="1" x14ac:dyDescent="0.35">
      <c r="B43" s="114" t="s">
        <v>214</v>
      </c>
      <c r="C43" s="116" t="s">
        <v>237</v>
      </c>
      <c r="D43" s="117"/>
      <c r="E43" s="104"/>
      <c r="F43" s="118" t="s">
        <v>216</v>
      </c>
      <c r="G43" s="118" t="s">
        <v>217</v>
      </c>
      <c r="H43" s="118" t="s">
        <v>218</v>
      </c>
      <c r="I43" s="118" t="s">
        <v>219</v>
      </c>
      <c r="J43" s="118" t="s">
        <v>220</v>
      </c>
      <c r="K43" s="104" t="s">
        <v>238</v>
      </c>
      <c r="L43" s="105"/>
      <c r="M43" s="105"/>
      <c r="N43" s="106" t="s">
        <v>222</v>
      </c>
      <c r="O43" s="106" t="s">
        <v>223</v>
      </c>
      <c r="P43" s="106" t="s">
        <v>224</v>
      </c>
      <c r="Q43" s="106" t="s">
        <v>225</v>
      </c>
      <c r="R43" s="106" t="s">
        <v>226</v>
      </c>
      <c r="S43" s="106" t="s">
        <v>227</v>
      </c>
      <c r="T43" s="119" t="s">
        <v>228</v>
      </c>
    </row>
    <row r="44" spans="2:20" x14ac:dyDescent="0.35">
      <c r="B44" s="115"/>
      <c r="C44" s="94" t="s">
        <v>229</v>
      </c>
      <c r="D44" s="120" t="s">
        <v>230</v>
      </c>
      <c r="E44" s="120"/>
      <c r="F44" s="118"/>
      <c r="G44" s="118"/>
      <c r="H44" s="118"/>
      <c r="I44" s="118"/>
      <c r="J44" s="118"/>
      <c r="K44" s="52" t="s">
        <v>229</v>
      </c>
      <c r="L44" s="120" t="s">
        <v>230</v>
      </c>
      <c r="M44" s="120"/>
      <c r="N44" s="106"/>
      <c r="O44" s="106"/>
      <c r="P44" s="106"/>
      <c r="Q44" s="106"/>
      <c r="R44" s="106"/>
      <c r="S44" s="106"/>
      <c r="T44" s="119"/>
    </row>
    <row r="45" spans="2:20" x14ac:dyDescent="0.35">
      <c r="B45" s="45" t="s">
        <v>2</v>
      </c>
      <c r="C45" s="53"/>
      <c r="D45" s="54">
        <v>0</v>
      </c>
      <c r="E45" s="49">
        <f>IFERROR(D45/C45,0)</f>
        <v>0</v>
      </c>
      <c r="F45" s="8">
        <f>VLOOKUP($E$45,FATORES!$I$32:$K$34,3)</f>
        <v>5.0000000000000001E-3</v>
      </c>
      <c r="G45" s="8">
        <f>IFERROR(VLOOKUP(E45,FATORES!$I$35:$K$36,3),0)</f>
        <v>0</v>
      </c>
      <c r="H45" s="9">
        <f>D45*F45</f>
        <v>0</v>
      </c>
      <c r="I45" s="9">
        <f t="shared" ref="I45:I53" si="16">IF($P$7="ARIEL",
   IF(AND($E$45&gt;=69.5%, AND($E$47&gt;=69.5%, $E$48&gt;=69.5%, $E$48&gt;=69.5%, $E$50&gt;=69.5%, $E$50&gt;=69.5%, $E$52&gt;=69.5%, $E$53&gt;=69.5%)),
      D45*G45,
      0),
   IF(AND($E$45&gt;=69.5%, $E$46&gt;=69.5%, $E$47&gt;=69.5%, $E$48&gt;=69.5%, $E$48&gt;=69.5%, $E$50&gt;=69.5%, $E$50&gt;=69.5%, $E$52&gt;=69.5%, $E$53&gt;=69.5%),
      D45*G45,
      0)
)</f>
        <v>0</v>
      </c>
      <c r="J45" s="9">
        <f>H45+I45</f>
        <v>0</v>
      </c>
      <c r="K45" s="53">
        <v>0</v>
      </c>
      <c r="L45" s="54">
        <v>0</v>
      </c>
      <c r="M45" s="49">
        <f>IFERROR(L45/K45,0)</f>
        <v>0</v>
      </c>
      <c r="N45" s="8">
        <f>IF($M$45&gt;=FATORES!$I$37,FATORES!$K$37,0)</f>
        <v>0</v>
      </c>
      <c r="O45" s="14">
        <f>IF(E45&gt;=100%,
IF($P$7="ARIEL",
   IF(AND($E$45&gt;=69.5%, AND($E$47&gt;=69.5%, $E$48&gt;=69.5%, $E$48&gt;=69.5%, $E$50&gt;=69.5%, $E$50&gt;=69.5%, $E$52&gt;=69.5%, $E$53&gt;=69.5%)),
      D45*N45,
      0),
   IF(AND($E$45&gt;=69.5%, $E$46&gt;=69.5%, $E$47&gt;=69.5%, $E$48&gt;=69.5%, $E$48&gt;=69.5%, $E$50&gt;=69.5%, $E$50&gt;=69.5%, $E$52&gt;=69.5%, $E$53&gt;=69.5%),
      D45*N45,
      0)
),0)</f>
        <v>0</v>
      </c>
      <c r="P45" s="10">
        <f>J45+O45</f>
        <v>0</v>
      </c>
      <c r="Q45" s="11">
        <f>IF($B$8=2,P45*0.05,0)</f>
        <v>0</v>
      </c>
      <c r="R45" s="11">
        <f>IF($B$8=3,P45*0.15,0)</f>
        <v>0</v>
      </c>
      <c r="S45" s="98">
        <v>0.1</v>
      </c>
      <c r="T45" s="101">
        <f>SUM($P$54:$S$54)</f>
        <v>0</v>
      </c>
    </row>
    <row r="46" spans="2:20" x14ac:dyDescent="0.35">
      <c r="B46" s="46" t="s">
        <v>13</v>
      </c>
      <c r="C46" s="55">
        <v>0</v>
      </c>
      <c r="D46" s="56">
        <v>0</v>
      </c>
      <c r="E46" s="50">
        <f>IFERROR(D46/C46,0)</f>
        <v>0</v>
      </c>
      <c r="F46" s="12">
        <f>VLOOKUP($E$46,FATORES!$I$40:$K$42,3)</f>
        <v>5.0000000000000001E-3</v>
      </c>
      <c r="G46" s="12">
        <f>IFERROR(VLOOKUP(E46,FATORES!$I$43:$K$44,3),0)</f>
        <v>0</v>
      </c>
      <c r="H46" s="65">
        <f t="shared" ref="H46:H53" si="17">D46*F46</f>
        <v>0</v>
      </c>
      <c r="I46" s="65">
        <f t="shared" si="16"/>
        <v>0</v>
      </c>
      <c r="J46" s="65">
        <f t="shared" ref="J46:J53" si="18">H46+I46</f>
        <v>0</v>
      </c>
      <c r="K46" s="55">
        <v>0</v>
      </c>
      <c r="L46" s="56">
        <v>0</v>
      </c>
      <c r="M46" s="50">
        <f t="shared" ref="M46:M53" si="19">IFERROR(L46/K46,0)</f>
        <v>0</v>
      </c>
      <c r="N46" s="12">
        <f>IF($M$46&gt;=FATORES!$I$45,FATORES!$K$45,0)</f>
        <v>0</v>
      </c>
      <c r="O46" s="14">
        <f t="shared" ref="O46:O53" si="20">IF(E46&gt;=100%,
IF($P$7="ARIEL",
   IF(AND($E$45&gt;=69.5%, AND($E$47&gt;=69.5%, $E$48&gt;=69.5%, $E$48&gt;=69.5%, $E$50&gt;=69.5%, $E$50&gt;=69.5%, $E$52&gt;=69.5%, $E$53&gt;=69.5%)),
      D46*N46,
      0),
   IF(AND($E$45&gt;=69.5%, $E$46&gt;=69.5%, $E$47&gt;=69.5%, $E$48&gt;=69.5%, $E$48&gt;=69.5%, $E$50&gt;=69.5%, $E$50&gt;=69.5%, $E$52&gt;=69.5%, $E$53&gt;=69.5%),
      D46*N46,
      0)
),0)</f>
        <v>0</v>
      </c>
      <c r="P46" s="13">
        <f t="shared" ref="P46:P53" si="21">J46+O46</f>
        <v>0</v>
      </c>
      <c r="Q46" s="15">
        <f>IF($C$8=2,P46*0.05,0)</f>
        <v>0</v>
      </c>
      <c r="R46" s="15">
        <f>IF($C$8=3,P46*0.15,0)</f>
        <v>0</v>
      </c>
      <c r="S46" s="99"/>
      <c r="T46" s="102"/>
    </row>
    <row r="47" spans="2:20" x14ac:dyDescent="0.35">
      <c r="B47" s="46" t="s">
        <v>231</v>
      </c>
      <c r="C47" s="55">
        <v>0</v>
      </c>
      <c r="D47" s="56">
        <v>0</v>
      </c>
      <c r="E47" s="50">
        <f>IFERROR(D47/C47,0)</f>
        <v>0</v>
      </c>
      <c r="F47" s="12">
        <f>VLOOKUP($E$47,FATORES!$B$53:$D$54,3)</f>
        <v>2.0000000000000001E-4</v>
      </c>
      <c r="G47" s="12">
        <f>IFERROR(VLOOKUP(E47,FATORES!$B$55:$D$55,3),0)</f>
        <v>0</v>
      </c>
      <c r="H47" s="65">
        <f t="shared" si="17"/>
        <v>0</v>
      </c>
      <c r="I47" s="65">
        <f t="shared" si="16"/>
        <v>0</v>
      </c>
      <c r="J47" s="65">
        <f t="shared" si="18"/>
        <v>0</v>
      </c>
      <c r="K47" s="55">
        <v>0</v>
      </c>
      <c r="L47" s="56">
        <v>0</v>
      </c>
      <c r="M47" s="50">
        <f t="shared" si="19"/>
        <v>0</v>
      </c>
      <c r="N47" s="12">
        <f>IF($M$47&gt;=FATORES!$B$56,FATORES!$D$56,0)</f>
        <v>0</v>
      </c>
      <c r="O47" s="14">
        <f t="shared" si="20"/>
        <v>0</v>
      </c>
      <c r="P47" s="13">
        <f t="shared" si="21"/>
        <v>0</v>
      </c>
      <c r="Q47" s="15">
        <f>IF($D$8=2,P47*0.05,0)</f>
        <v>0</v>
      </c>
      <c r="R47" s="15">
        <f>IF($D$8=3,P47*0.15,0)</f>
        <v>0</v>
      </c>
      <c r="S47" s="99"/>
      <c r="T47" s="102"/>
    </row>
    <row r="48" spans="2:20" x14ac:dyDescent="0.35">
      <c r="B48" s="47" t="s">
        <v>232</v>
      </c>
      <c r="C48" s="96">
        <v>0</v>
      </c>
      <c r="D48" s="56">
        <v>0</v>
      </c>
      <c r="E48" s="97">
        <f>IFERROR((D48+D49)/C48,0)</f>
        <v>0</v>
      </c>
      <c r="F48" s="12">
        <f>VLOOKUP($E$48,FATORES!$B$44:$E$46,3)</f>
        <v>5.0000000000000001E-4</v>
      </c>
      <c r="G48" s="12">
        <f>IFERROR(VLOOKUP(E48,FATORES!$B$47:$E$48,3),0)</f>
        <v>0</v>
      </c>
      <c r="H48" s="65">
        <f t="shared" si="17"/>
        <v>0</v>
      </c>
      <c r="I48" s="65">
        <f t="shared" si="16"/>
        <v>0</v>
      </c>
      <c r="J48" s="65">
        <f t="shared" si="18"/>
        <v>0</v>
      </c>
      <c r="K48" s="96">
        <v>0</v>
      </c>
      <c r="L48" s="56">
        <v>0</v>
      </c>
      <c r="M48" s="97">
        <f>IFERROR((L48+L49)/K48,0)</f>
        <v>0</v>
      </c>
      <c r="N48" s="12">
        <f>IF($M$48&gt;=FATORES!$B$49,FATORES!$D$49,0)</f>
        <v>0</v>
      </c>
      <c r="O48" s="14">
        <f t="shared" si="20"/>
        <v>0</v>
      </c>
      <c r="P48" s="13">
        <f t="shared" si="21"/>
        <v>0</v>
      </c>
      <c r="Q48" s="15">
        <f>IF($E$8=2,P48*0.05,0)</f>
        <v>0</v>
      </c>
      <c r="R48" s="15">
        <f>IF($E$8=3,P48*0.15,0)</f>
        <v>0</v>
      </c>
      <c r="S48" s="99"/>
      <c r="T48" s="102"/>
    </row>
    <row r="49" spans="2:20" x14ac:dyDescent="0.35">
      <c r="B49" s="47" t="s">
        <v>233</v>
      </c>
      <c r="C49" s="96"/>
      <c r="D49" s="56">
        <v>0</v>
      </c>
      <c r="E49" s="97"/>
      <c r="F49" s="12">
        <f>VLOOKUP($E$48,FATORES!$B$44:$E$46,4)</f>
        <v>2.5000000000000001E-4</v>
      </c>
      <c r="G49" s="12">
        <f>IFERROR(VLOOKUP(E48,FATORES!$B$47:$E$48,4),0)</f>
        <v>0</v>
      </c>
      <c r="H49" s="65">
        <f t="shared" si="17"/>
        <v>0</v>
      </c>
      <c r="I49" s="65">
        <f t="shared" si="16"/>
        <v>0</v>
      </c>
      <c r="J49" s="65">
        <f t="shared" si="18"/>
        <v>0</v>
      </c>
      <c r="K49" s="96"/>
      <c r="L49" s="56">
        <v>0</v>
      </c>
      <c r="M49" s="97"/>
      <c r="N49" s="12">
        <f>IF($M$48&gt;=FATORES!$B$49,FATORES!$E$49,0)</f>
        <v>0</v>
      </c>
      <c r="O49" s="14">
        <f t="shared" si="20"/>
        <v>0</v>
      </c>
      <c r="P49" s="13">
        <f t="shared" si="21"/>
        <v>0</v>
      </c>
      <c r="Q49" s="15">
        <f>IF($E$8=2,P49*0.05,0)</f>
        <v>0</v>
      </c>
      <c r="R49" s="15">
        <f>IF($E$8=3,P49*0.15,0)</f>
        <v>0</v>
      </c>
      <c r="S49" s="99"/>
      <c r="T49" s="102"/>
    </row>
    <row r="50" spans="2:20" x14ac:dyDescent="0.35">
      <c r="B50" s="46" t="s">
        <v>234</v>
      </c>
      <c r="C50" s="96">
        <v>0</v>
      </c>
      <c r="D50" s="56">
        <v>0</v>
      </c>
      <c r="E50" s="97">
        <f>IFERROR((D50+D51)/C50,0)</f>
        <v>0</v>
      </c>
      <c r="F50" s="12">
        <f>VLOOKUP($E$50,FATORES!$B$34:$E$36,3)</f>
        <v>5.0000000000000001E-4</v>
      </c>
      <c r="G50" s="12">
        <f>IFERROR(VLOOKUP(E50,FATORES!$B$37:$E$38,3),0)</f>
        <v>0</v>
      </c>
      <c r="H50" s="65">
        <f t="shared" si="17"/>
        <v>0</v>
      </c>
      <c r="I50" s="65">
        <f t="shared" si="16"/>
        <v>0</v>
      </c>
      <c r="J50" s="65">
        <f t="shared" si="18"/>
        <v>0</v>
      </c>
      <c r="K50" s="96">
        <v>0</v>
      </c>
      <c r="L50" s="56">
        <v>0</v>
      </c>
      <c r="M50" s="97">
        <f>IFERROR((L50+L51)/K50,0)</f>
        <v>0</v>
      </c>
      <c r="N50" s="12">
        <f>IF($M$50&gt;=FATORES!$B$39,FATORES!$D$39,0)</f>
        <v>0</v>
      </c>
      <c r="O50" s="14">
        <f t="shared" si="20"/>
        <v>0</v>
      </c>
      <c r="P50" s="13">
        <f t="shared" si="21"/>
        <v>0</v>
      </c>
      <c r="Q50" s="15">
        <f>IF($F$8=2,P50*0.05,0)</f>
        <v>0</v>
      </c>
      <c r="R50" s="15">
        <f>IF($F$8=3,P50*0.15,0)</f>
        <v>0</v>
      </c>
      <c r="S50" s="99"/>
      <c r="T50" s="102"/>
    </row>
    <row r="51" spans="2:20" x14ac:dyDescent="0.35">
      <c r="B51" s="46" t="s">
        <v>235</v>
      </c>
      <c r="C51" s="96"/>
      <c r="D51" s="56">
        <v>0</v>
      </c>
      <c r="E51" s="97"/>
      <c r="F51" s="12">
        <f>VLOOKUP($E$50,FATORES!$B$34:$E$36,4)</f>
        <v>2.5000000000000001E-4</v>
      </c>
      <c r="G51" s="12">
        <f>IFERROR(VLOOKUP(E50,FATORES!$B$37:$E$38,4),0)</f>
        <v>0</v>
      </c>
      <c r="H51" s="65">
        <f t="shared" si="17"/>
        <v>0</v>
      </c>
      <c r="I51" s="65">
        <f t="shared" si="16"/>
        <v>0</v>
      </c>
      <c r="J51" s="65">
        <f t="shared" si="18"/>
        <v>0</v>
      </c>
      <c r="K51" s="96"/>
      <c r="L51" s="56">
        <v>0</v>
      </c>
      <c r="M51" s="97"/>
      <c r="N51" s="12">
        <f>IF($M$50&gt;=FATORES!$B$39,FATORES!$E$39,0)</f>
        <v>0</v>
      </c>
      <c r="O51" s="14">
        <f t="shared" si="20"/>
        <v>0</v>
      </c>
      <c r="P51" s="13">
        <f t="shared" si="21"/>
        <v>0</v>
      </c>
      <c r="Q51" s="15">
        <f>IF($F$8=2,P51*0.05,0)</f>
        <v>0</v>
      </c>
      <c r="R51" s="15">
        <f>IF($F$8=3,P51*0.15,0)</f>
        <v>0</v>
      </c>
      <c r="S51" s="99"/>
      <c r="T51" s="102"/>
    </row>
    <row r="52" spans="2:20" x14ac:dyDescent="0.35">
      <c r="B52" s="46" t="s">
        <v>212</v>
      </c>
      <c r="C52" s="55">
        <v>0</v>
      </c>
      <c r="D52" s="56">
        <v>0</v>
      </c>
      <c r="E52" s="50">
        <f>IFERROR(D52/C52,0)</f>
        <v>0</v>
      </c>
      <c r="F52" s="83">
        <f>VLOOKUP($E$52,FATORES!$O$32:$Q$34,3)</f>
        <v>5.0000000000000001E-3</v>
      </c>
      <c r="G52" s="12">
        <f>IFERROR(VLOOKUP(E52,FATORES!$O$35:$Q$36,3),0)</f>
        <v>0</v>
      </c>
      <c r="H52" s="65">
        <f t="shared" si="17"/>
        <v>0</v>
      </c>
      <c r="I52" s="65">
        <f t="shared" si="16"/>
        <v>0</v>
      </c>
      <c r="J52" s="65">
        <f t="shared" si="18"/>
        <v>0</v>
      </c>
      <c r="K52" s="55">
        <v>0</v>
      </c>
      <c r="L52" s="56">
        <v>0</v>
      </c>
      <c r="M52" s="50">
        <f t="shared" si="19"/>
        <v>0</v>
      </c>
      <c r="N52" s="12">
        <f>IF($M$52&gt;=FATORES!$O$37,FATORES!$Q$37,0)</f>
        <v>0</v>
      </c>
      <c r="O52" s="14">
        <f t="shared" si="20"/>
        <v>0</v>
      </c>
      <c r="P52" s="13">
        <f t="shared" si="21"/>
        <v>0</v>
      </c>
      <c r="Q52" s="15">
        <f>IF($G$8=2,P52*0.05,0)</f>
        <v>0</v>
      </c>
      <c r="R52" s="15">
        <f>IF($G$8=3,P52*0.15,0)</f>
        <v>0</v>
      </c>
      <c r="S52" s="99"/>
      <c r="T52" s="102"/>
    </row>
    <row r="53" spans="2:20" x14ac:dyDescent="0.35">
      <c r="B53" s="48" t="s">
        <v>14</v>
      </c>
      <c r="C53" s="57">
        <v>0</v>
      </c>
      <c r="D53" s="58">
        <v>0</v>
      </c>
      <c r="E53" s="51">
        <f>IFERROR(D53/C53,0)</f>
        <v>0</v>
      </c>
      <c r="F53" s="16">
        <f>IF($E$53&gt;=0,FATORES!$Q$40)</f>
        <v>5.0000000000000001E-3</v>
      </c>
      <c r="G53" s="16">
        <f>IFERROR(VLOOKUP(E53,FATORES!$O$43:$Q$44,3),0)</f>
        <v>0</v>
      </c>
      <c r="H53" s="17">
        <f t="shared" si="17"/>
        <v>0</v>
      </c>
      <c r="I53" s="65">
        <f t="shared" si="16"/>
        <v>0</v>
      </c>
      <c r="J53" s="17">
        <f t="shared" si="18"/>
        <v>0</v>
      </c>
      <c r="K53" s="57">
        <v>0</v>
      </c>
      <c r="L53" s="58">
        <v>0</v>
      </c>
      <c r="M53" s="51">
        <f t="shared" si="19"/>
        <v>0</v>
      </c>
      <c r="N53" s="16">
        <f>IF($M$53&gt;=FATORES!$O$45,FATORES!$Q$45,0)</f>
        <v>0</v>
      </c>
      <c r="O53" s="14">
        <f t="shared" si="20"/>
        <v>0</v>
      </c>
      <c r="P53" s="18">
        <f t="shared" si="21"/>
        <v>0</v>
      </c>
      <c r="Q53" s="19">
        <f>IF($H$8=2,P53*0.05,0)</f>
        <v>0</v>
      </c>
      <c r="R53" s="19">
        <f>IF($H$8=3,P53*0.15,0)</f>
        <v>0</v>
      </c>
      <c r="S53" s="100"/>
      <c r="T53" s="103"/>
    </row>
    <row r="54" spans="2:20" x14ac:dyDescent="0.35">
      <c r="B54" s="66"/>
      <c r="C54" s="67"/>
      <c r="D54" s="67"/>
      <c r="E54" s="67"/>
      <c r="F54" s="67"/>
      <c r="G54" s="67"/>
      <c r="H54" s="67"/>
      <c r="I54" s="67"/>
      <c r="J54" s="68"/>
      <c r="K54" s="69"/>
      <c r="L54" s="67"/>
      <c r="M54" s="67"/>
      <c r="N54" s="67"/>
      <c r="O54" s="67"/>
      <c r="P54" s="70">
        <f>SUM(P45:P53)</f>
        <v>0</v>
      </c>
      <c r="Q54" s="70">
        <f t="shared" ref="Q54:R54" si="22">SUM(Q45:Q53)</f>
        <v>0</v>
      </c>
      <c r="R54" s="70">
        <f t="shared" si="22"/>
        <v>0</v>
      </c>
      <c r="S54" s="71" t="str">
        <f>IF($P$7="ARIEL",IF(MIN(E45,E47,E48,E49,E50,E52,E53)&gt;=99.99%,SUM(P54:R54)*S45,""),IF(MIN(E45:E53)&gt;=99.99%,SUM(P54:R54)*S45,""))</f>
        <v/>
      </c>
      <c r="T54" s="72"/>
    </row>
  </sheetData>
  <sheetProtection algorithmName="SHA-512" hashValue="yfeKYa3GOWQ939oFnlZfuHToySOS0z1rHsemr+nqR1IxQ2J9zveT1HOdYjmR5gOvyS/6VZf+sW5q78yMNNZ2WA==" saltValue="i4DFBPFS6t9rPRSte909oQ==" spinCount="100000" sheet="1" objects="1" scenarios="1"/>
  <protectedRanges>
    <protectedRange sqref="B8:H8 C45:D53 K45:L53" name="Intervalo1"/>
  </protectedRanges>
  <mergeCells count="94">
    <mergeCell ref="I13:I14"/>
    <mergeCell ref="B12:J12"/>
    <mergeCell ref="K12:T12"/>
    <mergeCell ref="B2:T4"/>
    <mergeCell ref="B6:H6"/>
    <mergeCell ref="M6:N6"/>
    <mergeCell ref="M7:N7"/>
    <mergeCell ref="B11:T11"/>
    <mergeCell ref="B13:B14"/>
    <mergeCell ref="C13:E13"/>
    <mergeCell ref="F13:F14"/>
    <mergeCell ref="G13:G14"/>
    <mergeCell ref="H13:H14"/>
    <mergeCell ref="D14:E14"/>
    <mergeCell ref="J13:J14"/>
    <mergeCell ref="K13:M13"/>
    <mergeCell ref="S13:S14"/>
    <mergeCell ref="T13:T14"/>
    <mergeCell ref="L14:M14"/>
    <mergeCell ref="N13:N14"/>
    <mergeCell ref="O13:O14"/>
    <mergeCell ref="P13:P14"/>
    <mergeCell ref="Q13:Q14"/>
    <mergeCell ref="R13:R14"/>
    <mergeCell ref="C20:C21"/>
    <mergeCell ref="E20:E21"/>
    <mergeCell ref="K20:K21"/>
    <mergeCell ref="M20:M21"/>
    <mergeCell ref="B26:T26"/>
    <mergeCell ref="S15:S23"/>
    <mergeCell ref="T15:T23"/>
    <mergeCell ref="C18:C19"/>
    <mergeCell ref="E18:E19"/>
    <mergeCell ref="K18:K19"/>
    <mergeCell ref="M18:M19"/>
    <mergeCell ref="B27:J27"/>
    <mergeCell ref="K27:T27"/>
    <mergeCell ref="B28:B29"/>
    <mergeCell ref="C28:E28"/>
    <mergeCell ref="F28:F29"/>
    <mergeCell ref="G28:G29"/>
    <mergeCell ref="H28:H29"/>
    <mergeCell ref="I28:I29"/>
    <mergeCell ref="J28:J29"/>
    <mergeCell ref="S28:S29"/>
    <mergeCell ref="T28:T29"/>
    <mergeCell ref="D29:E29"/>
    <mergeCell ref="L29:M29"/>
    <mergeCell ref="S30:S38"/>
    <mergeCell ref="T30:T38"/>
    <mergeCell ref="K28:M28"/>
    <mergeCell ref="N28:N29"/>
    <mergeCell ref="O28:O29"/>
    <mergeCell ref="P28:P29"/>
    <mergeCell ref="Q28:Q29"/>
    <mergeCell ref="R28:R29"/>
    <mergeCell ref="C33:C34"/>
    <mergeCell ref="E33:E34"/>
    <mergeCell ref="K33:K34"/>
    <mergeCell ref="M33:M34"/>
    <mergeCell ref="C35:C36"/>
    <mergeCell ref="E35:E36"/>
    <mergeCell ref="K35:K36"/>
    <mergeCell ref="M35:M36"/>
    <mergeCell ref="B41:T41"/>
    <mergeCell ref="B42:J42"/>
    <mergeCell ref="K42:O42"/>
    <mergeCell ref="B43:B44"/>
    <mergeCell ref="C43:E43"/>
    <mergeCell ref="F43:F44"/>
    <mergeCell ref="G43:G44"/>
    <mergeCell ref="H43:H44"/>
    <mergeCell ref="I43:I44"/>
    <mergeCell ref="J43:J44"/>
    <mergeCell ref="S43:S44"/>
    <mergeCell ref="T43:T44"/>
    <mergeCell ref="D44:E44"/>
    <mergeCell ref="L44:M44"/>
    <mergeCell ref="S45:S53"/>
    <mergeCell ref="T45:T53"/>
    <mergeCell ref="K43:M43"/>
    <mergeCell ref="N43:N44"/>
    <mergeCell ref="O43:O44"/>
    <mergeCell ref="P43:P44"/>
    <mergeCell ref="Q43:Q44"/>
    <mergeCell ref="R43:R44"/>
    <mergeCell ref="C48:C49"/>
    <mergeCell ref="E48:E49"/>
    <mergeCell ref="K48:K49"/>
    <mergeCell ref="M48:M49"/>
    <mergeCell ref="C50:C51"/>
    <mergeCell ref="E50:E51"/>
    <mergeCell ref="K50:K51"/>
    <mergeCell ref="M50:M51"/>
  </mergeCells>
  <conditionalFormatting sqref="E15:E18 E20 E22:E23">
    <cfRule type="cellIs" dxfId="738" priority="22" operator="between">
      <formula>0.7</formula>
      <formula>1</formula>
    </cfRule>
    <cfRule type="cellIs" dxfId="737" priority="23" operator="greaterThanOrEqual">
      <formula>1</formula>
    </cfRule>
    <cfRule type="cellIs" dxfId="736" priority="24" operator="lessThan">
      <formula>0.7</formula>
    </cfRule>
  </conditionalFormatting>
  <conditionalFormatting sqref="E30:E33 E35 E37:E38">
    <cfRule type="cellIs" dxfId="735" priority="10" operator="between">
      <formula>0.7</formula>
      <formula>1</formula>
    </cfRule>
    <cfRule type="cellIs" dxfId="734" priority="11" operator="greaterThanOrEqual">
      <formula>1</formula>
    </cfRule>
    <cfRule type="cellIs" dxfId="733" priority="12" operator="lessThan">
      <formula>0.7</formula>
    </cfRule>
  </conditionalFormatting>
  <conditionalFormatting sqref="E45:E48 E50 E52:E53">
    <cfRule type="cellIs" dxfId="732" priority="34" operator="between">
      <formula>0.7</formula>
      <formula>1</formula>
    </cfRule>
    <cfRule type="cellIs" dxfId="731" priority="35" operator="greaterThanOrEqual">
      <formula>1</formula>
    </cfRule>
    <cfRule type="cellIs" dxfId="730" priority="36" operator="lessThan">
      <formula>0.7</formula>
    </cfRule>
  </conditionalFormatting>
  <conditionalFormatting sqref="M15:M18">
    <cfRule type="cellIs" dxfId="729" priority="16" operator="between">
      <formula>0.7</formula>
      <formula>1</formula>
    </cfRule>
    <cfRule type="cellIs" dxfId="728" priority="17" operator="greaterThanOrEqual">
      <formula>1</formula>
    </cfRule>
    <cfRule type="cellIs" dxfId="727" priority="18" operator="lessThan">
      <formula>0.7</formula>
    </cfRule>
  </conditionalFormatting>
  <conditionalFormatting sqref="M20">
    <cfRule type="cellIs" dxfId="726" priority="13" operator="between">
      <formula>0.7</formula>
      <formula>1</formula>
    </cfRule>
    <cfRule type="cellIs" dxfId="725" priority="14" operator="greaterThanOrEqual">
      <formula>1</formula>
    </cfRule>
    <cfRule type="cellIs" dxfId="724" priority="15" operator="lessThan">
      <formula>0.7</formula>
    </cfRule>
  </conditionalFormatting>
  <conditionalFormatting sqref="M22:M23">
    <cfRule type="cellIs" dxfId="723" priority="19" operator="between">
      <formula>0.7</formula>
      <formula>1</formula>
    </cfRule>
    <cfRule type="cellIs" dxfId="722" priority="20" operator="greaterThanOrEqual">
      <formula>1</formula>
    </cfRule>
    <cfRule type="cellIs" dxfId="721" priority="21" operator="lessThan">
      <formula>0.7</formula>
    </cfRule>
  </conditionalFormatting>
  <conditionalFormatting sqref="M30:M33">
    <cfRule type="cellIs" dxfId="720" priority="4" operator="between">
      <formula>0.7</formula>
      <formula>1</formula>
    </cfRule>
    <cfRule type="cellIs" dxfId="719" priority="5" operator="greaterThanOrEqual">
      <formula>1</formula>
    </cfRule>
    <cfRule type="cellIs" dxfId="718" priority="6" operator="lessThan">
      <formula>0.7</formula>
    </cfRule>
  </conditionalFormatting>
  <conditionalFormatting sqref="M35">
    <cfRule type="cellIs" dxfId="717" priority="1" operator="between">
      <formula>0.7</formula>
      <formula>1</formula>
    </cfRule>
    <cfRule type="cellIs" dxfId="716" priority="2" operator="greaterThanOrEqual">
      <formula>1</formula>
    </cfRule>
    <cfRule type="cellIs" dxfId="715" priority="3" operator="lessThan">
      <formula>0.7</formula>
    </cfRule>
  </conditionalFormatting>
  <conditionalFormatting sqref="M37:M38">
    <cfRule type="cellIs" dxfId="714" priority="7" operator="between">
      <formula>0.7</formula>
      <formula>1</formula>
    </cfRule>
    <cfRule type="cellIs" dxfId="713" priority="8" operator="greaterThanOrEqual">
      <formula>1</formula>
    </cfRule>
    <cfRule type="cellIs" dxfId="712" priority="9" operator="lessThan">
      <formula>0.7</formula>
    </cfRule>
  </conditionalFormatting>
  <conditionalFormatting sqref="M45:M48">
    <cfRule type="cellIs" dxfId="711" priority="28" operator="between">
      <formula>0.7</formula>
      <formula>1</formula>
    </cfRule>
    <cfRule type="cellIs" dxfId="710" priority="29" operator="greaterThanOrEqual">
      <formula>1</formula>
    </cfRule>
    <cfRule type="cellIs" dxfId="709" priority="30" operator="lessThan">
      <formula>0.7</formula>
    </cfRule>
  </conditionalFormatting>
  <conditionalFormatting sqref="M50">
    <cfRule type="cellIs" dxfId="708" priority="25" operator="between">
      <formula>0.7</formula>
      <formula>1</formula>
    </cfRule>
    <cfRule type="cellIs" dxfId="707" priority="26" operator="greaterThanOrEqual">
      <formula>1</formula>
    </cfRule>
    <cfRule type="cellIs" dxfId="706" priority="27" operator="lessThan">
      <formula>0.7</formula>
    </cfRule>
  </conditionalFormatting>
  <conditionalFormatting sqref="M52:M53">
    <cfRule type="cellIs" dxfId="705" priority="31" operator="between">
      <formula>0.7</formula>
      <formula>1</formula>
    </cfRule>
    <cfRule type="cellIs" dxfId="704" priority="32" operator="greaterThanOrEqual">
      <formula>1</formula>
    </cfRule>
    <cfRule type="cellIs" dxfId="703" priority="33" operator="lessThan">
      <formula>0.7</formula>
    </cfRule>
  </conditionalFormatting>
  <dataValidations count="1">
    <dataValidation type="list" allowBlank="1" showInputMessage="1" showErrorMessage="1" sqref="B8:H8" xr:uid="{E2F37FAE-F19D-40C3-9794-E583531EB9A1}">
      <formula1>$V$6:$X$6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D1225-6DF5-4228-9B7A-2F67BA0CB279}">
  <dimension ref="B1:X54"/>
  <sheetViews>
    <sheetView showGridLines="0" zoomScale="70" zoomScaleNormal="70" workbookViewId="0">
      <selection activeCell="L46" sqref="L46"/>
    </sheetView>
  </sheetViews>
  <sheetFormatPr defaultRowHeight="14.5" x14ac:dyDescent="0.35"/>
  <cols>
    <col min="1" max="1" width="2.1796875" customWidth="1"/>
    <col min="2" max="2" width="16.453125" customWidth="1"/>
    <col min="3" max="3" width="13.7265625" bestFit="1" customWidth="1"/>
    <col min="4" max="4" width="14.54296875" customWidth="1"/>
    <col min="5" max="5" width="13.453125" bestFit="1" customWidth="1"/>
    <col min="6" max="6" width="14" customWidth="1"/>
    <col min="7" max="7" width="18.7265625" customWidth="1"/>
    <col min="8" max="8" width="15" customWidth="1"/>
    <col min="9" max="9" width="20" customWidth="1"/>
    <col min="10" max="10" width="21.1796875" customWidth="1"/>
    <col min="11" max="12" width="16.453125" customWidth="1"/>
    <col min="13" max="13" width="9.7265625" customWidth="1"/>
    <col min="14" max="14" width="20.54296875" customWidth="1"/>
    <col min="15" max="15" width="21" customWidth="1"/>
    <col min="16" max="16" width="15.26953125" customWidth="1"/>
    <col min="17" max="17" width="13" bestFit="1" customWidth="1"/>
    <col min="18" max="18" width="10.453125" bestFit="1" customWidth="1"/>
    <col min="19" max="19" width="12.7265625" bestFit="1" customWidth="1"/>
    <col min="20" max="20" width="14.453125" customWidth="1"/>
  </cols>
  <sheetData>
    <row r="1" spans="2:24" x14ac:dyDescent="0.35">
      <c r="B1" s="59"/>
    </row>
    <row r="2" spans="2:24" x14ac:dyDescent="0.35">
      <c r="B2" s="143" t="s">
        <v>207</v>
      </c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5"/>
    </row>
    <row r="3" spans="2:24" x14ac:dyDescent="0.35">
      <c r="B3" s="146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8"/>
    </row>
    <row r="4" spans="2:24" x14ac:dyDescent="0.35">
      <c r="B4" s="149"/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1"/>
    </row>
    <row r="5" spans="2:24" x14ac:dyDescent="0.35">
      <c r="B5" s="60"/>
      <c r="T5" s="61"/>
    </row>
    <row r="6" spans="2:24" ht="14.5" customHeight="1" x14ac:dyDescent="0.35">
      <c r="B6" s="152" t="s">
        <v>208</v>
      </c>
      <c r="C6" s="153"/>
      <c r="D6" s="153"/>
      <c r="E6" s="153"/>
      <c r="F6" s="153"/>
      <c r="G6" s="153"/>
      <c r="H6" s="154"/>
      <c r="M6" s="155" t="s">
        <v>54</v>
      </c>
      <c r="N6" s="156"/>
      <c r="P6" s="74" t="s">
        <v>23</v>
      </c>
      <c r="T6" s="61"/>
      <c r="V6" s="1">
        <v>0</v>
      </c>
      <c r="W6" s="1">
        <v>2</v>
      </c>
      <c r="X6" s="1">
        <v>3</v>
      </c>
    </row>
    <row r="7" spans="2:24" ht="14.5" customHeight="1" x14ac:dyDescent="0.35">
      <c r="B7" s="62" t="s">
        <v>209</v>
      </c>
      <c r="C7" s="2" t="s">
        <v>13</v>
      </c>
      <c r="D7" s="2" t="s">
        <v>210</v>
      </c>
      <c r="E7" s="2" t="s">
        <v>16</v>
      </c>
      <c r="F7" s="2" t="s">
        <v>211</v>
      </c>
      <c r="G7" s="2" t="s">
        <v>212</v>
      </c>
      <c r="H7" s="3" t="s">
        <v>14</v>
      </c>
      <c r="M7" s="157" t="s">
        <v>30</v>
      </c>
      <c r="N7" s="158"/>
      <c r="P7" s="75" t="s">
        <v>28</v>
      </c>
      <c r="T7" s="61"/>
    </row>
    <row r="8" spans="2:24" ht="14.5" customHeight="1" x14ac:dyDescent="0.35">
      <c r="B8" s="63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5">
        <v>0</v>
      </c>
      <c r="T8" s="61"/>
    </row>
    <row r="9" spans="2:24" x14ac:dyDescent="0.35">
      <c r="B9" s="84"/>
      <c r="C9" s="85"/>
      <c r="D9" s="85"/>
      <c r="E9" s="85"/>
      <c r="F9" s="85"/>
      <c r="G9" s="85"/>
      <c r="H9" s="85"/>
    </row>
    <row r="10" spans="2:24" x14ac:dyDescent="0.35">
      <c r="B10" s="84"/>
      <c r="C10" s="85"/>
      <c r="D10" s="85"/>
      <c r="E10" s="85"/>
      <c r="F10" s="85"/>
      <c r="G10" s="85"/>
      <c r="H10" s="85"/>
    </row>
    <row r="11" spans="2:24" ht="18.5" x14ac:dyDescent="0.35">
      <c r="B11" s="159" t="s">
        <v>213</v>
      </c>
      <c r="C11" s="160"/>
      <c r="D11" s="160"/>
      <c r="E11" s="160"/>
      <c r="F11" s="160"/>
      <c r="G11" s="160"/>
      <c r="H11" s="160"/>
      <c r="I11" s="160"/>
      <c r="J11" s="160"/>
      <c r="K11" s="160"/>
      <c r="L11" s="160"/>
      <c r="M11" s="160"/>
      <c r="N11" s="160"/>
      <c r="O11" s="160"/>
      <c r="P11" s="160"/>
      <c r="Q11" s="160"/>
      <c r="R11" s="160"/>
      <c r="S11" s="160"/>
      <c r="T11" s="160"/>
    </row>
    <row r="12" spans="2:24" x14ac:dyDescent="0.35">
      <c r="B12" s="129" t="s">
        <v>9</v>
      </c>
      <c r="C12" s="130"/>
      <c r="D12" s="130"/>
      <c r="E12" s="130"/>
      <c r="F12" s="130"/>
      <c r="G12" s="130"/>
      <c r="H12" s="130"/>
      <c r="I12" s="130"/>
      <c r="J12" s="131"/>
      <c r="K12" s="132" t="s">
        <v>54</v>
      </c>
      <c r="L12" s="130"/>
      <c r="M12" s="130"/>
      <c r="N12" s="130"/>
      <c r="O12" s="130"/>
      <c r="P12" s="130"/>
      <c r="Q12" s="130"/>
      <c r="R12" s="130"/>
      <c r="S12" s="130"/>
      <c r="T12" s="133"/>
    </row>
    <row r="13" spans="2:24" ht="14.5" customHeight="1" x14ac:dyDescent="0.35">
      <c r="B13" s="115" t="s">
        <v>214</v>
      </c>
      <c r="C13" s="116" t="s">
        <v>215</v>
      </c>
      <c r="D13" s="117"/>
      <c r="E13" s="104"/>
      <c r="F13" s="135" t="s">
        <v>216</v>
      </c>
      <c r="G13" s="135" t="s">
        <v>217</v>
      </c>
      <c r="H13" s="135" t="s">
        <v>218</v>
      </c>
      <c r="I13" s="135" t="s">
        <v>219</v>
      </c>
      <c r="J13" s="135" t="s">
        <v>220</v>
      </c>
      <c r="K13" s="116" t="s">
        <v>221</v>
      </c>
      <c r="L13" s="117"/>
      <c r="M13" s="104"/>
      <c r="N13" s="127" t="s">
        <v>222</v>
      </c>
      <c r="O13" s="127" t="s">
        <v>223</v>
      </c>
      <c r="P13" s="127" t="s">
        <v>224</v>
      </c>
      <c r="Q13" s="127" t="s">
        <v>225</v>
      </c>
      <c r="R13" s="127" t="s">
        <v>226</v>
      </c>
      <c r="S13" s="127" t="s">
        <v>227</v>
      </c>
      <c r="T13" s="137" t="s">
        <v>228</v>
      </c>
    </row>
    <row r="14" spans="2:24" x14ac:dyDescent="0.35">
      <c r="B14" s="134"/>
      <c r="C14" s="94" t="s">
        <v>229</v>
      </c>
      <c r="D14" s="139" t="s">
        <v>230</v>
      </c>
      <c r="E14" s="140"/>
      <c r="F14" s="136"/>
      <c r="G14" s="136"/>
      <c r="H14" s="136"/>
      <c r="I14" s="136"/>
      <c r="J14" s="136"/>
      <c r="K14" s="52" t="s">
        <v>229</v>
      </c>
      <c r="L14" s="139" t="s">
        <v>230</v>
      </c>
      <c r="M14" s="140"/>
      <c r="N14" s="128"/>
      <c r="O14" s="128"/>
      <c r="P14" s="128"/>
      <c r="Q14" s="128"/>
      <c r="R14" s="128"/>
      <c r="S14" s="128"/>
      <c r="T14" s="138"/>
    </row>
    <row r="15" spans="2:24" x14ac:dyDescent="0.35">
      <c r="B15" s="45" t="s">
        <v>2</v>
      </c>
      <c r="C15" s="76">
        <f>SUMIFS(REALIZADO[META_MOVEL],REALIZADO[PDV],ICONHA!$M$7)</f>
        <v>4450</v>
      </c>
      <c r="D15" s="77">
        <f>SUMIFS(PROJEÇÃO[PROJ_MOVEL],PROJEÇÃO[PDV],ICONHA!$M$7)</f>
        <v>4583.2222000000002</v>
      </c>
      <c r="E15" s="49">
        <f>IFERROR(D15/C15,0)</f>
        <v>1.0299375730337079</v>
      </c>
      <c r="F15" s="8">
        <f>VLOOKUP($E$15,FATORES!$I$32:$K$34,3)</f>
        <v>0.04</v>
      </c>
      <c r="G15" s="8">
        <f>IFERROR(VLOOKUP($E$15,FATORES!$I$35:$K$36,3),0)</f>
        <v>0.08</v>
      </c>
      <c r="H15" s="9">
        <f>D15*F15</f>
        <v>183.32888800000001</v>
      </c>
      <c r="I15" s="9">
        <f t="shared" ref="I15:I23" si="0">IF($P$7="ARIEL",
   IF(AND($E$15&gt;=69.5%, AND($E$17&gt;=69.5%, $E$18&gt;=69.5%, $E$18&gt;=69.5%, $E$20&gt;=69.5%, $E$20&gt;=69.5%, $E$22&gt;=69.5%, $E$23&gt;=69.5%)),
      D15*G15,
      0),
   IF(AND($E$15&gt;=69.5%, $E$16&gt;=69.5%, $E$17&gt;=69.5%, $E$18&gt;=69.5%, $E$18&gt;=69.5%, $E$20&gt;=69.5%, $E$20&gt;=69.5%, $E$22&gt;=69.5%, $E$23&gt;=69.5%),
      D15*G15,
      0)
)</f>
        <v>0</v>
      </c>
      <c r="J15" s="9">
        <f>H15+I15</f>
        <v>183.32888800000001</v>
      </c>
      <c r="K15" s="76">
        <f>SUMIFS(REALIZADO[META_MOVEL],REALIZADO[COORDENAÇÃO],$P$7)</f>
        <v>59729.999899999995</v>
      </c>
      <c r="L15" s="77">
        <f>SUMIFS(PROJEÇÃO[PROJ_MOVEL],PROJEÇÃO[COORDENAÇÃO],$P$7)</f>
        <v>52523.219899999989</v>
      </c>
      <c r="M15" s="49">
        <f>IFERROR(L15/K15,0)</f>
        <v>0.87934404801497401</v>
      </c>
      <c r="N15" s="8">
        <f>IF($M$15&gt;=FATORES!$I$37,FATORES!$K$37,0)</f>
        <v>0</v>
      </c>
      <c r="O15" s="14">
        <f>IF(E15&gt;=100%,
   IF($P$7="ARIEL",
      IF(AND($E$15&gt;=69.5%,$E$17&gt;=69.5%,$E$18&gt;=69.5%,$E$20&gt;=69.5%,$E$22&gt;=69.5%,$E$23&gt;=69.5%),
         D15*N15,
         0
      ),
      IF(AND($E$15&gt;=69.5%,$E$16&gt;=69.5%,$E$17&gt;=69.5%,$E$18&gt;=69.5%,$E$20&gt;=69.5%,$E$22&gt;=69.5%,$E$23&gt;=69.5%),
         D15*N15,
         0
      )
   ),
0)</f>
        <v>0</v>
      </c>
      <c r="P15" s="10">
        <f>J15+O15</f>
        <v>183.32888800000001</v>
      </c>
      <c r="Q15" s="11">
        <f>IF($B$8=2,P15*0.05,0)</f>
        <v>0</v>
      </c>
      <c r="R15" s="11">
        <f>IF($B$8=3,P15*0.15,0)</f>
        <v>0</v>
      </c>
      <c r="S15" s="98">
        <v>0.1</v>
      </c>
      <c r="T15" s="124">
        <f>SUM(P24:S24)</f>
        <v>254.87328192500001</v>
      </c>
    </row>
    <row r="16" spans="2:24" x14ac:dyDescent="0.35">
      <c r="B16" s="46" t="s">
        <v>13</v>
      </c>
      <c r="C16" s="76">
        <f>SUMIFS(REALIZADO[META_FIXA],REALIZADO[PDV],ICONHA!$M$7)</f>
        <v>0</v>
      </c>
      <c r="D16" s="77">
        <f>SUMIFS(PROJEÇÃO[PROJ_FIXA],PROJEÇÃO[PDV],ICONHA!$M$7)</f>
        <v>0</v>
      </c>
      <c r="E16" s="50">
        <f>IFERROR(D16/C16,0)</f>
        <v>0</v>
      </c>
      <c r="F16" s="12">
        <f>VLOOKUP($E$16,FATORES!$I$40:$K$42,3)</f>
        <v>5.0000000000000001E-3</v>
      </c>
      <c r="G16" s="12">
        <f>IFERROR(VLOOKUP($E$16,FATORES!$I$43:$K$44,3),0)</f>
        <v>0</v>
      </c>
      <c r="H16" s="65">
        <f t="shared" ref="H16:H23" si="1">D16*F16</f>
        <v>0</v>
      </c>
      <c r="I16" s="65">
        <f t="shared" si="0"/>
        <v>0</v>
      </c>
      <c r="J16" s="65">
        <f t="shared" ref="J16:J23" si="2">H16+I16</f>
        <v>0</v>
      </c>
      <c r="K16" s="76">
        <f>SUMIFS(REALIZADO[META_FIXA],REALIZADO[COORDENAÇÃO],$P$7)</f>
        <v>0</v>
      </c>
      <c r="L16" s="77">
        <f>SUMIFS(PROJEÇÃO[PROJ_FIXA],PROJEÇÃO[COORDENAÇÃO],$P$7)</f>
        <v>0</v>
      </c>
      <c r="M16" s="50">
        <f t="shared" ref="M16:M17" si="3">IFERROR(L16/K16,0)</f>
        <v>0</v>
      </c>
      <c r="N16" s="12">
        <f>IF($M$16&gt;=FATORES!$I$45,FATORES!$K$45,0)</f>
        <v>0</v>
      </c>
      <c r="O16" s="14">
        <f t="shared" ref="O16:O23" si="4">IF(E16&gt;=100%,
   IF($P$7="ARIEL",
      IF(AND($E$15&gt;=69.5%,$E$17&gt;=69.5%,$E$18&gt;=69.5%,$E$20&gt;=69.5%,$E$22&gt;=69.5%,$E$23&gt;=69.5%),
         D16*N16,
         0
      ),
      IF(AND($E$15&gt;=69.5%,$E$16&gt;=69.5%,$E$17&gt;=69.5%,$E$18&gt;=69.5%,$E$20&gt;=69.5%,$E$22&gt;=69.5%,$E$23&gt;=69.5%),
         D16*N16,
         0
      )
   ),
0)</f>
        <v>0</v>
      </c>
      <c r="P16" s="13">
        <f t="shared" ref="P16:P23" si="5">J16+O16</f>
        <v>0</v>
      </c>
      <c r="Q16" s="15">
        <f>IF($C$8=2,P16*0.05,0)</f>
        <v>0</v>
      </c>
      <c r="R16" s="15">
        <f>IF($C$8=3,P16*0.15,0)</f>
        <v>0</v>
      </c>
      <c r="S16" s="99"/>
      <c r="T16" s="125"/>
    </row>
    <row r="17" spans="2:20" x14ac:dyDescent="0.35">
      <c r="B17" s="46" t="s">
        <v>231</v>
      </c>
      <c r="C17" s="53">
        <f>SUMIFS(REALIZADO[META_SMARTPHONE],REALIZADO[PDV],ICONHA!$M$7)</f>
        <v>69000</v>
      </c>
      <c r="D17" s="78">
        <f>SUMIFS(PROJEÇÃO[PROJ_APARELHO],PROJEÇÃO[PDV],ICONHA!$M$7)</f>
        <v>65374.777799999996</v>
      </c>
      <c r="E17" s="50">
        <f>IFERROR(D17/C17,0)</f>
        <v>0.94746054782608691</v>
      </c>
      <c r="F17" s="12">
        <f>VLOOKUP($E$17,FATORES!$B$53:$D$54,3)</f>
        <v>5.0000000000000001E-4</v>
      </c>
      <c r="G17" s="12">
        <f>IFERROR(VLOOKUP($E$17,FATORES!$B$55:$D$55,3),0)</f>
        <v>0</v>
      </c>
      <c r="H17" s="65">
        <f t="shared" si="1"/>
        <v>32.687388900000002</v>
      </c>
      <c r="I17" s="65">
        <f t="shared" si="0"/>
        <v>0</v>
      </c>
      <c r="J17" s="65">
        <f t="shared" si="2"/>
        <v>32.687388900000002</v>
      </c>
      <c r="K17" s="53">
        <f>SUMIFS(REALIZADO[META_SMARTPHONE],REALIZADO[COORDENAÇÃO],$P$7)</f>
        <v>741000.00010000006</v>
      </c>
      <c r="L17" s="78">
        <f>SUMIFS(PROJEÇÃO[PROJ_APARELHO],PROJEÇÃO[COORDENAÇÃO],$P$7)</f>
        <v>619809.5554999999</v>
      </c>
      <c r="M17" s="50">
        <f t="shared" si="3"/>
        <v>0.8364501422622872</v>
      </c>
      <c r="N17" s="12">
        <f>IF($M$17&gt;=FATORES!$B$56,FATORES!$D$56,0)</f>
        <v>0</v>
      </c>
      <c r="O17" s="14">
        <f t="shared" si="4"/>
        <v>0</v>
      </c>
      <c r="P17" s="13">
        <f t="shared" si="5"/>
        <v>32.687388900000002</v>
      </c>
      <c r="Q17" s="15">
        <f>IF($D$8=2,P17*0.05,0)</f>
        <v>0</v>
      </c>
      <c r="R17" s="15">
        <f>IF($D$8=3,P17*0.15,0)</f>
        <v>0</v>
      </c>
      <c r="S17" s="99"/>
      <c r="T17" s="125"/>
    </row>
    <row r="18" spans="2:20" x14ac:dyDescent="0.35">
      <c r="B18" s="47" t="s">
        <v>232</v>
      </c>
      <c r="C18" s="121">
        <f>SUMIFS(REALIZADO[META_ACESSORIO],REALIZADO[PDV],ICONHA!$M$7)</f>
        <v>10400</v>
      </c>
      <c r="D18" s="86">
        <f>SUMIFS(PROJEÇÃO[PROJ_ELETRO_A],PROJEÇÃO[PDV],ICONHA!$M$7)</f>
        <v>377.88889999999998</v>
      </c>
      <c r="E18" s="123">
        <f>IFERROR((D18+D19)/C18,0)</f>
        <v>0.44800213461538463</v>
      </c>
      <c r="F18" s="12">
        <f>VLOOKUP($E$18,FATORES!$B$44:$E$46,3)</f>
        <v>5.0000000000000001E-4</v>
      </c>
      <c r="G18" s="12">
        <f>IFERROR(VLOOKUP($E$18,FATORES!$B$47:$E$48,3),0)</f>
        <v>0</v>
      </c>
      <c r="H18" s="65">
        <f t="shared" si="1"/>
        <v>0.18894444999999999</v>
      </c>
      <c r="I18" s="65">
        <f t="shared" si="0"/>
        <v>0</v>
      </c>
      <c r="J18" s="65">
        <f t="shared" si="2"/>
        <v>0.18894444999999999</v>
      </c>
      <c r="K18" s="121">
        <f>SUMIFS(REALIZADO[META_ACESSORIO],REALIZADO[COORDENAÇÃO],$P$7)</f>
        <v>84200.000200000009</v>
      </c>
      <c r="L18" s="86">
        <f>SUMIFS(PROJEÇÃO[PROJ_ELETRO_A],PROJEÇÃO[COORDENAÇÃO],$P$7)</f>
        <v>2058.3333000000002</v>
      </c>
      <c r="M18" s="97">
        <f>IFERROR((L18+L19)/K18,0)</f>
        <v>1.2364040611961895</v>
      </c>
      <c r="N18" s="12">
        <f>IF($M$18&gt;=FATORES!$B$49,FATORES!$D$49,0)</f>
        <v>2.5000000000000001E-3</v>
      </c>
      <c r="O18" s="14">
        <f t="shared" si="4"/>
        <v>0</v>
      </c>
      <c r="P18" s="13">
        <f t="shared" si="5"/>
        <v>0.18894444999999999</v>
      </c>
      <c r="Q18" s="15">
        <f>IF($E$8=2,P18*0.05,0)</f>
        <v>0</v>
      </c>
      <c r="R18" s="15">
        <f>IF($E$8=3,P18*0.15,0)</f>
        <v>0</v>
      </c>
      <c r="S18" s="99"/>
      <c r="T18" s="125"/>
    </row>
    <row r="19" spans="2:20" x14ac:dyDescent="0.35">
      <c r="B19" s="47" t="s">
        <v>233</v>
      </c>
      <c r="C19" s="122"/>
      <c r="D19" s="87">
        <f>SUMIFS(PROJEÇÃO[PROJ_ELETRO_B],PROJEÇÃO[PDV],ICONHA!$M$7)</f>
        <v>4281.3333000000002</v>
      </c>
      <c r="E19" s="123"/>
      <c r="F19" s="12">
        <f>VLOOKUP($E$18,FATORES!$B$44:$E$46,4)</f>
        <v>2.5000000000000001E-4</v>
      </c>
      <c r="G19" s="12">
        <f>IFERROR(VLOOKUP($E$18,FATORES!$B$47:$E$48,4),0)</f>
        <v>0</v>
      </c>
      <c r="H19" s="65">
        <f t="shared" si="1"/>
        <v>1.070333325</v>
      </c>
      <c r="I19" s="65">
        <f t="shared" si="0"/>
        <v>0</v>
      </c>
      <c r="J19" s="65">
        <f t="shared" si="2"/>
        <v>1.070333325</v>
      </c>
      <c r="K19" s="122"/>
      <c r="L19" s="87">
        <f>SUMIFS(PROJEÇÃO[PROJ_ELETRO_B],PROJEÇÃO[COORDENAÇÃO],$P$7)</f>
        <v>102046.88889999999</v>
      </c>
      <c r="M19" s="97"/>
      <c r="N19" s="12">
        <f>IF($M$18&gt;=FATORES!$B$49,FATORES!$E$49,0)</f>
        <v>1.25E-3</v>
      </c>
      <c r="O19" s="14">
        <f t="shared" si="4"/>
        <v>0</v>
      </c>
      <c r="P19" s="13">
        <f t="shared" si="5"/>
        <v>1.070333325</v>
      </c>
      <c r="Q19" s="15">
        <f>IF($E$8=2,P19*0.05,0)</f>
        <v>0</v>
      </c>
      <c r="R19" s="15">
        <f>IF($E$8=3,P19*0.15,0)</f>
        <v>0</v>
      </c>
      <c r="S19" s="99"/>
      <c r="T19" s="125"/>
    </row>
    <row r="20" spans="2:20" x14ac:dyDescent="0.35">
      <c r="B20" s="46" t="s">
        <v>234</v>
      </c>
      <c r="C20" s="121">
        <f>SUMIFS(REALIZADO[META_ESSENCIAIS],REALIZADO[PDV],ICONHA!$M$7)</f>
        <v>5400</v>
      </c>
      <c r="D20" s="86">
        <f>SUMIFS(PROJEÇÃO[PROJ_ESSEN_A],PROJEÇÃO[PDV],ICONHA!$M$7)</f>
        <v>2463.6666999999998</v>
      </c>
      <c r="E20" s="123">
        <f>IFERROR((D20+D21)/C20,0)</f>
        <v>1.1935596851851851</v>
      </c>
      <c r="F20" s="12">
        <f>VLOOKUP($E$20,FATORES!$B$34:$E$36,3)</f>
        <v>1.5E-3</v>
      </c>
      <c r="G20" s="12">
        <f>IFERROR(VLOOKUP($E$20,FATORES!$B$37:$E$38,3),0)</f>
        <v>6.0000000000000001E-3</v>
      </c>
      <c r="H20" s="65">
        <f t="shared" si="1"/>
        <v>3.6955000499999997</v>
      </c>
      <c r="I20" s="65">
        <f t="shared" si="0"/>
        <v>0</v>
      </c>
      <c r="J20" s="65">
        <f t="shared" si="2"/>
        <v>3.6955000499999997</v>
      </c>
      <c r="K20" s="121">
        <f>SUMIFS(REALIZADO[META_ESSENCIAIS],REALIZADO[COORDENAÇÃO],$P$7)</f>
        <v>58599.999900000003</v>
      </c>
      <c r="L20" s="86">
        <f>SUMIFS(PROJEÇÃO[PROJ_ESSEN_A],PROJEÇÃO[COORDENAÇÃO],$P$7)</f>
        <v>30216.333300000002</v>
      </c>
      <c r="M20" s="97">
        <f>IFERROR((L20+L21)/K20,0)</f>
        <v>1.094031099136572</v>
      </c>
      <c r="N20" s="12">
        <f>IF($M$20&gt;=FATORES!$B$39,FATORES!$D$39,0)</f>
        <v>8.0000000000000002E-3</v>
      </c>
      <c r="O20" s="14">
        <f t="shared" si="4"/>
        <v>0</v>
      </c>
      <c r="P20" s="13">
        <f t="shared" si="5"/>
        <v>3.6955000499999997</v>
      </c>
      <c r="Q20" s="15">
        <f>IF($F$8=2,P20*0.05,0)</f>
        <v>0</v>
      </c>
      <c r="R20" s="15">
        <f>IF($F$8=3,P20*0.15,0)</f>
        <v>0</v>
      </c>
      <c r="S20" s="99"/>
      <c r="T20" s="125"/>
    </row>
    <row r="21" spans="2:20" x14ac:dyDescent="0.35">
      <c r="B21" s="46" t="s">
        <v>235</v>
      </c>
      <c r="C21" s="122"/>
      <c r="D21" s="87">
        <f>SUMIFS(PROJEÇÃO[PROJ_ESSEN_B],PROJEÇÃO[PDV],ICONHA!$M$7)</f>
        <v>3981.5556000000001</v>
      </c>
      <c r="E21" s="123"/>
      <c r="F21" s="12">
        <f>VLOOKUP($E$20,FATORES!$B$34:$E$36,4)</f>
        <v>7.5000000000000002E-4</v>
      </c>
      <c r="G21" s="12">
        <f>IFERROR(VLOOKUP($E$20,FATORES!$B$37:$E$38,4),0)</f>
        <v>3.0000000000000001E-3</v>
      </c>
      <c r="H21" s="65">
        <f t="shared" si="1"/>
        <v>2.9861667000000001</v>
      </c>
      <c r="I21" s="65">
        <f t="shared" si="0"/>
        <v>0</v>
      </c>
      <c r="J21" s="65">
        <f t="shared" si="2"/>
        <v>2.9861667000000001</v>
      </c>
      <c r="K21" s="122"/>
      <c r="L21" s="87">
        <f>SUMIFS(PROJEÇÃO[PROJ_ESSEN_B],PROJEÇÃO[COORDENAÇÃO],$P$7)</f>
        <v>33893.88900000001</v>
      </c>
      <c r="M21" s="97"/>
      <c r="N21" s="12">
        <f>IF($M$20&gt;=FATORES!$B$39,FATORES!$E$39,0)</f>
        <v>4.0000000000000001E-3</v>
      </c>
      <c r="O21" s="14">
        <f t="shared" si="4"/>
        <v>0</v>
      </c>
      <c r="P21" s="13">
        <f t="shared" si="5"/>
        <v>2.9861667000000001</v>
      </c>
      <c r="Q21" s="15">
        <f>IF($F$8=2,P21*0.05,0)</f>
        <v>0</v>
      </c>
      <c r="R21" s="15">
        <f>IF($F$8=3,P21*0.15,0)</f>
        <v>0</v>
      </c>
      <c r="S21" s="99"/>
      <c r="T21" s="125"/>
    </row>
    <row r="22" spans="2:20" x14ac:dyDescent="0.35">
      <c r="B22" s="46" t="s">
        <v>212</v>
      </c>
      <c r="C22" s="57">
        <f>SUMIFS(REALIZADO[META_SEGUROS],REALIZADO[PDV],ICONHA!$M$7)</f>
        <v>550</v>
      </c>
      <c r="D22" s="79">
        <f>SUMIFS(PROJEÇÃO[PROJ_SEGURO],PROJEÇÃO[PDV],ICONHA!$M$7)</f>
        <v>720.5222</v>
      </c>
      <c r="E22" s="83">
        <f>IFERROR(D22/C22,0)</f>
        <v>1.3100403636363636</v>
      </c>
      <c r="F22" s="83">
        <f>VLOOKUP($E$22,FATORES!$O$32:$Q$34,3)</f>
        <v>0.04</v>
      </c>
      <c r="G22" s="12">
        <f>IFERROR(VLOOKUP($E$22,FATORES!$O$35:$Q$36,3),0)</f>
        <v>0.15</v>
      </c>
      <c r="H22" s="65">
        <f t="shared" si="1"/>
        <v>28.820888</v>
      </c>
      <c r="I22" s="65">
        <f t="shared" si="0"/>
        <v>0</v>
      </c>
      <c r="J22" s="65">
        <f t="shared" si="2"/>
        <v>28.820888</v>
      </c>
      <c r="K22" s="57">
        <f>SUMIFS(REALIZADO[META_SEGUROS],REALIZADO[COORDENAÇÃO],$P$7)</f>
        <v>5665</v>
      </c>
      <c r="L22" s="79">
        <f>SUMIFS(PROJEÇÃO[PROJ_SEGURO],PROJEÇÃO[COORDENAÇÃO],$P$7)</f>
        <v>5467.5668999999998</v>
      </c>
      <c r="M22" s="50">
        <f t="shared" ref="M22:M23" si="6">IFERROR(L22/K22,0)</f>
        <v>0.96514861429832299</v>
      </c>
      <c r="N22" s="12">
        <f>IF($M$22&gt;=FATORES!$O$37,FATORES!$Q$37,0)</f>
        <v>0</v>
      </c>
      <c r="O22" s="14">
        <f t="shared" si="4"/>
        <v>0</v>
      </c>
      <c r="P22" s="13">
        <f t="shared" si="5"/>
        <v>28.820888</v>
      </c>
      <c r="Q22" s="15">
        <f>IF($G$8=2,P22*0.05,0)</f>
        <v>0</v>
      </c>
      <c r="R22" s="15">
        <f>IF($G$8=3,P22*0.15,0)</f>
        <v>0</v>
      </c>
      <c r="S22" s="99"/>
      <c r="T22" s="125"/>
    </row>
    <row r="23" spans="2:20" x14ac:dyDescent="0.35">
      <c r="B23" s="48" t="s">
        <v>14</v>
      </c>
      <c r="C23" s="76">
        <f>SUMIFS(REALIZADO[META_SVA],REALIZADO[PDV],ICONHA!$M$7)</f>
        <v>450</v>
      </c>
      <c r="D23" s="77">
        <f>SUMIFS(PROJEÇÃO[PROJ_SVA],PROJEÇÃO[PDV],ICONHA!$M$7)</f>
        <v>419.03449999999998</v>
      </c>
      <c r="E23" s="82">
        <f>IFERROR(D23/C23,0)</f>
        <v>0.93118777777777773</v>
      </c>
      <c r="F23" s="16">
        <f>IF($E$23&gt;=0,FATORES!$Q$40)</f>
        <v>5.0000000000000001E-3</v>
      </c>
      <c r="G23" s="16">
        <f>IFERROR(VLOOKUP($E$23,FATORES!$O$43:$Q$44,3),0)</f>
        <v>0</v>
      </c>
      <c r="H23" s="17">
        <f t="shared" si="1"/>
        <v>2.0951724999999999</v>
      </c>
      <c r="I23" s="65">
        <f t="shared" si="0"/>
        <v>0</v>
      </c>
      <c r="J23" s="17">
        <f t="shared" si="2"/>
        <v>2.0951724999999999</v>
      </c>
      <c r="K23" s="76">
        <f>SUMIFS(REALIZADO[META_SVA],REALIZADO[COORDENAÇÃO],$P$7)</f>
        <v>5384.9997999999996</v>
      </c>
      <c r="L23" s="77">
        <f>SUMIFS(PROJEÇÃO[PROJ_SVA],PROJEÇÃO[COORDENAÇÃO],$P$7)</f>
        <v>5513.6099000000004</v>
      </c>
      <c r="M23" s="51">
        <f t="shared" si="6"/>
        <v>1.0238830278136688</v>
      </c>
      <c r="N23" s="16">
        <f>IF($M$23&gt;=FATORES!$O$45,FATORES!$Q$45,0)</f>
        <v>5.0000000000000001E-3</v>
      </c>
      <c r="O23" s="14">
        <f t="shared" si="4"/>
        <v>0</v>
      </c>
      <c r="P23" s="18">
        <f t="shared" si="5"/>
        <v>2.0951724999999999</v>
      </c>
      <c r="Q23" s="19">
        <f>IF($H$8=2,P23*0.05,0)</f>
        <v>0</v>
      </c>
      <c r="R23" s="19">
        <f>IF($H$8=3,P23*0.15,0)</f>
        <v>0</v>
      </c>
      <c r="S23" s="100"/>
      <c r="T23" s="126"/>
    </row>
    <row r="24" spans="2:20" x14ac:dyDescent="0.35">
      <c r="B24" s="66"/>
      <c r="C24" s="67"/>
      <c r="D24" s="67"/>
      <c r="E24" s="67"/>
      <c r="F24" s="67"/>
      <c r="G24" s="67"/>
      <c r="H24" s="67"/>
      <c r="I24" s="67"/>
      <c r="J24" s="68"/>
      <c r="K24" s="69"/>
      <c r="L24" s="67"/>
      <c r="M24" s="67"/>
      <c r="N24" s="67"/>
      <c r="O24" s="67"/>
      <c r="P24" s="70">
        <f>SUM(P15:P23)</f>
        <v>254.87328192500001</v>
      </c>
      <c r="Q24" s="70">
        <f t="shared" ref="Q24:R24" si="7">SUM(Q15:Q23)</f>
        <v>0</v>
      </c>
      <c r="R24" s="70">
        <f t="shared" si="7"/>
        <v>0</v>
      </c>
      <c r="S24" s="71" t="str">
        <f>IF($P$7="ARIEL",IF(MIN(E15,E17,E18,E19,E20,E22,E23)&gt;=100%,SUM(P24:R24)*S15,""),IF(MIN(E15:E23)&gt;=100%,SUM(P24:R24)*S15,""))</f>
        <v/>
      </c>
      <c r="T24" s="72"/>
    </row>
    <row r="25" spans="2:20" ht="16.149999999999999" customHeight="1" x14ac:dyDescent="0.35">
      <c r="B25" s="80"/>
      <c r="C25" s="6"/>
      <c r="D25" s="6"/>
      <c r="E25" s="6"/>
      <c r="F25" s="6"/>
      <c r="G25" s="6"/>
      <c r="H25" s="6"/>
      <c r="T25" s="61"/>
    </row>
    <row r="26" spans="2:20" ht="18.5" x14ac:dyDescent="0.35">
      <c r="B26" s="141" t="s">
        <v>236</v>
      </c>
      <c r="C26" s="142"/>
      <c r="D26" s="142"/>
      <c r="E26" s="142"/>
      <c r="F26" s="142"/>
      <c r="G26" s="142"/>
      <c r="H26" s="142"/>
      <c r="I26" s="142"/>
      <c r="J26" s="142"/>
      <c r="K26" s="142"/>
      <c r="L26" s="142"/>
      <c r="M26" s="142"/>
      <c r="N26" s="142"/>
      <c r="O26" s="142"/>
      <c r="P26" s="142"/>
      <c r="Q26" s="142"/>
      <c r="R26" s="142"/>
      <c r="S26" s="142"/>
      <c r="T26" s="142"/>
    </row>
    <row r="27" spans="2:20" x14ac:dyDescent="0.35">
      <c r="B27" s="129" t="s">
        <v>9</v>
      </c>
      <c r="C27" s="130"/>
      <c r="D27" s="130"/>
      <c r="E27" s="130"/>
      <c r="F27" s="130"/>
      <c r="G27" s="130"/>
      <c r="H27" s="130"/>
      <c r="I27" s="130"/>
      <c r="J27" s="131"/>
      <c r="K27" s="132" t="s">
        <v>54</v>
      </c>
      <c r="L27" s="130"/>
      <c r="M27" s="130"/>
      <c r="N27" s="130"/>
      <c r="O27" s="130"/>
      <c r="P27" s="130"/>
      <c r="Q27" s="130"/>
      <c r="R27" s="130"/>
      <c r="S27" s="130"/>
      <c r="T27" s="133"/>
    </row>
    <row r="28" spans="2:20" ht="14.5" customHeight="1" x14ac:dyDescent="0.35">
      <c r="B28" s="115" t="s">
        <v>214</v>
      </c>
      <c r="C28" s="116" t="s">
        <v>237</v>
      </c>
      <c r="D28" s="117"/>
      <c r="E28" s="104"/>
      <c r="F28" s="135" t="s">
        <v>216</v>
      </c>
      <c r="G28" s="135" t="s">
        <v>217</v>
      </c>
      <c r="H28" s="135" t="s">
        <v>218</v>
      </c>
      <c r="I28" s="135" t="s">
        <v>219</v>
      </c>
      <c r="J28" s="135" t="s">
        <v>220</v>
      </c>
      <c r="K28" s="116" t="s">
        <v>238</v>
      </c>
      <c r="L28" s="117"/>
      <c r="M28" s="104"/>
      <c r="N28" s="127" t="s">
        <v>222</v>
      </c>
      <c r="O28" s="127" t="s">
        <v>223</v>
      </c>
      <c r="P28" s="127" t="s">
        <v>224</v>
      </c>
      <c r="Q28" s="127" t="s">
        <v>225</v>
      </c>
      <c r="R28" s="127" t="s">
        <v>226</v>
      </c>
      <c r="S28" s="127" t="s">
        <v>227</v>
      </c>
      <c r="T28" s="137" t="s">
        <v>228</v>
      </c>
    </row>
    <row r="29" spans="2:20" ht="14.5" customHeight="1" x14ac:dyDescent="0.35">
      <c r="B29" s="134"/>
      <c r="C29" s="94" t="s">
        <v>229</v>
      </c>
      <c r="D29" s="139" t="s">
        <v>230</v>
      </c>
      <c r="E29" s="140"/>
      <c r="F29" s="136"/>
      <c r="G29" s="136"/>
      <c r="H29" s="136"/>
      <c r="I29" s="136"/>
      <c r="J29" s="136"/>
      <c r="K29" s="52" t="s">
        <v>229</v>
      </c>
      <c r="L29" s="139" t="s">
        <v>230</v>
      </c>
      <c r="M29" s="140"/>
      <c r="N29" s="128"/>
      <c r="O29" s="128"/>
      <c r="P29" s="128"/>
      <c r="Q29" s="128"/>
      <c r="R29" s="128"/>
      <c r="S29" s="128"/>
      <c r="T29" s="138"/>
    </row>
    <row r="30" spans="2:20" x14ac:dyDescent="0.35">
      <c r="B30" s="45" t="s">
        <v>2</v>
      </c>
      <c r="C30" s="76">
        <f>SUMIFS(REALIZADO[META_MOVEL],REALIZADO[PDV],ICONHA!$M$7)</f>
        <v>4450</v>
      </c>
      <c r="D30" s="77">
        <f>SUMIFS(REALIZADO[AT_MOVEL],REALIZADO[PDV],ICONHA!$M$7)</f>
        <v>328</v>
      </c>
      <c r="E30" s="49">
        <f>IFERROR(D30/C30,0)</f>
        <v>7.3707865168539333E-2</v>
      </c>
      <c r="F30" s="8">
        <f>VLOOKUP($E$30,FATORES!$I$32:$K$34,3)</f>
        <v>5.0000000000000001E-3</v>
      </c>
      <c r="G30" s="8">
        <f>IFERROR(VLOOKUP($E$30,FATORES!$I$35:$K$36,3),0)</f>
        <v>0</v>
      </c>
      <c r="H30" s="9">
        <f>D30*F30</f>
        <v>1.6400000000000001</v>
      </c>
      <c r="I30" s="9">
        <f t="shared" ref="I30:I38" si="8">IF($P$7="ARIEL",
   IF(AND($E$30&gt;=69.5%, AND($E$32&gt;=69.5%, $E$33&gt;=69.5%, $E$33&gt;=69.5%, $E$35&gt;=69.5%, $E$35&gt;=69.5%, $E$37&gt;=69.5%, $E$38&gt;=69.5%)),
      D30*G30,
      0),
   IF(AND($E$30&gt;=69.5%, $E$31&gt;=69.5%, $E$32&gt;=69.5%, $E$33&gt;=69.5%, $E$33&gt;=69.5%, $E$35&gt;=69.5%, $E$35&gt;=69.5%, $E$37&gt;=69.5%, $E$38&gt;=69.5%),
      D30*G30,
      0)
)</f>
        <v>0</v>
      </c>
      <c r="J30" s="9">
        <f>H30+I30</f>
        <v>1.6400000000000001</v>
      </c>
      <c r="K30" s="76">
        <f>SUMIFS(REALIZADO[META_MOVEL],REALIZADO[COORDENAÇÃO],$P$7)</f>
        <v>59729.999899999995</v>
      </c>
      <c r="L30" s="77">
        <f>SUMIFS(REALIZADO[AT_MOVEL],REALIZADO[COORDENAÇÃO],$P$7)</f>
        <v>5335.72</v>
      </c>
      <c r="M30" s="49">
        <f>IFERROR(L30/K30,0)</f>
        <v>8.9330654761980016E-2</v>
      </c>
      <c r="N30" s="8">
        <f>IF($M$30&gt;=FATORES!$I$37,FATORES!$K$37,0)</f>
        <v>0</v>
      </c>
      <c r="O30" s="14">
        <f>IF(E30&gt;=100%,
IF($P$7="ARIEL",
IF(AND($E$30&gt;=69.5%,$E$32&gt;=69.5%,$E$33&gt;=69.5%,$E$35&gt;=69.5%,$E$37&gt;=69.5%,$E$38&gt;=69.5%),
D30*N30,
0),
IF(AND($E$30&gt;=69.5%,$E$31&gt;=69.5%,$E$32&gt;=69.5%,$E$33&gt;=69.5%,$E$35&gt;=69.5%,$E$37&gt;=69.5%,$E$38&gt;=69.5%),
D30*N30,
0)
),0)</f>
        <v>0</v>
      </c>
      <c r="P30" s="10">
        <f>J30+O30</f>
        <v>1.6400000000000001</v>
      </c>
      <c r="Q30" s="11">
        <f>IF($B$8=2,P30*0.05,0)</f>
        <v>0</v>
      </c>
      <c r="R30" s="11">
        <f>IF($B$8=3,P30*0.15,0)</f>
        <v>0</v>
      </c>
      <c r="S30" s="98">
        <v>0.1</v>
      </c>
      <c r="T30" s="124">
        <f>SUM(P39:S39)</f>
        <v>6.3082499999999992</v>
      </c>
    </row>
    <row r="31" spans="2:20" x14ac:dyDescent="0.35">
      <c r="B31" s="46" t="s">
        <v>13</v>
      </c>
      <c r="C31" s="76">
        <f>SUMIFS(REALIZADO[META_FIXA],REALIZADO[PDV],ICONHA!$M$7)</f>
        <v>0</v>
      </c>
      <c r="D31" s="77">
        <f>SUMIFS(REALIZADO[AT_FIXA],REALIZADO[PDV],ICONHA!$M$7)</f>
        <v>0</v>
      </c>
      <c r="E31" s="50">
        <f>IFERROR(D31/C31,0)</f>
        <v>0</v>
      </c>
      <c r="F31" s="12">
        <f>VLOOKUP($E$31,FATORES!$I$40:$K$42,3)</f>
        <v>5.0000000000000001E-3</v>
      </c>
      <c r="G31" s="12">
        <f>IFERROR(VLOOKUP($E$31,FATORES!$I$43:$K$44,3),0)</f>
        <v>0</v>
      </c>
      <c r="H31" s="65">
        <f t="shared" ref="H31:H38" si="9">D31*F31</f>
        <v>0</v>
      </c>
      <c r="I31" s="65">
        <f t="shared" si="8"/>
        <v>0</v>
      </c>
      <c r="J31" s="65">
        <f t="shared" ref="J31:J38" si="10">H31+I31</f>
        <v>0</v>
      </c>
      <c r="K31" s="76">
        <f>SUMIFS(REALIZADO[META_FIXA],REALIZADO[COORDENAÇÃO],$P$7)</f>
        <v>0</v>
      </c>
      <c r="L31" s="77">
        <f>SUMIFS(REALIZADO[AT_FIXA],REALIZADO[COORDENAÇÃO],$P$7)</f>
        <v>0</v>
      </c>
      <c r="M31" s="50">
        <f t="shared" ref="M31:M32" si="11">IFERROR(L31/K31,0)</f>
        <v>0</v>
      </c>
      <c r="N31" s="12">
        <f>IF($M$31&gt;=FATORES!$I$45,FATORES!$K$45,0)</f>
        <v>0</v>
      </c>
      <c r="O31" s="14">
        <f t="shared" ref="O31:O38" si="12">IF(E31&gt;=100%,
IF($P$7="ARIEL",
IF(AND($E$30&gt;=69.5%,$E$32&gt;=69.5%,$E$33&gt;=69.5%,$E$35&gt;=69.5%,$E$37&gt;=69.5%,$E$38&gt;=69.5%),
D31*N31,
0),
IF(AND($E$30&gt;=69.5%,$E$31&gt;=69.5%,$E$32&gt;=69.5%,$E$33&gt;=69.5%,$E$35&gt;=69.5%,$E$37&gt;=69.5%,$E$38&gt;=69.5%),
D31*N31,
0)
),0)</f>
        <v>0</v>
      </c>
      <c r="P31" s="13">
        <f t="shared" ref="P31:P38" si="13">J31+O31</f>
        <v>0</v>
      </c>
      <c r="Q31" s="15">
        <f>IF($C$8=2,P31*0.05,0)</f>
        <v>0</v>
      </c>
      <c r="R31" s="15">
        <f>IF($C$8=3,P31*0.15,0)</f>
        <v>0</v>
      </c>
      <c r="S31" s="99"/>
      <c r="T31" s="125"/>
    </row>
    <row r="32" spans="2:20" x14ac:dyDescent="0.35">
      <c r="B32" s="46" t="s">
        <v>231</v>
      </c>
      <c r="C32" s="53">
        <f>SUMIFS(REALIZADO[META_SMARTPHONE],REALIZADO[PDV],ICONHA!$M$7)</f>
        <v>69000</v>
      </c>
      <c r="D32" s="78">
        <f>SUMIFS(REALIZADO[AT_SMARTPHONE],REALIZADO[PDV],ICONHA!$M$7)</f>
        <v>16624</v>
      </c>
      <c r="E32" s="50">
        <f>IFERROR(D32/C32,0)</f>
        <v>0.24092753623188407</v>
      </c>
      <c r="F32" s="12">
        <f>VLOOKUP($E$32,FATORES!$B$53:$D$54,3)</f>
        <v>2.0000000000000001E-4</v>
      </c>
      <c r="G32" s="12">
        <f>IFERROR(VLOOKUP($E$32,FATORES!$B$55:$D$55,3),0)</f>
        <v>0</v>
      </c>
      <c r="H32" s="65">
        <f t="shared" si="9"/>
        <v>3.3248000000000002</v>
      </c>
      <c r="I32" s="65">
        <f t="shared" si="8"/>
        <v>0</v>
      </c>
      <c r="J32" s="65">
        <f t="shared" si="10"/>
        <v>3.3248000000000002</v>
      </c>
      <c r="K32" s="53">
        <f>SUMIFS(REALIZADO[META_SMARTPHONE],REALIZADO[COORDENAÇÃO],$P$7)</f>
        <v>741000.00010000006</v>
      </c>
      <c r="L32" s="78">
        <f>SUMIFS(REALIZADO[AT_SMARTPHONE],REALIZADO[COORDENAÇÃO],$P$7)</f>
        <v>81442</v>
      </c>
      <c r="M32" s="50">
        <f t="shared" si="11"/>
        <v>0.109908232103926</v>
      </c>
      <c r="N32" s="12">
        <f>IF($M$32&gt;=FATORES!$B$56,FATORES!$D$56,0)</f>
        <v>0</v>
      </c>
      <c r="O32" s="14">
        <f t="shared" si="12"/>
        <v>0</v>
      </c>
      <c r="P32" s="13">
        <f t="shared" si="13"/>
        <v>3.3248000000000002</v>
      </c>
      <c r="Q32" s="15">
        <f>IF($D$8=2,P32*0.05,0)</f>
        <v>0</v>
      </c>
      <c r="R32" s="15">
        <f>IF($D$8=3,P32*0.15,0)</f>
        <v>0</v>
      </c>
      <c r="S32" s="99"/>
      <c r="T32" s="125"/>
    </row>
    <row r="33" spans="2:20" x14ac:dyDescent="0.35">
      <c r="B33" s="47" t="s">
        <v>232</v>
      </c>
      <c r="C33" s="121">
        <f>SUMIFS(REALIZADO[META_ACESSORIO],REALIZADO[PDV],ICONHA!$M$7)</f>
        <v>10400</v>
      </c>
      <c r="D33" s="86">
        <f>SUMIFS(REALIZADO[AT_ACESSORIOS_A],REALIZADO[PDV],ICONHA!$M$7)</f>
        <v>0</v>
      </c>
      <c r="E33" s="123">
        <f>IFERROR((D33+D34)/C33,0)</f>
        <v>0.17298076923076924</v>
      </c>
      <c r="F33" s="12">
        <f>VLOOKUP($E$33,FATORES!$B$44:$E$46,3)</f>
        <v>5.0000000000000001E-4</v>
      </c>
      <c r="G33" s="12">
        <f>IFERROR(VLOOKUP($E$33,FATORES!$B$47:$E$48,3),0)</f>
        <v>0</v>
      </c>
      <c r="H33" s="65">
        <f t="shared" si="9"/>
        <v>0</v>
      </c>
      <c r="I33" s="65">
        <f t="shared" si="8"/>
        <v>0</v>
      </c>
      <c r="J33" s="65">
        <f t="shared" si="10"/>
        <v>0</v>
      </c>
      <c r="K33" s="121">
        <f>SUMIFS(REALIZADO[META_ACESSORIO],REALIZADO[COORDENAÇÃO],$P$7)</f>
        <v>84200.000200000009</v>
      </c>
      <c r="L33" s="86">
        <f>SUMIFS(REALIZADO[AT_ACESSORIOS_A],REALIZADO[COORDENAÇÃO],$P$7)</f>
        <v>0</v>
      </c>
      <c r="M33" s="97">
        <f>IFERROR((L33+L34)/K33,0)</f>
        <v>0.13485748186494659</v>
      </c>
      <c r="N33" s="12">
        <f>IF($M$33&gt;=FATORES!$B$49,FATORES!$D$49,0)</f>
        <v>0</v>
      </c>
      <c r="O33" s="14">
        <f t="shared" si="12"/>
        <v>0</v>
      </c>
      <c r="P33" s="13">
        <f t="shared" si="13"/>
        <v>0</v>
      </c>
      <c r="Q33" s="15">
        <f>IF($E$8=2,P33*0.05,0)</f>
        <v>0</v>
      </c>
      <c r="R33" s="15">
        <f>IF($E$8=3,P33*0.15,0)</f>
        <v>0</v>
      </c>
      <c r="S33" s="99"/>
      <c r="T33" s="125"/>
    </row>
    <row r="34" spans="2:20" x14ac:dyDescent="0.35">
      <c r="B34" s="47" t="s">
        <v>233</v>
      </c>
      <c r="C34" s="122"/>
      <c r="D34" s="87">
        <f>SUMIFS(REALIZADO[AT_ACESSORIOS_B],REALIZADO[PDV],ICONHA!$M$7)</f>
        <v>1799</v>
      </c>
      <c r="E34" s="123"/>
      <c r="F34" s="12">
        <f>VLOOKUP($E$33,FATORES!$B$44:$E$46,4)</f>
        <v>2.5000000000000001E-4</v>
      </c>
      <c r="G34" s="12">
        <f>IFERROR(VLOOKUP($E$33,FATORES!$B$47:$E$48,4),0)</f>
        <v>0</v>
      </c>
      <c r="H34" s="65">
        <f t="shared" si="9"/>
        <v>0.44974999999999998</v>
      </c>
      <c r="I34" s="65">
        <f t="shared" si="8"/>
        <v>0</v>
      </c>
      <c r="J34" s="65">
        <f t="shared" si="10"/>
        <v>0.44974999999999998</v>
      </c>
      <c r="K34" s="122"/>
      <c r="L34" s="87">
        <f>SUMIFS(REALIZADO[AT_ACESSORIOS_B],REALIZADO[COORDENAÇÃO],$P$7)</f>
        <v>11355</v>
      </c>
      <c r="M34" s="97"/>
      <c r="N34" s="12">
        <f>IF($M$33&gt;=FATORES!$B$49,FATORES!$E$49,0)</f>
        <v>0</v>
      </c>
      <c r="O34" s="14">
        <f t="shared" si="12"/>
        <v>0</v>
      </c>
      <c r="P34" s="13">
        <f t="shared" si="13"/>
        <v>0.44974999999999998</v>
      </c>
      <c r="Q34" s="15">
        <f>IF($E$8=2,P34*0.05,0)</f>
        <v>0</v>
      </c>
      <c r="R34" s="15">
        <f>IF($E$8=3,P34*0.15,0)</f>
        <v>0</v>
      </c>
      <c r="S34" s="99"/>
      <c r="T34" s="125"/>
    </row>
    <row r="35" spans="2:20" x14ac:dyDescent="0.35">
      <c r="B35" s="46" t="s">
        <v>234</v>
      </c>
      <c r="C35" s="121">
        <f>SUMIFS(REALIZADO[META_ESSENCIAIS],REALIZADO[PDV],ICONHA!$M$7)</f>
        <v>5400</v>
      </c>
      <c r="D35" s="86">
        <f>SUMIFS(REALIZADO[AT_ESSENCIAIS_A],REALIZADO[PDV],ICONHA!$M$7)</f>
        <v>475</v>
      </c>
      <c r="E35" s="123">
        <f>IFERROR((D35+D36)/C35,0)</f>
        <v>0.27185185185185184</v>
      </c>
      <c r="F35" s="12">
        <f>VLOOKUP($E$35,FATORES!$B$34:$E$36,3)</f>
        <v>5.0000000000000001E-4</v>
      </c>
      <c r="G35" s="12">
        <f>IFERROR(VLOOKUP($E$35,FATORES!$B$37:$E$38,3),0)</f>
        <v>0</v>
      </c>
      <c r="H35" s="65">
        <f t="shared" si="9"/>
        <v>0.23750000000000002</v>
      </c>
      <c r="I35" s="65">
        <f t="shared" si="8"/>
        <v>0</v>
      </c>
      <c r="J35" s="65">
        <f t="shared" si="10"/>
        <v>0.23750000000000002</v>
      </c>
      <c r="K35" s="121">
        <f>SUMIFS(REALIZADO[META_ESSENCIAIS],REALIZADO[COORDENAÇÃO],$P$7)</f>
        <v>58599.999900000003</v>
      </c>
      <c r="L35" s="86">
        <f>SUMIFS(REALIZADO[AT_ESSENCIAIS_A],REALIZADO[COORDENAÇÃO],$P$7)</f>
        <v>4117</v>
      </c>
      <c r="M35" s="97">
        <f>IFERROR((L35+L36)/K35,0)</f>
        <v>0.1419112630408042</v>
      </c>
      <c r="N35" s="12">
        <f>IF($M$35&gt;=FATORES!$B$39,FATORES!$D$39,0)</f>
        <v>0</v>
      </c>
      <c r="O35" s="14">
        <f t="shared" si="12"/>
        <v>0</v>
      </c>
      <c r="P35" s="13">
        <f t="shared" si="13"/>
        <v>0.23750000000000002</v>
      </c>
      <c r="Q35" s="15">
        <f>IF($F$8=2,P35*0.05,0)</f>
        <v>0</v>
      </c>
      <c r="R35" s="15">
        <f>IF($F$8=3,P35*0.15,0)</f>
        <v>0</v>
      </c>
      <c r="S35" s="99"/>
      <c r="T35" s="125"/>
    </row>
    <row r="36" spans="2:20" x14ac:dyDescent="0.35">
      <c r="B36" s="46" t="s">
        <v>235</v>
      </c>
      <c r="C36" s="122"/>
      <c r="D36" s="87">
        <f>SUMIFS(REALIZADO[AT_ESSENCIAIS_B],REALIZADO[PDV],ICONHA!$M$7)</f>
        <v>993</v>
      </c>
      <c r="E36" s="123"/>
      <c r="F36" s="12">
        <f>VLOOKUP($E$35,FATORES!$B$34:$E$36,4)</f>
        <v>2.5000000000000001E-4</v>
      </c>
      <c r="G36" s="12">
        <f>IFERROR(VLOOKUP($E$35,FATORES!$B$37:$E$38,4),0)</f>
        <v>0</v>
      </c>
      <c r="H36" s="65">
        <f t="shared" si="9"/>
        <v>0.24825</v>
      </c>
      <c r="I36" s="65">
        <f t="shared" si="8"/>
        <v>0</v>
      </c>
      <c r="J36" s="65">
        <f t="shared" si="10"/>
        <v>0.24825</v>
      </c>
      <c r="K36" s="122"/>
      <c r="L36" s="87">
        <f>SUMIFS(REALIZADO[AT_ESSENCIAIS_B],REALIZADO[COORDENAÇÃO],$P$7)</f>
        <v>4199</v>
      </c>
      <c r="M36" s="97"/>
      <c r="N36" s="12">
        <f>IF($M$35&gt;=FATORES!$B$39,FATORES!$E$39,0)</f>
        <v>0</v>
      </c>
      <c r="O36" s="14">
        <f t="shared" si="12"/>
        <v>0</v>
      </c>
      <c r="P36" s="13">
        <f t="shared" si="13"/>
        <v>0.24825</v>
      </c>
      <c r="Q36" s="15">
        <f>IF($F$8=2,P36*0.05,0)</f>
        <v>0</v>
      </c>
      <c r="R36" s="15">
        <f>IF($F$8=3,P36*0.15,0)</f>
        <v>0</v>
      </c>
      <c r="S36" s="99"/>
      <c r="T36" s="125"/>
    </row>
    <row r="37" spans="2:20" x14ac:dyDescent="0.35">
      <c r="B37" s="46" t="s">
        <v>212</v>
      </c>
      <c r="C37" s="57">
        <f>SUMIFS(REALIZADO[META_SEGUROS],REALIZADO[PDV],ICONHA!$M$7)</f>
        <v>550</v>
      </c>
      <c r="D37" s="79">
        <f>SUMIFS(REALIZADO[AT_SEGUROS],REALIZADO[PDV],ICONHA!$M$7)</f>
        <v>50.699999999999996</v>
      </c>
      <c r="E37" s="83">
        <f>IFERROR(D37/C37,0)</f>
        <v>9.218181818181817E-2</v>
      </c>
      <c r="F37" s="83">
        <f>VLOOKUP($E$37,FATORES!$O$32:$Q$34,3)</f>
        <v>5.0000000000000001E-3</v>
      </c>
      <c r="G37" s="12">
        <f>IFERROR(VLOOKUP($E$37,FATORES!$O$35:$Q$36,3),0)</f>
        <v>0</v>
      </c>
      <c r="H37" s="65">
        <f t="shared" si="9"/>
        <v>0.2535</v>
      </c>
      <c r="I37" s="65">
        <f t="shared" si="8"/>
        <v>0</v>
      </c>
      <c r="J37" s="65">
        <f t="shared" si="10"/>
        <v>0.2535</v>
      </c>
      <c r="K37" s="57">
        <f>SUMIFS(REALIZADO[META_SEGUROS],REALIZADO[COORDENAÇÃO],$P$7)</f>
        <v>5665</v>
      </c>
      <c r="L37" s="79">
        <f>SUMIFS(REALIZADO[AT_SEGUROS],REALIZADO[COORDENAÇÃO],$P$7)</f>
        <v>420.19999999999993</v>
      </c>
      <c r="M37" s="50">
        <f t="shared" ref="M37:M38" si="14">IFERROR(L37/K37,0)</f>
        <v>7.4174757281553386E-2</v>
      </c>
      <c r="N37" s="12">
        <f>IF($M$37&gt;=FATORES!$O$37,FATORES!$Q$37,0)</f>
        <v>0</v>
      </c>
      <c r="O37" s="14">
        <f t="shared" si="12"/>
        <v>0</v>
      </c>
      <c r="P37" s="13">
        <f t="shared" si="13"/>
        <v>0.2535</v>
      </c>
      <c r="Q37" s="15">
        <f>IF($G$8=2,P37*0.05,0)</f>
        <v>0</v>
      </c>
      <c r="R37" s="15">
        <f>IF($G$8=3,P37*0.15,0)</f>
        <v>0</v>
      </c>
      <c r="S37" s="99"/>
      <c r="T37" s="125"/>
    </row>
    <row r="38" spans="2:20" x14ac:dyDescent="0.35">
      <c r="B38" s="48" t="s">
        <v>14</v>
      </c>
      <c r="C38" s="76">
        <f>SUMIFS(REALIZADO[META_SVA],REALIZADO[PDV],ICONHA!$M$7)</f>
        <v>450</v>
      </c>
      <c r="D38" s="77">
        <f>SUMIFS(REALIZADO[AT_SVA],REALIZADO[PDV],ICONHA!$M$7)</f>
        <v>30.89</v>
      </c>
      <c r="E38" s="82">
        <f>IFERROR(D38/C38,0)</f>
        <v>6.8644444444444452E-2</v>
      </c>
      <c r="F38" s="16">
        <f>IF($E$38&gt;=0,FATORES!$Q$40)</f>
        <v>5.0000000000000001E-3</v>
      </c>
      <c r="G38" s="16">
        <f>IFERROR(VLOOKUP($E$38,FATORES!$O$43:$Q$44,3),0)</f>
        <v>0</v>
      </c>
      <c r="H38" s="17">
        <f t="shared" si="9"/>
        <v>0.15445</v>
      </c>
      <c r="I38" s="65">
        <f t="shared" si="8"/>
        <v>0</v>
      </c>
      <c r="J38" s="17">
        <f t="shared" si="10"/>
        <v>0.15445</v>
      </c>
      <c r="K38" s="76">
        <f>SUMIFS(REALIZADO[META_SVA],REALIZADO[COORDENAÇÃO],$P$7)</f>
        <v>5384.9997999999996</v>
      </c>
      <c r="L38" s="77">
        <f>SUMIFS(REALIZADO[AT_SVA],REALIZADO[COORDENAÇÃO],$P$7)</f>
        <v>461.54999999999995</v>
      </c>
      <c r="M38" s="51">
        <f t="shared" si="14"/>
        <v>8.5710309589983644E-2</v>
      </c>
      <c r="N38" s="16">
        <f>IF($M$38&gt;=FATORES!$O$45,FATORES!$Q$45,0)</f>
        <v>0</v>
      </c>
      <c r="O38" s="14">
        <f t="shared" si="12"/>
        <v>0</v>
      </c>
      <c r="P38" s="18">
        <f t="shared" si="13"/>
        <v>0.15445</v>
      </c>
      <c r="Q38" s="19">
        <f>IF($H$8=2,P38*0.05,0)</f>
        <v>0</v>
      </c>
      <c r="R38" s="19">
        <f>IF($H$8=3,P38*0.15,0)</f>
        <v>0</v>
      </c>
      <c r="S38" s="100"/>
      <c r="T38" s="126"/>
    </row>
    <row r="39" spans="2:20" x14ac:dyDescent="0.35">
      <c r="B39" s="66"/>
      <c r="C39" s="67"/>
      <c r="D39" s="67"/>
      <c r="E39" s="67"/>
      <c r="F39" s="67"/>
      <c r="G39" s="67"/>
      <c r="H39" s="67"/>
      <c r="I39" s="67"/>
      <c r="J39" s="68"/>
      <c r="K39" s="69"/>
      <c r="L39" s="67"/>
      <c r="M39" s="67"/>
      <c r="N39" s="67"/>
      <c r="O39" s="67"/>
      <c r="P39" s="70">
        <f>SUM(P30:P38)</f>
        <v>6.3082499999999992</v>
      </c>
      <c r="Q39" s="70">
        <f t="shared" ref="Q39:R39" si="15">SUM(Q30:Q38)</f>
        <v>0</v>
      </c>
      <c r="R39" s="70">
        <f t="shared" si="15"/>
        <v>0</v>
      </c>
      <c r="S39" s="71" t="str">
        <f>IF($P$7="ARIEL",IF(MIN(E30,E32,E33,E34,E35,E37,E38)&gt;=100%,SUM(P39:R39)*S30,""),IF(MIN(E30:E38)&gt;=100%,SUM(P39:R39)*S30,""))</f>
        <v/>
      </c>
      <c r="T39" s="72"/>
    </row>
    <row r="41" spans="2:20" ht="18.5" x14ac:dyDescent="0.35">
      <c r="B41" s="107" t="s">
        <v>239</v>
      </c>
      <c r="C41" s="108"/>
      <c r="D41" s="108"/>
      <c r="E41" s="108"/>
      <c r="F41" s="108"/>
      <c r="G41" s="108"/>
      <c r="H41" s="108"/>
      <c r="I41" s="108"/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T41" s="108"/>
    </row>
    <row r="42" spans="2:20" x14ac:dyDescent="0.35">
      <c r="B42" s="109" t="s">
        <v>9</v>
      </c>
      <c r="C42" s="110"/>
      <c r="D42" s="110"/>
      <c r="E42" s="110"/>
      <c r="F42" s="110"/>
      <c r="G42" s="110"/>
      <c r="H42" s="110"/>
      <c r="I42" s="110"/>
      <c r="J42" s="111"/>
      <c r="K42" s="112" t="s">
        <v>54</v>
      </c>
      <c r="L42" s="113"/>
      <c r="M42" s="113"/>
      <c r="N42" s="113"/>
      <c r="O42" s="113"/>
      <c r="P42" s="7"/>
      <c r="Q42" s="7"/>
      <c r="R42" s="7"/>
      <c r="S42" s="7"/>
      <c r="T42" s="64"/>
    </row>
    <row r="43" spans="2:20" ht="14.5" customHeight="1" x14ac:dyDescent="0.35">
      <c r="B43" s="114" t="s">
        <v>214</v>
      </c>
      <c r="C43" s="116" t="s">
        <v>237</v>
      </c>
      <c r="D43" s="117"/>
      <c r="E43" s="104"/>
      <c r="F43" s="118" t="s">
        <v>216</v>
      </c>
      <c r="G43" s="118" t="s">
        <v>217</v>
      </c>
      <c r="H43" s="118" t="s">
        <v>218</v>
      </c>
      <c r="I43" s="118" t="s">
        <v>219</v>
      </c>
      <c r="J43" s="118" t="s">
        <v>220</v>
      </c>
      <c r="K43" s="104" t="s">
        <v>238</v>
      </c>
      <c r="L43" s="105"/>
      <c r="M43" s="105"/>
      <c r="N43" s="106" t="s">
        <v>222</v>
      </c>
      <c r="O43" s="106" t="s">
        <v>223</v>
      </c>
      <c r="P43" s="106" t="s">
        <v>224</v>
      </c>
      <c r="Q43" s="106" t="s">
        <v>225</v>
      </c>
      <c r="R43" s="106" t="s">
        <v>226</v>
      </c>
      <c r="S43" s="106" t="s">
        <v>227</v>
      </c>
      <c r="T43" s="119" t="s">
        <v>228</v>
      </c>
    </row>
    <row r="44" spans="2:20" x14ac:dyDescent="0.35">
      <c r="B44" s="115"/>
      <c r="C44" s="94" t="s">
        <v>229</v>
      </c>
      <c r="D44" s="120" t="s">
        <v>230</v>
      </c>
      <c r="E44" s="120"/>
      <c r="F44" s="118"/>
      <c r="G44" s="118"/>
      <c r="H44" s="118"/>
      <c r="I44" s="118"/>
      <c r="J44" s="118"/>
      <c r="K44" s="52" t="s">
        <v>229</v>
      </c>
      <c r="L44" s="120" t="s">
        <v>230</v>
      </c>
      <c r="M44" s="120"/>
      <c r="N44" s="106"/>
      <c r="O44" s="106"/>
      <c r="P44" s="106"/>
      <c r="Q44" s="106"/>
      <c r="R44" s="106"/>
      <c r="S44" s="106"/>
      <c r="T44" s="119"/>
    </row>
    <row r="45" spans="2:20" x14ac:dyDescent="0.35">
      <c r="B45" s="45" t="s">
        <v>2</v>
      </c>
      <c r="C45" s="53">
        <v>4100</v>
      </c>
      <c r="D45" s="54">
        <v>4856</v>
      </c>
      <c r="E45" s="49">
        <f>IFERROR(D45/C45,0)</f>
        <v>1.184390243902439</v>
      </c>
      <c r="F45" s="8">
        <f>VLOOKUP($E$45,FATORES!$I$32:$K$34,3)</f>
        <v>0.04</v>
      </c>
      <c r="G45" s="8">
        <f>IFERROR(VLOOKUP(E45,FATORES!$I$35:$K$36,3),0)</f>
        <v>0.08</v>
      </c>
      <c r="H45" s="9">
        <f>D45*F45</f>
        <v>194.24</v>
      </c>
      <c r="I45" s="9">
        <f t="shared" ref="I45:I53" si="16">IF($P$7="ARIEL",
   IF(AND($E$45&gt;=69.5%, AND($E$47&gt;=69.5%, $E$48&gt;=69.5%, $E$48&gt;=69.5%, $E$50&gt;=69.5%, $E$50&gt;=69.5%, $E$52&gt;=69.5%, $E$53&gt;=69.5%)),
      D45*G45,
      0),
   IF(AND($E$45&gt;=69.5%, $E$46&gt;=69.5%, $E$47&gt;=69.5%, $E$48&gt;=69.5%, $E$48&gt;=69.5%, $E$50&gt;=69.5%, $E$50&gt;=69.5%, $E$52&gt;=69.5%, $E$53&gt;=69.5%),
      D45*G45,
      0)
)</f>
        <v>388.48</v>
      </c>
      <c r="J45" s="9">
        <f>H45+I45</f>
        <v>582.72</v>
      </c>
      <c r="K45" s="53">
        <f>SUMIFS(REALIZADO[META_MOVEL],REALIZADO[COORDENAÇÃO],$P$7)</f>
        <v>59729.999899999995</v>
      </c>
      <c r="L45" s="54">
        <v>87821</v>
      </c>
      <c r="M45" s="49">
        <f>IFERROR(L45/K45,0)</f>
        <v>1.4702996843634686</v>
      </c>
      <c r="N45" s="8">
        <f>IF($M$45&gt;=FATORES!$I$37,FATORES!$K$37,0)</f>
        <v>0.03</v>
      </c>
      <c r="O45" s="14">
        <f>IF(E45&gt;=100%,
IF($P$7="ARIEL",
   IF(AND($E$45&gt;=69.5%, AND($E$47&gt;=69.5%, $E$48&gt;=69.5%, $E$48&gt;=69.5%, $E$50&gt;=69.5%, $E$50&gt;=69.5%, $E$52&gt;=69.5%, $E$53&gt;=69.5%)),
      D45*N45,
      0),
   IF(AND($E$45&gt;=69.5%, $E$46&gt;=69.5%, $E$47&gt;=69.5%, $E$48&gt;=69.5%, $E$48&gt;=69.5%, $E$50&gt;=69.5%, $E$50&gt;=69.5%, $E$52&gt;=69.5%, $E$53&gt;=69.5%),
      D45*N45,
      0)
),0)</f>
        <v>145.68</v>
      </c>
      <c r="P45" s="10">
        <f>J45+O45</f>
        <v>728.40000000000009</v>
      </c>
      <c r="Q45" s="11">
        <f>IF($B$8=2,P45*0.05,0)</f>
        <v>0</v>
      </c>
      <c r="R45" s="11">
        <f>IF($B$8=3,P45*0.15,0)</f>
        <v>0</v>
      </c>
      <c r="S45" s="98">
        <v>0.1</v>
      </c>
      <c r="T45" s="101">
        <f>SUM($P$54:$S$54)</f>
        <v>1256.7484599999998</v>
      </c>
    </row>
    <row r="46" spans="2:20" x14ac:dyDescent="0.35">
      <c r="B46" s="46" t="s">
        <v>13</v>
      </c>
      <c r="C46" s="55">
        <v>0</v>
      </c>
      <c r="D46" s="56">
        <v>0</v>
      </c>
      <c r="E46" s="50">
        <f>IFERROR(D46/C46,0)</f>
        <v>0</v>
      </c>
      <c r="F46" s="12">
        <f>VLOOKUP($E$46,FATORES!$I$40:$K$42,3)</f>
        <v>5.0000000000000001E-3</v>
      </c>
      <c r="G46" s="12">
        <f>IFERROR(VLOOKUP(E46,FATORES!$I$43:$K$44,3),0)</f>
        <v>0</v>
      </c>
      <c r="H46" s="65">
        <f t="shared" ref="H46:H53" si="17">D46*F46</f>
        <v>0</v>
      </c>
      <c r="I46" s="65">
        <f t="shared" si="16"/>
        <v>0</v>
      </c>
      <c r="J46" s="65">
        <f t="shared" ref="J46:J53" si="18">H46+I46</f>
        <v>0</v>
      </c>
      <c r="K46" s="55">
        <v>0</v>
      </c>
      <c r="L46" s="56">
        <v>0</v>
      </c>
      <c r="M46" s="50">
        <f t="shared" ref="M46:M53" si="19">IFERROR(L46/K46,0)</f>
        <v>0</v>
      </c>
      <c r="N46" s="12">
        <f>IF($M$46&gt;=FATORES!$I$45,FATORES!$K$45,0)</f>
        <v>0</v>
      </c>
      <c r="O46" s="14">
        <f t="shared" ref="O46:O53" si="20">IF(E46&gt;=100%,
IF($P$7="ARIEL",
   IF(AND($E$45&gt;=69.5%, AND($E$47&gt;=69.5%, $E$48&gt;=69.5%, $E$48&gt;=69.5%, $E$50&gt;=69.5%, $E$50&gt;=69.5%, $E$52&gt;=69.5%, $E$53&gt;=69.5%)),
      D46*N46,
      0),
   IF(AND($E$45&gt;=69.5%, $E$46&gt;=69.5%, $E$47&gt;=69.5%, $E$48&gt;=69.5%, $E$48&gt;=69.5%, $E$50&gt;=69.5%, $E$50&gt;=69.5%, $E$52&gt;=69.5%, $E$53&gt;=69.5%),
      D46*N46,
      0)
),0)</f>
        <v>0</v>
      </c>
      <c r="P46" s="13">
        <f t="shared" ref="P46:P53" si="21">J46+O46</f>
        <v>0</v>
      </c>
      <c r="Q46" s="15">
        <f>IF($C$8=2,P46*0.05,0)</f>
        <v>0</v>
      </c>
      <c r="R46" s="15">
        <f>IF($C$8=3,P46*0.15,0)</f>
        <v>0</v>
      </c>
      <c r="S46" s="99"/>
      <c r="T46" s="102"/>
    </row>
    <row r="47" spans="2:20" x14ac:dyDescent="0.35">
      <c r="B47" s="46" t="s">
        <v>231</v>
      </c>
      <c r="C47" s="55">
        <v>69000</v>
      </c>
      <c r="D47" s="56">
        <v>121941</v>
      </c>
      <c r="E47" s="50">
        <f>IFERROR(D47/C47,0)</f>
        <v>1.7672608695652174</v>
      </c>
      <c r="F47" s="12">
        <f>VLOOKUP($E$47,FATORES!$B$53:$D$54,3)</f>
        <v>5.0000000000000001E-4</v>
      </c>
      <c r="G47" s="12">
        <f>IFERROR(VLOOKUP(E47,FATORES!$B$55:$D$55,3),0)</f>
        <v>1E-3</v>
      </c>
      <c r="H47" s="65">
        <f t="shared" si="17"/>
        <v>60.970500000000001</v>
      </c>
      <c r="I47" s="65">
        <f t="shared" si="16"/>
        <v>121.941</v>
      </c>
      <c r="J47" s="65">
        <f t="shared" si="18"/>
        <v>182.91149999999999</v>
      </c>
      <c r="K47" s="55">
        <v>0</v>
      </c>
      <c r="L47" s="56">
        <v>0</v>
      </c>
      <c r="M47" s="50">
        <f t="shared" si="19"/>
        <v>0</v>
      </c>
      <c r="N47" s="12">
        <f>IF($M$47&gt;=FATORES!$B$56,FATORES!$D$56,0)</f>
        <v>0</v>
      </c>
      <c r="O47" s="14">
        <f t="shared" si="20"/>
        <v>0</v>
      </c>
      <c r="P47" s="13">
        <f t="shared" si="21"/>
        <v>182.91149999999999</v>
      </c>
      <c r="Q47" s="15">
        <f>IF($D$8=2,P47*0.05,0)</f>
        <v>0</v>
      </c>
      <c r="R47" s="15">
        <f>IF($D$8=3,P47*0.15,0)</f>
        <v>0</v>
      </c>
      <c r="S47" s="99"/>
      <c r="T47" s="102"/>
    </row>
    <row r="48" spans="2:20" x14ac:dyDescent="0.35">
      <c r="B48" s="47" t="s">
        <v>232</v>
      </c>
      <c r="C48" s="96">
        <v>5000</v>
      </c>
      <c r="D48" s="56">
        <v>0</v>
      </c>
      <c r="E48" s="97">
        <f>IFERROR((D48+D49)/C48,0)</f>
        <v>2.4281999999999999</v>
      </c>
      <c r="F48" s="12">
        <f>VLOOKUP($E$48,FATORES!$B$44:$E$46,3)</f>
        <v>1.5E-3</v>
      </c>
      <c r="G48" s="12">
        <f>IFERROR(VLOOKUP(E48,FATORES!$B$47:$E$48,3),0)</f>
        <v>7.0000000000000001E-3</v>
      </c>
      <c r="H48" s="65">
        <f t="shared" si="17"/>
        <v>0</v>
      </c>
      <c r="I48" s="65">
        <f t="shared" si="16"/>
        <v>0</v>
      </c>
      <c r="J48" s="65">
        <f t="shared" si="18"/>
        <v>0</v>
      </c>
      <c r="K48" s="96">
        <v>0</v>
      </c>
      <c r="L48" s="56">
        <v>0</v>
      </c>
      <c r="M48" s="97">
        <f>IFERROR((L48+L49)/K48,0)</f>
        <v>0</v>
      </c>
      <c r="N48" s="12">
        <f>IF($M$48&gt;=FATORES!$B$49,FATORES!$D$49,0)</f>
        <v>0</v>
      </c>
      <c r="O48" s="14">
        <f t="shared" si="20"/>
        <v>0</v>
      </c>
      <c r="P48" s="13">
        <f t="shared" si="21"/>
        <v>0</v>
      </c>
      <c r="Q48" s="15">
        <f>IF($E$8=2,P48*0.05,0)</f>
        <v>0</v>
      </c>
      <c r="R48" s="15">
        <f>IF($E$8=3,P48*0.15,0)</f>
        <v>0</v>
      </c>
      <c r="S48" s="99"/>
      <c r="T48" s="102"/>
    </row>
    <row r="49" spans="2:20" x14ac:dyDescent="0.35">
      <c r="B49" s="47" t="s">
        <v>233</v>
      </c>
      <c r="C49" s="96"/>
      <c r="D49" s="56">
        <v>12141</v>
      </c>
      <c r="E49" s="97"/>
      <c r="F49" s="12">
        <f>VLOOKUP($E$48,FATORES!$B$44:$E$46,4)</f>
        <v>7.5000000000000002E-4</v>
      </c>
      <c r="G49" s="12">
        <f>IFERROR(VLOOKUP(E48,FATORES!$B$47:$E$48,4),0)</f>
        <v>3.5000000000000001E-3</v>
      </c>
      <c r="H49" s="65">
        <f t="shared" si="17"/>
        <v>9.1057500000000005</v>
      </c>
      <c r="I49" s="65">
        <f t="shared" si="16"/>
        <v>42.493499999999997</v>
      </c>
      <c r="J49" s="65">
        <f t="shared" si="18"/>
        <v>51.599249999999998</v>
      </c>
      <c r="K49" s="96"/>
      <c r="L49" s="56">
        <v>0</v>
      </c>
      <c r="M49" s="97"/>
      <c r="N49" s="12">
        <f>IF($M$48&gt;=FATORES!$B$49,FATORES!$E$49,0)</f>
        <v>0</v>
      </c>
      <c r="O49" s="14">
        <f t="shared" si="20"/>
        <v>0</v>
      </c>
      <c r="P49" s="13">
        <f t="shared" si="21"/>
        <v>51.599249999999998</v>
      </c>
      <c r="Q49" s="15">
        <f>IF($E$8=2,P49*0.05,0)</f>
        <v>0</v>
      </c>
      <c r="R49" s="15">
        <f>IF($E$8=3,P49*0.15,0)</f>
        <v>0</v>
      </c>
      <c r="S49" s="99"/>
      <c r="T49" s="102"/>
    </row>
    <row r="50" spans="2:20" x14ac:dyDescent="0.35">
      <c r="B50" s="46" t="s">
        <v>234</v>
      </c>
      <c r="C50" s="96">
        <v>5200</v>
      </c>
      <c r="D50" s="56">
        <v>3895</v>
      </c>
      <c r="E50" s="97">
        <f>IFERROR((D50+D51)/C50,0)</f>
        <v>1.4980769230769231</v>
      </c>
      <c r="F50" s="12">
        <f>VLOOKUP($E$50,FATORES!$B$34:$E$36,3)</f>
        <v>1.5E-3</v>
      </c>
      <c r="G50" s="12">
        <f>IFERROR(VLOOKUP(E50,FATORES!$B$37:$E$38,3),0)</f>
        <v>6.0000000000000001E-3</v>
      </c>
      <c r="H50" s="65">
        <f t="shared" si="17"/>
        <v>5.8425000000000002</v>
      </c>
      <c r="I50" s="65">
        <f t="shared" si="16"/>
        <v>23.37</v>
      </c>
      <c r="J50" s="65">
        <f t="shared" si="18"/>
        <v>29.212500000000002</v>
      </c>
      <c r="K50" s="96">
        <v>0</v>
      </c>
      <c r="L50" s="56">
        <v>0</v>
      </c>
      <c r="M50" s="97">
        <f>IFERROR((L50+L51)/K50,0)</f>
        <v>0</v>
      </c>
      <c r="N50" s="12">
        <f>IF($M$50&gt;=FATORES!$B$39,FATORES!$D$39,0)</f>
        <v>0</v>
      </c>
      <c r="O50" s="14">
        <f t="shared" si="20"/>
        <v>0</v>
      </c>
      <c r="P50" s="13">
        <f t="shared" si="21"/>
        <v>29.212500000000002</v>
      </c>
      <c r="Q50" s="15">
        <f>IF($F$8=2,P50*0.05,0)</f>
        <v>0</v>
      </c>
      <c r="R50" s="15">
        <f>IF($F$8=3,P50*0.15,0)</f>
        <v>0</v>
      </c>
      <c r="S50" s="99"/>
      <c r="T50" s="102"/>
    </row>
    <row r="51" spans="2:20" x14ac:dyDescent="0.35">
      <c r="B51" s="46" t="s">
        <v>235</v>
      </c>
      <c r="C51" s="96"/>
      <c r="D51" s="56">
        <v>3895</v>
      </c>
      <c r="E51" s="97"/>
      <c r="F51" s="12">
        <f>VLOOKUP($E$50,FATORES!$B$34:$E$36,4)</f>
        <v>7.5000000000000002E-4</v>
      </c>
      <c r="G51" s="12">
        <f>IFERROR(VLOOKUP(E50,FATORES!$B$37:$E$38,4),0)</f>
        <v>3.0000000000000001E-3</v>
      </c>
      <c r="H51" s="65">
        <f t="shared" si="17"/>
        <v>2.9212500000000001</v>
      </c>
      <c r="I51" s="65">
        <f t="shared" si="16"/>
        <v>11.685</v>
      </c>
      <c r="J51" s="65">
        <f t="shared" si="18"/>
        <v>14.606250000000001</v>
      </c>
      <c r="K51" s="96"/>
      <c r="L51" s="56">
        <v>0</v>
      </c>
      <c r="M51" s="97"/>
      <c r="N51" s="12">
        <f>IF($M$50&gt;=FATORES!$B$39,FATORES!$E$39,0)</f>
        <v>0</v>
      </c>
      <c r="O51" s="14">
        <f t="shared" si="20"/>
        <v>0</v>
      </c>
      <c r="P51" s="13">
        <f t="shared" si="21"/>
        <v>14.606250000000001</v>
      </c>
      <c r="Q51" s="15">
        <f>IF($F$8=2,P51*0.05,0)</f>
        <v>0</v>
      </c>
      <c r="R51" s="15">
        <f>IF($F$8=3,P51*0.15,0)</f>
        <v>0</v>
      </c>
      <c r="S51" s="99"/>
      <c r="T51" s="102"/>
    </row>
    <row r="52" spans="2:20" x14ac:dyDescent="0.35">
      <c r="B52" s="46" t="s">
        <v>212</v>
      </c>
      <c r="C52" s="55">
        <v>550</v>
      </c>
      <c r="D52" s="56">
        <v>687.7</v>
      </c>
      <c r="E52" s="50">
        <f>IFERROR(D52/C52,0)</f>
        <v>1.2503636363636363</v>
      </c>
      <c r="F52" s="83">
        <f>VLOOKUP($E$52,FATORES!$O$32:$Q$34,3)</f>
        <v>0.04</v>
      </c>
      <c r="G52" s="12">
        <f>IFERROR(VLOOKUP(E52,FATORES!$O$35:$Q$36,3),0)</f>
        <v>0.15</v>
      </c>
      <c r="H52" s="65">
        <f t="shared" si="17"/>
        <v>27.508000000000003</v>
      </c>
      <c r="I52" s="65">
        <f t="shared" si="16"/>
        <v>103.155</v>
      </c>
      <c r="J52" s="65">
        <f t="shared" si="18"/>
        <v>130.66300000000001</v>
      </c>
      <c r="K52" s="55">
        <v>0</v>
      </c>
      <c r="L52" s="56">
        <v>0</v>
      </c>
      <c r="M52" s="50">
        <f t="shared" si="19"/>
        <v>0</v>
      </c>
      <c r="N52" s="12">
        <f>IF($M$52&gt;=FATORES!$O$37,FATORES!$Q$37,0)</f>
        <v>0</v>
      </c>
      <c r="O52" s="14">
        <f t="shared" si="20"/>
        <v>0</v>
      </c>
      <c r="P52" s="13">
        <f t="shared" si="21"/>
        <v>130.66300000000001</v>
      </c>
      <c r="Q52" s="15">
        <f>IF($G$8=2,P52*0.05,0)</f>
        <v>0</v>
      </c>
      <c r="R52" s="15">
        <f>IF($G$8=3,P52*0.15,0)</f>
        <v>0</v>
      </c>
      <c r="S52" s="99"/>
      <c r="T52" s="102"/>
    </row>
    <row r="53" spans="2:20" x14ac:dyDescent="0.35">
      <c r="B53" s="48" t="s">
        <v>14</v>
      </c>
      <c r="C53" s="57">
        <v>450</v>
      </c>
      <c r="D53" s="58">
        <v>510.61</v>
      </c>
      <c r="E53" s="51">
        <f>IFERROR(D53/C53,0)</f>
        <v>1.1346888888888889</v>
      </c>
      <c r="F53" s="16">
        <f>IF($E$53&gt;=0,FATORES!$Q$40)</f>
        <v>5.0000000000000001E-3</v>
      </c>
      <c r="G53" s="16">
        <f>IFERROR(VLOOKUP(E53,FATORES!$O$43:$Q$44,3),0)</f>
        <v>5.0000000000000001E-3</v>
      </c>
      <c r="H53" s="17">
        <f t="shared" si="17"/>
        <v>2.5530500000000003</v>
      </c>
      <c r="I53" s="65">
        <f t="shared" si="16"/>
        <v>2.5530500000000003</v>
      </c>
      <c r="J53" s="17">
        <f t="shared" si="18"/>
        <v>5.1061000000000005</v>
      </c>
      <c r="K53" s="57">
        <v>0</v>
      </c>
      <c r="L53" s="58">
        <v>0</v>
      </c>
      <c r="M53" s="51">
        <f t="shared" si="19"/>
        <v>0</v>
      </c>
      <c r="N53" s="16">
        <f>IF($M$53&gt;=FATORES!$O$45,FATORES!$Q$45,0)</f>
        <v>0</v>
      </c>
      <c r="O53" s="14">
        <f t="shared" si="20"/>
        <v>0</v>
      </c>
      <c r="P53" s="18">
        <f t="shared" si="21"/>
        <v>5.1061000000000005</v>
      </c>
      <c r="Q53" s="19">
        <f>IF($H$8=2,P53*0.05,0)</f>
        <v>0</v>
      </c>
      <c r="R53" s="19">
        <f>IF($H$8=3,P53*0.15,0)</f>
        <v>0</v>
      </c>
      <c r="S53" s="100"/>
      <c r="T53" s="103"/>
    </row>
    <row r="54" spans="2:20" x14ac:dyDescent="0.35">
      <c r="B54" s="66"/>
      <c r="C54" s="67"/>
      <c r="D54" s="67"/>
      <c r="E54" s="67"/>
      <c r="F54" s="67"/>
      <c r="G54" s="67"/>
      <c r="H54" s="67"/>
      <c r="I54" s="67"/>
      <c r="J54" s="68"/>
      <c r="K54" s="69"/>
      <c r="L54" s="67"/>
      <c r="M54" s="67"/>
      <c r="N54" s="67"/>
      <c r="O54" s="67"/>
      <c r="P54" s="70">
        <f>SUM(P45:P53)</f>
        <v>1142.4985999999999</v>
      </c>
      <c r="Q54" s="70">
        <f t="shared" ref="Q54:R54" si="22">SUM(Q45:Q53)</f>
        <v>0</v>
      </c>
      <c r="R54" s="70">
        <f t="shared" si="22"/>
        <v>0</v>
      </c>
      <c r="S54" s="71">
        <f>IF($P$7="ARIEL",IF(MIN(E45,E47,E48,E49,E50,E52,E53)&gt;=99.99%,SUM(P54:R54)*S45,""),IF(MIN(E45:E53)&gt;=99.99%,SUM(P54:R54)*S45,""))</f>
        <v>114.24986</v>
      </c>
      <c r="T54" s="72"/>
    </row>
  </sheetData>
  <sheetProtection algorithmName="SHA-512" hashValue="uIm72VcHgT8qgD/NsloKkVY2rrRDAOa8weYMGOi7W83SW1uTMmarSvpjBTyX4H0ChMTSCEMkMo1gTKotGIz/bA==" saltValue="OBfkM9nUA0mp10QqBoxvIA==" spinCount="100000" sheet="1" objects="1" scenarios="1"/>
  <protectedRanges>
    <protectedRange sqref="B8:H8 C45:D53 K45:L53" name="Intervalo1"/>
  </protectedRanges>
  <mergeCells count="94">
    <mergeCell ref="I13:I14"/>
    <mergeCell ref="B12:J12"/>
    <mergeCell ref="K12:T12"/>
    <mergeCell ref="B2:T4"/>
    <mergeCell ref="B6:H6"/>
    <mergeCell ref="M6:N6"/>
    <mergeCell ref="M7:N7"/>
    <mergeCell ref="B11:T11"/>
    <mergeCell ref="B13:B14"/>
    <mergeCell ref="C13:E13"/>
    <mergeCell ref="F13:F14"/>
    <mergeCell ref="G13:G14"/>
    <mergeCell ref="H13:H14"/>
    <mergeCell ref="D14:E14"/>
    <mergeCell ref="J13:J14"/>
    <mergeCell ref="K13:M13"/>
    <mergeCell ref="S13:S14"/>
    <mergeCell ref="T13:T14"/>
    <mergeCell ref="L14:M14"/>
    <mergeCell ref="N13:N14"/>
    <mergeCell ref="O13:O14"/>
    <mergeCell ref="P13:P14"/>
    <mergeCell ref="Q13:Q14"/>
    <mergeCell ref="R13:R14"/>
    <mergeCell ref="C20:C21"/>
    <mergeCell ref="E20:E21"/>
    <mergeCell ref="K20:K21"/>
    <mergeCell ref="M20:M21"/>
    <mergeCell ref="B26:T26"/>
    <mergeCell ref="S15:S23"/>
    <mergeCell ref="T15:T23"/>
    <mergeCell ref="C18:C19"/>
    <mergeCell ref="E18:E19"/>
    <mergeCell ref="K18:K19"/>
    <mergeCell ref="M18:M19"/>
    <mergeCell ref="B27:J27"/>
    <mergeCell ref="K27:T27"/>
    <mergeCell ref="B28:B29"/>
    <mergeCell ref="C28:E28"/>
    <mergeCell ref="F28:F29"/>
    <mergeCell ref="G28:G29"/>
    <mergeCell ref="H28:H29"/>
    <mergeCell ref="I28:I29"/>
    <mergeCell ref="J28:J29"/>
    <mergeCell ref="S28:S29"/>
    <mergeCell ref="T28:T29"/>
    <mergeCell ref="D29:E29"/>
    <mergeCell ref="L29:M29"/>
    <mergeCell ref="S30:S38"/>
    <mergeCell ref="T30:T38"/>
    <mergeCell ref="K28:M28"/>
    <mergeCell ref="N28:N29"/>
    <mergeCell ref="O28:O29"/>
    <mergeCell ref="P28:P29"/>
    <mergeCell ref="Q28:Q29"/>
    <mergeCell ref="R28:R29"/>
    <mergeCell ref="C33:C34"/>
    <mergeCell ref="E33:E34"/>
    <mergeCell ref="K33:K34"/>
    <mergeCell ref="M33:M34"/>
    <mergeCell ref="C35:C36"/>
    <mergeCell ref="E35:E36"/>
    <mergeCell ref="K35:K36"/>
    <mergeCell ref="M35:M36"/>
    <mergeCell ref="B41:T41"/>
    <mergeCell ref="B42:J42"/>
    <mergeCell ref="K42:O42"/>
    <mergeCell ref="B43:B44"/>
    <mergeCell ref="C43:E43"/>
    <mergeCell ref="F43:F44"/>
    <mergeCell ref="G43:G44"/>
    <mergeCell ref="H43:H44"/>
    <mergeCell ref="I43:I44"/>
    <mergeCell ref="J43:J44"/>
    <mergeCell ref="S43:S44"/>
    <mergeCell ref="T43:T44"/>
    <mergeCell ref="D44:E44"/>
    <mergeCell ref="L44:M44"/>
    <mergeCell ref="S45:S53"/>
    <mergeCell ref="T45:T53"/>
    <mergeCell ref="K43:M43"/>
    <mergeCell ref="N43:N44"/>
    <mergeCell ref="O43:O44"/>
    <mergeCell ref="P43:P44"/>
    <mergeCell ref="Q43:Q44"/>
    <mergeCell ref="R43:R44"/>
    <mergeCell ref="C48:C49"/>
    <mergeCell ref="E48:E49"/>
    <mergeCell ref="K48:K49"/>
    <mergeCell ref="M48:M49"/>
    <mergeCell ref="C50:C51"/>
    <mergeCell ref="E50:E51"/>
    <mergeCell ref="K50:K51"/>
    <mergeCell ref="M50:M51"/>
  </mergeCells>
  <conditionalFormatting sqref="E15:E18 E20 E22:E23">
    <cfRule type="cellIs" dxfId="702" priority="22" operator="between">
      <formula>0.7</formula>
      <formula>1</formula>
    </cfRule>
    <cfRule type="cellIs" dxfId="701" priority="23" operator="greaterThanOrEqual">
      <formula>1</formula>
    </cfRule>
    <cfRule type="cellIs" dxfId="700" priority="24" operator="lessThan">
      <formula>0.7</formula>
    </cfRule>
  </conditionalFormatting>
  <conditionalFormatting sqref="E30:E33 E35 E37:E38">
    <cfRule type="cellIs" dxfId="699" priority="10" operator="between">
      <formula>0.7</formula>
      <formula>1</formula>
    </cfRule>
    <cfRule type="cellIs" dxfId="698" priority="11" operator="greaterThanOrEqual">
      <formula>1</formula>
    </cfRule>
    <cfRule type="cellIs" dxfId="697" priority="12" operator="lessThan">
      <formula>0.7</formula>
    </cfRule>
  </conditionalFormatting>
  <conditionalFormatting sqref="E45:E48 E50 E52:E53">
    <cfRule type="cellIs" dxfId="696" priority="34" operator="between">
      <formula>0.7</formula>
      <formula>1</formula>
    </cfRule>
    <cfRule type="cellIs" dxfId="695" priority="35" operator="greaterThanOrEqual">
      <formula>1</formula>
    </cfRule>
    <cfRule type="cellIs" dxfId="694" priority="36" operator="lessThan">
      <formula>0.7</formula>
    </cfRule>
  </conditionalFormatting>
  <conditionalFormatting sqref="M15:M18">
    <cfRule type="cellIs" dxfId="693" priority="16" operator="between">
      <formula>0.7</formula>
      <formula>1</formula>
    </cfRule>
    <cfRule type="cellIs" dxfId="692" priority="17" operator="greaterThanOrEqual">
      <formula>1</formula>
    </cfRule>
    <cfRule type="cellIs" dxfId="691" priority="18" operator="lessThan">
      <formula>0.7</formula>
    </cfRule>
  </conditionalFormatting>
  <conditionalFormatting sqref="M20">
    <cfRule type="cellIs" dxfId="690" priority="13" operator="between">
      <formula>0.7</formula>
      <formula>1</formula>
    </cfRule>
    <cfRule type="cellIs" dxfId="689" priority="14" operator="greaterThanOrEqual">
      <formula>1</formula>
    </cfRule>
    <cfRule type="cellIs" dxfId="688" priority="15" operator="lessThan">
      <formula>0.7</formula>
    </cfRule>
  </conditionalFormatting>
  <conditionalFormatting sqref="M22:M23">
    <cfRule type="cellIs" dxfId="687" priority="19" operator="between">
      <formula>0.7</formula>
      <formula>1</formula>
    </cfRule>
    <cfRule type="cellIs" dxfId="686" priority="20" operator="greaterThanOrEqual">
      <formula>1</formula>
    </cfRule>
    <cfRule type="cellIs" dxfId="685" priority="21" operator="lessThan">
      <formula>0.7</formula>
    </cfRule>
  </conditionalFormatting>
  <conditionalFormatting sqref="M30:M33">
    <cfRule type="cellIs" dxfId="684" priority="4" operator="between">
      <formula>0.7</formula>
      <formula>1</formula>
    </cfRule>
    <cfRule type="cellIs" dxfId="683" priority="5" operator="greaterThanOrEqual">
      <formula>1</formula>
    </cfRule>
    <cfRule type="cellIs" dxfId="682" priority="6" operator="lessThan">
      <formula>0.7</formula>
    </cfRule>
  </conditionalFormatting>
  <conditionalFormatting sqref="M35">
    <cfRule type="cellIs" dxfId="681" priority="1" operator="between">
      <formula>0.7</formula>
      <formula>1</formula>
    </cfRule>
    <cfRule type="cellIs" dxfId="680" priority="2" operator="greaterThanOrEqual">
      <formula>1</formula>
    </cfRule>
    <cfRule type="cellIs" dxfId="679" priority="3" operator="lessThan">
      <formula>0.7</formula>
    </cfRule>
  </conditionalFormatting>
  <conditionalFormatting sqref="M37:M38">
    <cfRule type="cellIs" dxfId="678" priority="7" operator="between">
      <formula>0.7</formula>
      <formula>1</formula>
    </cfRule>
    <cfRule type="cellIs" dxfId="677" priority="8" operator="greaterThanOrEqual">
      <formula>1</formula>
    </cfRule>
    <cfRule type="cellIs" dxfId="676" priority="9" operator="lessThan">
      <formula>0.7</formula>
    </cfRule>
  </conditionalFormatting>
  <conditionalFormatting sqref="M45:M48">
    <cfRule type="cellIs" dxfId="675" priority="28" operator="between">
      <formula>0.7</formula>
      <formula>1</formula>
    </cfRule>
    <cfRule type="cellIs" dxfId="674" priority="29" operator="greaterThanOrEqual">
      <formula>1</formula>
    </cfRule>
    <cfRule type="cellIs" dxfId="673" priority="30" operator="lessThan">
      <formula>0.7</formula>
    </cfRule>
  </conditionalFormatting>
  <conditionalFormatting sqref="M50">
    <cfRule type="cellIs" dxfId="672" priority="25" operator="between">
      <formula>0.7</formula>
      <formula>1</formula>
    </cfRule>
    <cfRule type="cellIs" dxfId="671" priority="26" operator="greaterThanOrEqual">
      <formula>1</formula>
    </cfRule>
    <cfRule type="cellIs" dxfId="670" priority="27" operator="lessThan">
      <formula>0.7</formula>
    </cfRule>
  </conditionalFormatting>
  <conditionalFormatting sqref="M52:M53">
    <cfRule type="cellIs" dxfId="669" priority="31" operator="between">
      <formula>0.7</formula>
      <formula>1</formula>
    </cfRule>
    <cfRule type="cellIs" dxfId="668" priority="32" operator="greaterThanOrEqual">
      <formula>1</formula>
    </cfRule>
    <cfRule type="cellIs" dxfId="667" priority="33" operator="lessThan">
      <formula>0.7</formula>
    </cfRule>
  </conditionalFormatting>
  <dataValidations count="1">
    <dataValidation type="list" allowBlank="1" showInputMessage="1" showErrorMessage="1" sqref="B8:H8" xr:uid="{22EB1DB1-9167-4644-9B32-1D60E1DA6D3C}">
      <formula1>$V$6:$X$6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CD848-8B6B-41BC-A0B6-F40A59895ED6}">
  <dimension ref="B1:X54"/>
  <sheetViews>
    <sheetView showGridLines="0" zoomScale="70" zoomScaleNormal="70" workbookViewId="0"/>
  </sheetViews>
  <sheetFormatPr defaultRowHeight="14.5" x14ac:dyDescent="0.35"/>
  <cols>
    <col min="1" max="1" width="2.1796875" customWidth="1"/>
    <col min="2" max="2" width="16.453125" customWidth="1"/>
    <col min="3" max="3" width="13.7265625" bestFit="1" customWidth="1"/>
    <col min="4" max="4" width="14.54296875" customWidth="1"/>
    <col min="5" max="5" width="13.453125" bestFit="1" customWidth="1"/>
    <col min="6" max="6" width="14" customWidth="1"/>
    <col min="7" max="7" width="18.7265625" customWidth="1"/>
    <col min="8" max="8" width="15" customWidth="1"/>
    <col min="9" max="9" width="20" customWidth="1"/>
    <col min="10" max="10" width="21.1796875" customWidth="1"/>
    <col min="11" max="12" width="16.453125" customWidth="1"/>
    <col min="13" max="13" width="9.7265625" customWidth="1"/>
    <col min="14" max="14" width="20.54296875" customWidth="1"/>
    <col min="15" max="15" width="21" customWidth="1"/>
    <col min="16" max="16" width="15.26953125" customWidth="1"/>
    <col min="17" max="17" width="13" bestFit="1" customWidth="1"/>
    <col min="18" max="18" width="10.453125" bestFit="1" customWidth="1"/>
    <col min="19" max="19" width="12.7265625" bestFit="1" customWidth="1"/>
    <col min="20" max="20" width="14.453125" customWidth="1"/>
  </cols>
  <sheetData>
    <row r="1" spans="2:24" x14ac:dyDescent="0.35">
      <c r="B1" s="59"/>
    </row>
    <row r="2" spans="2:24" x14ac:dyDescent="0.35">
      <c r="B2" s="143" t="s">
        <v>207</v>
      </c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5"/>
    </row>
    <row r="3" spans="2:24" x14ac:dyDescent="0.35">
      <c r="B3" s="146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8"/>
    </row>
    <row r="4" spans="2:24" x14ac:dyDescent="0.35">
      <c r="B4" s="149"/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1"/>
    </row>
    <row r="5" spans="2:24" x14ac:dyDescent="0.35">
      <c r="B5" s="60"/>
      <c r="T5" s="61"/>
    </row>
    <row r="6" spans="2:24" ht="14.5" customHeight="1" x14ac:dyDescent="0.35">
      <c r="B6" s="152" t="s">
        <v>208</v>
      </c>
      <c r="C6" s="153"/>
      <c r="D6" s="153"/>
      <c r="E6" s="153"/>
      <c r="F6" s="153"/>
      <c r="G6" s="153"/>
      <c r="H6" s="154"/>
      <c r="M6" s="155" t="s">
        <v>54</v>
      </c>
      <c r="N6" s="156"/>
      <c r="P6" s="74" t="s">
        <v>23</v>
      </c>
      <c r="T6" s="61"/>
      <c r="V6" s="1">
        <v>0</v>
      </c>
      <c r="W6" s="1">
        <v>2</v>
      </c>
      <c r="X6" s="1">
        <v>3</v>
      </c>
    </row>
    <row r="7" spans="2:24" ht="14.5" customHeight="1" x14ac:dyDescent="0.35">
      <c r="B7" s="62" t="s">
        <v>209</v>
      </c>
      <c r="C7" s="2" t="s">
        <v>13</v>
      </c>
      <c r="D7" s="2" t="s">
        <v>210</v>
      </c>
      <c r="E7" s="2" t="s">
        <v>16</v>
      </c>
      <c r="F7" s="2" t="s">
        <v>211</v>
      </c>
      <c r="G7" s="2" t="s">
        <v>212</v>
      </c>
      <c r="H7" s="3" t="s">
        <v>14</v>
      </c>
      <c r="M7" s="157" t="s">
        <v>31</v>
      </c>
      <c r="N7" s="158"/>
      <c r="P7" s="75" t="s">
        <v>28</v>
      </c>
      <c r="T7" s="61"/>
    </row>
    <row r="8" spans="2:24" ht="14.5" customHeight="1" x14ac:dyDescent="0.35">
      <c r="B8" s="63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5">
        <v>0</v>
      </c>
      <c r="T8" s="61"/>
    </row>
    <row r="9" spans="2:24" x14ac:dyDescent="0.35">
      <c r="B9" s="84"/>
      <c r="C9" s="85"/>
      <c r="D9" s="85"/>
      <c r="E9" s="85"/>
      <c r="F9" s="85"/>
      <c r="G9" s="85"/>
      <c r="H9" s="85"/>
    </row>
    <row r="10" spans="2:24" x14ac:dyDescent="0.35">
      <c r="B10" s="84"/>
      <c r="C10" s="85"/>
      <c r="D10" s="85"/>
      <c r="E10" s="85"/>
      <c r="F10" s="85"/>
      <c r="G10" s="85"/>
      <c r="H10" s="85"/>
    </row>
    <row r="11" spans="2:24" ht="18.5" x14ac:dyDescent="0.35">
      <c r="B11" s="159" t="s">
        <v>213</v>
      </c>
      <c r="C11" s="160"/>
      <c r="D11" s="160"/>
      <c r="E11" s="160"/>
      <c r="F11" s="160"/>
      <c r="G11" s="160"/>
      <c r="H11" s="160"/>
      <c r="I11" s="160"/>
      <c r="J11" s="160"/>
      <c r="K11" s="160"/>
      <c r="L11" s="160"/>
      <c r="M11" s="160"/>
      <c r="N11" s="160"/>
      <c r="O11" s="160"/>
      <c r="P11" s="160"/>
      <c r="Q11" s="160"/>
      <c r="R11" s="160"/>
      <c r="S11" s="160"/>
      <c r="T11" s="160"/>
    </row>
    <row r="12" spans="2:24" x14ac:dyDescent="0.35">
      <c r="B12" s="129" t="s">
        <v>9</v>
      </c>
      <c r="C12" s="130"/>
      <c r="D12" s="130"/>
      <c r="E12" s="130"/>
      <c r="F12" s="130"/>
      <c r="G12" s="130"/>
      <c r="H12" s="130"/>
      <c r="I12" s="130"/>
      <c r="J12" s="131"/>
      <c r="K12" s="132" t="s">
        <v>54</v>
      </c>
      <c r="L12" s="130"/>
      <c r="M12" s="130"/>
      <c r="N12" s="130"/>
      <c r="O12" s="130"/>
      <c r="P12" s="130"/>
      <c r="Q12" s="130"/>
      <c r="R12" s="130"/>
      <c r="S12" s="130"/>
      <c r="T12" s="133"/>
    </row>
    <row r="13" spans="2:24" ht="14.5" customHeight="1" x14ac:dyDescent="0.35">
      <c r="B13" s="115" t="s">
        <v>214</v>
      </c>
      <c r="C13" s="116" t="s">
        <v>215</v>
      </c>
      <c r="D13" s="117"/>
      <c r="E13" s="104"/>
      <c r="F13" s="135" t="s">
        <v>216</v>
      </c>
      <c r="G13" s="135" t="s">
        <v>217</v>
      </c>
      <c r="H13" s="135" t="s">
        <v>218</v>
      </c>
      <c r="I13" s="135" t="s">
        <v>219</v>
      </c>
      <c r="J13" s="135" t="s">
        <v>220</v>
      </c>
      <c r="K13" s="116" t="s">
        <v>221</v>
      </c>
      <c r="L13" s="117"/>
      <c r="M13" s="104"/>
      <c r="N13" s="127" t="s">
        <v>222</v>
      </c>
      <c r="O13" s="127" t="s">
        <v>223</v>
      </c>
      <c r="P13" s="127" t="s">
        <v>224</v>
      </c>
      <c r="Q13" s="127" t="s">
        <v>225</v>
      </c>
      <c r="R13" s="127" t="s">
        <v>226</v>
      </c>
      <c r="S13" s="127" t="s">
        <v>227</v>
      </c>
      <c r="T13" s="137" t="s">
        <v>228</v>
      </c>
    </row>
    <row r="14" spans="2:24" x14ac:dyDescent="0.35">
      <c r="B14" s="134"/>
      <c r="C14" s="94" t="s">
        <v>229</v>
      </c>
      <c r="D14" s="139" t="s">
        <v>230</v>
      </c>
      <c r="E14" s="140"/>
      <c r="F14" s="136"/>
      <c r="G14" s="136"/>
      <c r="H14" s="136"/>
      <c r="I14" s="136"/>
      <c r="J14" s="136"/>
      <c r="K14" s="52" t="s">
        <v>229</v>
      </c>
      <c r="L14" s="139" t="s">
        <v>230</v>
      </c>
      <c r="M14" s="140"/>
      <c r="N14" s="128"/>
      <c r="O14" s="128"/>
      <c r="P14" s="128"/>
      <c r="Q14" s="128"/>
      <c r="R14" s="128"/>
      <c r="S14" s="128"/>
      <c r="T14" s="138"/>
    </row>
    <row r="15" spans="2:24" x14ac:dyDescent="0.35">
      <c r="B15" s="45" t="s">
        <v>2</v>
      </c>
      <c r="C15" s="76">
        <f>SUMIFS(REALIZADO[META_MOVEL],REALIZADO[PDV],MIRACEMA!$M$7)</f>
        <v>5190</v>
      </c>
      <c r="D15" s="77">
        <f>SUMIFS(PROJEÇÃO[PROJ_MOVEL],PROJEÇÃO[PDV],MIRACEMA!$M$7)</f>
        <v>4688.7777999999998</v>
      </c>
      <c r="E15" s="49">
        <f>IFERROR(D15/C15,0)</f>
        <v>0.903425394990366</v>
      </c>
      <c r="F15" s="8">
        <f>VLOOKUP($E$15,FATORES!$I$32:$K$34,3)</f>
        <v>0.04</v>
      </c>
      <c r="G15" s="8">
        <f>IFERROR(VLOOKUP($E$15,FATORES!$I$35:$K$36,3),0)</f>
        <v>0</v>
      </c>
      <c r="H15" s="9">
        <f>D15*F15</f>
        <v>187.55111199999999</v>
      </c>
      <c r="I15" s="9">
        <f t="shared" ref="I15:I23" si="0">IF($P$7="ARIEL",
   IF(AND($E$15&gt;=69.5%, AND($E$17&gt;=69.5%, $E$18&gt;=69.5%, $E$18&gt;=69.5%, $E$20&gt;=69.5%, $E$20&gt;=69.5%, $E$22&gt;=69.5%, $E$23&gt;=69.5%)),
      D15*G15,
      0),
   IF(AND($E$15&gt;=69.5%, $E$16&gt;=69.5%, $E$17&gt;=69.5%, $E$18&gt;=69.5%, $E$18&gt;=69.5%, $E$20&gt;=69.5%, $E$20&gt;=69.5%, $E$22&gt;=69.5%, $E$23&gt;=69.5%),
      D15*G15,
      0)
)</f>
        <v>0</v>
      </c>
      <c r="J15" s="9">
        <f>H15+I15</f>
        <v>187.55111199999999</v>
      </c>
      <c r="K15" s="76">
        <f>SUMIFS(REALIZADO[META_MOVEL],REALIZADO[COORDENAÇÃO],$P$7)</f>
        <v>59729.999899999995</v>
      </c>
      <c r="L15" s="77">
        <f>SUMIFS(PROJEÇÃO[PROJ_MOVEL],PROJEÇÃO[COORDENAÇÃO],$P$7)</f>
        <v>52523.219899999989</v>
      </c>
      <c r="M15" s="49">
        <f>IFERROR(L15/K15,0)</f>
        <v>0.87934404801497401</v>
      </c>
      <c r="N15" s="8">
        <f>IF($M$15&gt;=FATORES!$I$37,FATORES!$K$37,0)</f>
        <v>0</v>
      </c>
      <c r="O15" s="14">
        <f>IF(E15&gt;=100%,
   IF($P$7="ARIEL",
      IF(AND($E$15&gt;=69.5%,$E$17&gt;=69.5%,$E$18&gt;=69.5%,$E$20&gt;=69.5%,$E$22&gt;=69.5%,$E$23&gt;=69.5%),
         D15*N15,
         0
      ),
      IF(AND($E$15&gt;=69.5%,$E$16&gt;=69.5%,$E$17&gt;=69.5%,$E$18&gt;=69.5%,$E$20&gt;=69.5%,$E$22&gt;=69.5%,$E$23&gt;=69.5%),
         D15*N15,
         0
      )
   ),
0)</f>
        <v>0</v>
      </c>
      <c r="P15" s="10">
        <f>J15+O15</f>
        <v>187.55111199999999</v>
      </c>
      <c r="Q15" s="11">
        <f>IF($B$8=2,P15*0.05,0)</f>
        <v>0</v>
      </c>
      <c r="R15" s="11">
        <f>IF($B$8=3,P15*0.15,0)</f>
        <v>0</v>
      </c>
      <c r="S15" s="98">
        <v>0.1</v>
      </c>
      <c r="T15" s="124">
        <f>SUM(P24:S24)</f>
        <v>625.82549277500004</v>
      </c>
    </row>
    <row r="16" spans="2:24" x14ac:dyDescent="0.35">
      <c r="B16" s="46" t="s">
        <v>13</v>
      </c>
      <c r="C16" s="76">
        <f>SUMIFS(REALIZADO[META_FIXA],REALIZADO[PDV],MIRACEMA!$M$7)</f>
        <v>0</v>
      </c>
      <c r="D16" s="77">
        <f>SUMIFS(PROJEÇÃO[PROJ_FIXA],PROJEÇÃO[PDV],MIRACEMA!$M$7)</f>
        <v>0</v>
      </c>
      <c r="E16" s="50">
        <f>IFERROR(D16/C16,0)</f>
        <v>0</v>
      </c>
      <c r="F16" s="12">
        <f>VLOOKUP($E$16,FATORES!$I$40:$K$42,3)</f>
        <v>5.0000000000000001E-3</v>
      </c>
      <c r="G16" s="12">
        <f>IFERROR(VLOOKUP($E$16,FATORES!$I$43:$K$44,3),0)</f>
        <v>0</v>
      </c>
      <c r="H16" s="65">
        <f t="shared" ref="H16:H23" si="1">D16*F16</f>
        <v>0</v>
      </c>
      <c r="I16" s="65">
        <f t="shared" si="0"/>
        <v>0</v>
      </c>
      <c r="J16" s="65">
        <f t="shared" ref="J16:J23" si="2">H16+I16</f>
        <v>0</v>
      </c>
      <c r="K16" s="76">
        <f>SUMIFS(REALIZADO[META_FIXA],REALIZADO[COORDENAÇÃO],$P$7)</f>
        <v>0</v>
      </c>
      <c r="L16" s="77">
        <f>SUMIFS(PROJEÇÃO[PROJ_FIXA],PROJEÇÃO[COORDENAÇÃO],$P$7)</f>
        <v>0</v>
      </c>
      <c r="M16" s="50">
        <f t="shared" ref="M16:M17" si="3">IFERROR(L16/K16,0)</f>
        <v>0</v>
      </c>
      <c r="N16" s="12">
        <f>IF($M$16&gt;=FATORES!$I$45,FATORES!$K$45,0)</f>
        <v>0</v>
      </c>
      <c r="O16" s="14">
        <f t="shared" ref="O16:O23" si="4">IF(E16&gt;=100%,
   IF($P$7="ARIEL",
      IF(AND($E$15&gt;=69.5%,$E$17&gt;=69.5%,$E$18&gt;=69.5%,$E$20&gt;=69.5%,$E$22&gt;=69.5%,$E$23&gt;=69.5%),
         D16*N16,
         0
      ),
      IF(AND($E$15&gt;=69.5%,$E$16&gt;=69.5%,$E$17&gt;=69.5%,$E$18&gt;=69.5%,$E$20&gt;=69.5%,$E$22&gt;=69.5%,$E$23&gt;=69.5%),
         D16*N16,
         0
      )
   ),
0)</f>
        <v>0</v>
      </c>
      <c r="P16" s="13">
        <f t="shared" ref="P16:P23" si="5">J16+O16</f>
        <v>0</v>
      </c>
      <c r="Q16" s="15">
        <f>IF($C$8=2,P16*0.05,0)</f>
        <v>0</v>
      </c>
      <c r="R16" s="15">
        <f>IF($C$8=3,P16*0.15,0)</f>
        <v>0</v>
      </c>
      <c r="S16" s="99"/>
      <c r="T16" s="125"/>
    </row>
    <row r="17" spans="2:20" x14ac:dyDescent="0.35">
      <c r="B17" s="46" t="s">
        <v>231</v>
      </c>
      <c r="C17" s="53">
        <f>SUMIFS(REALIZADO[META_SMARTPHONE],REALIZADO[PDV],MIRACEMA!$M$7)</f>
        <v>85000</v>
      </c>
      <c r="D17" s="78">
        <f>SUMIFS(PROJEÇÃO[PROJ_APARELHO],PROJEÇÃO[PDV],MIRACEMA!$M$7)</f>
        <v>104419.77770000001</v>
      </c>
      <c r="E17" s="50">
        <f>IFERROR(D17/C17,0)</f>
        <v>1.2284679729411765</v>
      </c>
      <c r="F17" s="12">
        <f>VLOOKUP($E$17,FATORES!$B$53:$D$54,3)</f>
        <v>5.0000000000000001E-4</v>
      </c>
      <c r="G17" s="12">
        <f>IFERROR(VLOOKUP($E$17,FATORES!$B$55:$D$55,3),0)</f>
        <v>1E-3</v>
      </c>
      <c r="H17" s="65">
        <f t="shared" si="1"/>
        <v>52.209888850000006</v>
      </c>
      <c r="I17" s="65">
        <f t="shared" si="0"/>
        <v>104.41977770000001</v>
      </c>
      <c r="J17" s="65">
        <f t="shared" si="2"/>
        <v>156.62966655000002</v>
      </c>
      <c r="K17" s="53">
        <f>SUMIFS(REALIZADO[META_SMARTPHONE],REALIZADO[COORDENAÇÃO],$P$7)</f>
        <v>741000.00010000006</v>
      </c>
      <c r="L17" s="78">
        <f>SUMIFS(PROJEÇÃO[PROJ_APARELHO],PROJEÇÃO[COORDENAÇÃO],$P$7)</f>
        <v>619809.5554999999</v>
      </c>
      <c r="M17" s="50">
        <f t="shared" si="3"/>
        <v>0.8364501422622872</v>
      </c>
      <c r="N17" s="12">
        <f>IF($M$17&gt;=FATORES!$B$56,FATORES!$D$56,0)</f>
        <v>0</v>
      </c>
      <c r="O17" s="14">
        <f t="shared" si="4"/>
        <v>0</v>
      </c>
      <c r="P17" s="13">
        <f t="shared" si="5"/>
        <v>156.62966655000002</v>
      </c>
      <c r="Q17" s="15">
        <f>IF($D$8=2,P17*0.05,0)</f>
        <v>0</v>
      </c>
      <c r="R17" s="15">
        <f>IF($D$8=3,P17*0.15,0)</f>
        <v>0</v>
      </c>
      <c r="S17" s="99"/>
      <c r="T17" s="125"/>
    </row>
    <row r="18" spans="2:20" x14ac:dyDescent="0.35">
      <c r="B18" s="47" t="s">
        <v>232</v>
      </c>
      <c r="C18" s="121">
        <f>SUMIFS(REALIZADO[META_ACESSORIO],REALIZADO[PDV],MIRACEMA!$M$7)</f>
        <v>11000</v>
      </c>
      <c r="D18" s="86">
        <f>SUMIFS(PROJEÇÃO[PROJ_ELETRO_A],PROJEÇÃO[PDV],MIRACEMA!$M$7)</f>
        <v>420.11110000000002</v>
      </c>
      <c r="E18" s="123">
        <f>IFERROR((D18+D19)/C18,0)</f>
        <v>1.6656666636363635</v>
      </c>
      <c r="F18" s="12">
        <f>VLOOKUP($E$18,FATORES!$B$44:$E$46,3)</f>
        <v>1.5E-3</v>
      </c>
      <c r="G18" s="12">
        <f>IFERROR(VLOOKUP($E$18,FATORES!$B$47:$E$48,3),0)</f>
        <v>7.0000000000000001E-3</v>
      </c>
      <c r="H18" s="65">
        <f t="shared" si="1"/>
        <v>0.63016665000000005</v>
      </c>
      <c r="I18" s="65">
        <f t="shared" si="0"/>
        <v>2.9407777000000004</v>
      </c>
      <c r="J18" s="65">
        <f t="shared" si="2"/>
        <v>3.5709443500000004</v>
      </c>
      <c r="K18" s="121">
        <f>SUMIFS(REALIZADO[META_ACESSORIO],REALIZADO[COORDENAÇÃO],$P$7)</f>
        <v>84200.000200000009</v>
      </c>
      <c r="L18" s="86">
        <f>SUMIFS(PROJEÇÃO[PROJ_ELETRO_A],PROJEÇÃO[COORDENAÇÃO],$P$7)</f>
        <v>2058.3333000000002</v>
      </c>
      <c r="M18" s="97">
        <f>IFERROR((L18+L19)/K18,0)</f>
        <v>1.2364040611961895</v>
      </c>
      <c r="N18" s="12">
        <f>IF($M$18&gt;=FATORES!$B$49,FATORES!$D$49,0)</f>
        <v>2.5000000000000001E-3</v>
      </c>
      <c r="O18" s="14">
        <f t="shared" si="4"/>
        <v>1.05027775</v>
      </c>
      <c r="P18" s="13">
        <f t="shared" si="5"/>
        <v>4.6212221000000007</v>
      </c>
      <c r="Q18" s="15">
        <f>IF($E$8=2,P18*0.05,0)</f>
        <v>0</v>
      </c>
      <c r="R18" s="15">
        <f>IF($E$8=3,P18*0.15,0)</f>
        <v>0</v>
      </c>
      <c r="S18" s="99"/>
      <c r="T18" s="125"/>
    </row>
    <row r="19" spans="2:20" x14ac:dyDescent="0.35">
      <c r="B19" s="47" t="s">
        <v>233</v>
      </c>
      <c r="C19" s="122"/>
      <c r="D19" s="87">
        <f>SUMIFS(PROJEÇÃO[PROJ_ELETRO_B],PROJEÇÃO[PDV],MIRACEMA!$M$7)</f>
        <v>17902.2222</v>
      </c>
      <c r="E19" s="123"/>
      <c r="F19" s="12">
        <f>VLOOKUP($E$18,FATORES!$B$44:$E$46,4)</f>
        <v>7.5000000000000002E-4</v>
      </c>
      <c r="G19" s="12">
        <f>IFERROR(VLOOKUP($E$18,FATORES!$B$47:$E$48,4),0)</f>
        <v>3.5000000000000001E-3</v>
      </c>
      <c r="H19" s="65">
        <f t="shared" si="1"/>
        <v>13.42666665</v>
      </c>
      <c r="I19" s="65">
        <f t="shared" si="0"/>
        <v>62.657777700000004</v>
      </c>
      <c r="J19" s="65">
        <f t="shared" si="2"/>
        <v>76.084444349999998</v>
      </c>
      <c r="K19" s="122"/>
      <c r="L19" s="87">
        <f>SUMIFS(PROJEÇÃO[PROJ_ELETRO_B],PROJEÇÃO[COORDENAÇÃO],$P$7)</f>
        <v>102046.88889999999</v>
      </c>
      <c r="M19" s="97"/>
      <c r="N19" s="12">
        <f>IF($M$18&gt;=FATORES!$B$49,FATORES!$E$49,0)</f>
        <v>1.25E-3</v>
      </c>
      <c r="O19" s="14">
        <f t="shared" si="4"/>
        <v>0</v>
      </c>
      <c r="P19" s="13">
        <f t="shared" si="5"/>
        <v>76.084444349999998</v>
      </c>
      <c r="Q19" s="15">
        <f>IF($E$8=2,P19*0.05,0)</f>
        <v>0</v>
      </c>
      <c r="R19" s="15">
        <f>IF($E$8=3,P19*0.15,0)</f>
        <v>0</v>
      </c>
      <c r="S19" s="99"/>
      <c r="T19" s="125"/>
    </row>
    <row r="20" spans="2:20" x14ac:dyDescent="0.35">
      <c r="B20" s="46" t="s">
        <v>234</v>
      </c>
      <c r="C20" s="121">
        <f>SUMIFS(REALIZADO[META_ESSENCIAIS],REALIZADO[PDV],MIRACEMA!$M$7)</f>
        <v>7700</v>
      </c>
      <c r="D20" s="86">
        <f>SUMIFS(PROJEÇÃO[PROJ_ESSEN_A],PROJEÇÃO[PDV],MIRACEMA!$M$7)</f>
        <v>3607.8887999999997</v>
      </c>
      <c r="E20" s="123">
        <f>IFERROR((D20+D21)/C20,0)</f>
        <v>1.1838672337662337</v>
      </c>
      <c r="F20" s="12">
        <f>VLOOKUP($E$20,FATORES!$B$34:$E$36,3)</f>
        <v>1.5E-3</v>
      </c>
      <c r="G20" s="12">
        <f>IFERROR(VLOOKUP($E$20,FATORES!$B$37:$E$38,3),0)</f>
        <v>6.0000000000000001E-3</v>
      </c>
      <c r="H20" s="65">
        <f t="shared" si="1"/>
        <v>5.4118331999999993</v>
      </c>
      <c r="I20" s="65">
        <f t="shared" si="0"/>
        <v>21.647332799999997</v>
      </c>
      <c r="J20" s="65">
        <f t="shared" si="2"/>
        <v>27.059165999999998</v>
      </c>
      <c r="K20" s="121">
        <f>SUMIFS(REALIZADO[META_ESSENCIAIS],REALIZADO[COORDENAÇÃO],$P$7)</f>
        <v>58599.999900000003</v>
      </c>
      <c r="L20" s="86">
        <f>SUMIFS(PROJEÇÃO[PROJ_ESSEN_A],PROJEÇÃO[COORDENAÇÃO],$P$7)</f>
        <v>30216.333300000002</v>
      </c>
      <c r="M20" s="97">
        <f>IFERROR((L20+L21)/K20,0)</f>
        <v>1.094031099136572</v>
      </c>
      <c r="N20" s="12">
        <f>IF($M$20&gt;=FATORES!$B$39,FATORES!$D$39,0)</f>
        <v>8.0000000000000002E-3</v>
      </c>
      <c r="O20" s="14">
        <f t="shared" si="4"/>
        <v>28.8631104</v>
      </c>
      <c r="P20" s="13">
        <f t="shared" si="5"/>
        <v>55.922276400000001</v>
      </c>
      <c r="Q20" s="15">
        <f>IF($F$8=2,P20*0.05,0)</f>
        <v>0</v>
      </c>
      <c r="R20" s="15">
        <f>IF($F$8=3,P20*0.15,0)</f>
        <v>0</v>
      </c>
      <c r="S20" s="99"/>
      <c r="T20" s="125"/>
    </row>
    <row r="21" spans="2:20" x14ac:dyDescent="0.35">
      <c r="B21" s="46" t="s">
        <v>235</v>
      </c>
      <c r="C21" s="122"/>
      <c r="D21" s="87">
        <f>SUMIFS(PROJEÇÃO[PROJ_ESSEN_B],PROJEÇÃO[PDV],MIRACEMA!$M$7)</f>
        <v>5507.8888999999999</v>
      </c>
      <c r="E21" s="123"/>
      <c r="F21" s="12">
        <f>VLOOKUP($E$20,FATORES!$B$34:$E$36,4)</f>
        <v>7.5000000000000002E-4</v>
      </c>
      <c r="G21" s="12">
        <f>IFERROR(VLOOKUP($E$20,FATORES!$B$37:$E$38,4),0)</f>
        <v>3.0000000000000001E-3</v>
      </c>
      <c r="H21" s="65">
        <f t="shared" si="1"/>
        <v>4.1309166749999999</v>
      </c>
      <c r="I21" s="65">
        <f t="shared" si="0"/>
        <v>16.5236667</v>
      </c>
      <c r="J21" s="65">
        <f t="shared" si="2"/>
        <v>20.654583375000001</v>
      </c>
      <c r="K21" s="122"/>
      <c r="L21" s="87">
        <f>SUMIFS(PROJEÇÃO[PROJ_ESSEN_B],PROJEÇÃO[COORDENAÇÃO],$P$7)</f>
        <v>33893.88900000001</v>
      </c>
      <c r="M21" s="97"/>
      <c r="N21" s="12">
        <f>IF($M$20&gt;=FATORES!$B$39,FATORES!$E$39,0)</f>
        <v>4.0000000000000001E-3</v>
      </c>
      <c r="O21" s="14">
        <f t="shared" si="4"/>
        <v>0</v>
      </c>
      <c r="P21" s="13">
        <f t="shared" si="5"/>
        <v>20.654583375000001</v>
      </c>
      <c r="Q21" s="15">
        <f>IF($F$8=2,P21*0.05,0)</f>
        <v>0</v>
      </c>
      <c r="R21" s="15">
        <f>IF($F$8=3,P21*0.15,0)</f>
        <v>0</v>
      </c>
      <c r="S21" s="99"/>
      <c r="T21" s="125"/>
    </row>
    <row r="22" spans="2:20" x14ac:dyDescent="0.35">
      <c r="B22" s="46" t="s">
        <v>212</v>
      </c>
      <c r="C22" s="57">
        <f>SUMIFS(REALIZADO[META_SEGUROS],REALIZADO[PDV],MIRACEMA!$M$7)</f>
        <v>480</v>
      </c>
      <c r="D22" s="79">
        <f>SUMIFS(PROJEÇÃO[PROJ_SEGURO],PROJEÇÃO[PDV],MIRACEMA!$M$7)</f>
        <v>646.84450000000004</v>
      </c>
      <c r="E22" s="83">
        <f>IFERROR(D22/C22,0)</f>
        <v>1.3475927083333334</v>
      </c>
      <c r="F22" s="83">
        <f>VLOOKUP($E$22,FATORES!$O$32:$Q$34,3)</f>
        <v>0.04</v>
      </c>
      <c r="G22" s="12">
        <f>IFERROR(VLOOKUP($E$22,FATORES!$O$35:$Q$36,3),0)</f>
        <v>0.15</v>
      </c>
      <c r="H22" s="65">
        <f t="shared" si="1"/>
        <v>25.873780000000004</v>
      </c>
      <c r="I22" s="65">
        <f t="shared" si="0"/>
        <v>97.026674999999997</v>
      </c>
      <c r="J22" s="65">
        <f t="shared" si="2"/>
        <v>122.90045499999999</v>
      </c>
      <c r="K22" s="57">
        <f>SUMIFS(REALIZADO[META_SEGUROS],REALIZADO[COORDENAÇÃO],$P$7)</f>
        <v>5665</v>
      </c>
      <c r="L22" s="79">
        <f>SUMIFS(PROJEÇÃO[PROJ_SEGURO],PROJEÇÃO[COORDENAÇÃO],$P$7)</f>
        <v>5467.5668999999998</v>
      </c>
      <c r="M22" s="50">
        <f t="shared" ref="M22:M23" si="6">IFERROR(L22/K22,0)</f>
        <v>0.96514861429832299</v>
      </c>
      <c r="N22" s="12">
        <f>IF($M$22&gt;=FATORES!$O$37,FATORES!$Q$37,0)</f>
        <v>0</v>
      </c>
      <c r="O22" s="14">
        <f t="shared" si="4"/>
        <v>0</v>
      </c>
      <c r="P22" s="13">
        <f t="shared" si="5"/>
        <v>122.90045499999999</v>
      </c>
      <c r="Q22" s="15">
        <f>IF($G$8=2,P22*0.05,0)</f>
        <v>0</v>
      </c>
      <c r="R22" s="15">
        <f>IF($G$8=3,P22*0.15,0)</f>
        <v>0</v>
      </c>
      <c r="S22" s="99"/>
      <c r="T22" s="125"/>
    </row>
    <row r="23" spans="2:20" x14ac:dyDescent="0.35">
      <c r="B23" s="48" t="s">
        <v>14</v>
      </c>
      <c r="C23" s="76">
        <f>SUMIFS(REALIZADO[META_SVA],REALIZADO[PDV],MIRACEMA!$M$7)</f>
        <v>380</v>
      </c>
      <c r="D23" s="77">
        <f>SUMIFS(PROJEÇÃO[PROJ_SVA],PROJEÇÃO[PDV],MIRACEMA!$M$7)</f>
        <v>292.34659999999997</v>
      </c>
      <c r="E23" s="82">
        <f>IFERROR(D23/C23,0)</f>
        <v>0.76933315789473677</v>
      </c>
      <c r="F23" s="16">
        <f>IF($E$23&gt;=0,FATORES!$Q$40)</f>
        <v>5.0000000000000001E-3</v>
      </c>
      <c r="G23" s="16">
        <f>IFERROR(VLOOKUP($E$23,FATORES!$O$43:$Q$44,3),0)</f>
        <v>0</v>
      </c>
      <c r="H23" s="17">
        <f t="shared" si="1"/>
        <v>1.4617329999999999</v>
      </c>
      <c r="I23" s="65">
        <f t="shared" si="0"/>
        <v>0</v>
      </c>
      <c r="J23" s="17">
        <f t="shared" si="2"/>
        <v>1.4617329999999999</v>
      </c>
      <c r="K23" s="76">
        <f>SUMIFS(REALIZADO[META_SVA],REALIZADO[COORDENAÇÃO],$P$7)</f>
        <v>5384.9997999999996</v>
      </c>
      <c r="L23" s="77">
        <f>SUMIFS(PROJEÇÃO[PROJ_SVA],PROJEÇÃO[COORDENAÇÃO],$P$7)</f>
        <v>5513.6099000000004</v>
      </c>
      <c r="M23" s="51">
        <f t="shared" si="6"/>
        <v>1.0238830278136688</v>
      </c>
      <c r="N23" s="16">
        <f>IF($M$23&gt;=FATORES!$O$45,FATORES!$Q$45,0)</f>
        <v>5.0000000000000001E-3</v>
      </c>
      <c r="O23" s="14">
        <f t="shared" si="4"/>
        <v>0</v>
      </c>
      <c r="P23" s="18">
        <f t="shared" si="5"/>
        <v>1.4617329999999999</v>
      </c>
      <c r="Q23" s="19">
        <f>IF($H$8=2,P23*0.05,0)</f>
        <v>0</v>
      </c>
      <c r="R23" s="19">
        <f>IF($H$8=3,P23*0.15,0)</f>
        <v>0</v>
      </c>
      <c r="S23" s="100"/>
      <c r="T23" s="126"/>
    </row>
    <row r="24" spans="2:20" x14ac:dyDescent="0.35">
      <c r="B24" s="66"/>
      <c r="C24" s="67"/>
      <c r="D24" s="67"/>
      <c r="E24" s="67"/>
      <c r="F24" s="67"/>
      <c r="G24" s="67"/>
      <c r="H24" s="67"/>
      <c r="I24" s="67"/>
      <c r="J24" s="68"/>
      <c r="K24" s="69"/>
      <c r="L24" s="67"/>
      <c r="M24" s="67"/>
      <c r="N24" s="67"/>
      <c r="O24" s="67"/>
      <c r="P24" s="70">
        <f>SUM(P15:P23)</f>
        <v>625.82549277500004</v>
      </c>
      <c r="Q24" s="70">
        <f t="shared" ref="Q24:R24" si="7">SUM(Q15:Q23)</f>
        <v>0</v>
      </c>
      <c r="R24" s="70">
        <f t="shared" si="7"/>
        <v>0</v>
      </c>
      <c r="S24" s="71" t="str">
        <f>IF($P$7="ARIEL",IF(MIN(E15,E17,E18,E19,E20,E22,E23)&gt;=100%,SUM(P24:R24)*S15,""),IF(MIN(E15:E23)&gt;=100%,SUM(P24:R24)*S15,""))</f>
        <v/>
      </c>
      <c r="T24" s="72"/>
    </row>
    <row r="25" spans="2:20" ht="16.149999999999999" customHeight="1" x14ac:dyDescent="0.35">
      <c r="B25" s="80"/>
      <c r="C25" s="6"/>
      <c r="D25" s="6"/>
      <c r="E25" s="6"/>
      <c r="F25" s="6"/>
      <c r="G25" s="6"/>
      <c r="H25" s="6"/>
      <c r="T25" s="61"/>
    </row>
    <row r="26" spans="2:20" ht="18.5" x14ac:dyDescent="0.35">
      <c r="B26" s="141" t="s">
        <v>236</v>
      </c>
      <c r="C26" s="142"/>
      <c r="D26" s="142"/>
      <c r="E26" s="142"/>
      <c r="F26" s="142"/>
      <c r="G26" s="142"/>
      <c r="H26" s="142"/>
      <c r="I26" s="142"/>
      <c r="J26" s="142"/>
      <c r="K26" s="142"/>
      <c r="L26" s="142"/>
      <c r="M26" s="142"/>
      <c r="N26" s="142"/>
      <c r="O26" s="142"/>
      <c r="P26" s="142"/>
      <c r="Q26" s="142"/>
      <c r="R26" s="142"/>
      <c r="S26" s="142"/>
      <c r="T26" s="142"/>
    </row>
    <row r="27" spans="2:20" x14ac:dyDescent="0.35">
      <c r="B27" s="129" t="s">
        <v>9</v>
      </c>
      <c r="C27" s="130"/>
      <c r="D27" s="130"/>
      <c r="E27" s="130"/>
      <c r="F27" s="130"/>
      <c r="G27" s="130"/>
      <c r="H27" s="130"/>
      <c r="I27" s="130"/>
      <c r="J27" s="131"/>
      <c r="K27" s="132" t="s">
        <v>54</v>
      </c>
      <c r="L27" s="130"/>
      <c r="M27" s="130"/>
      <c r="N27" s="130"/>
      <c r="O27" s="130"/>
      <c r="P27" s="130"/>
      <c r="Q27" s="130"/>
      <c r="R27" s="130"/>
      <c r="S27" s="130"/>
      <c r="T27" s="133"/>
    </row>
    <row r="28" spans="2:20" ht="14.5" customHeight="1" x14ac:dyDescent="0.35">
      <c r="B28" s="115" t="s">
        <v>214</v>
      </c>
      <c r="C28" s="116" t="s">
        <v>237</v>
      </c>
      <c r="D28" s="117"/>
      <c r="E28" s="104"/>
      <c r="F28" s="135" t="s">
        <v>216</v>
      </c>
      <c r="G28" s="135" t="s">
        <v>217</v>
      </c>
      <c r="H28" s="135" t="s">
        <v>218</v>
      </c>
      <c r="I28" s="135" t="s">
        <v>219</v>
      </c>
      <c r="J28" s="135" t="s">
        <v>220</v>
      </c>
      <c r="K28" s="116" t="s">
        <v>238</v>
      </c>
      <c r="L28" s="117"/>
      <c r="M28" s="104"/>
      <c r="N28" s="127" t="s">
        <v>222</v>
      </c>
      <c r="O28" s="127" t="s">
        <v>223</v>
      </c>
      <c r="P28" s="127" t="s">
        <v>224</v>
      </c>
      <c r="Q28" s="127" t="s">
        <v>225</v>
      </c>
      <c r="R28" s="127" t="s">
        <v>226</v>
      </c>
      <c r="S28" s="127" t="s">
        <v>227</v>
      </c>
      <c r="T28" s="137" t="s">
        <v>228</v>
      </c>
    </row>
    <row r="29" spans="2:20" ht="14.5" customHeight="1" x14ac:dyDescent="0.35">
      <c r="B29" s="134"/>
      <c r="C29" s="94" t="s">
        <v>229</v>
      </c>
      <c r="D29" s="139" t="s">
        <v>230</v>
      </c>
      <c r="E29" s="140"/>
      <c r="F29" s="136"/>
      <c r="G29" s="136"/>
      <c r="H29" s="136"/>
      <c r="I29" s="136"/>
      <c r="J29" s="136"/>
      <c r="K29" s="52" t="s">
        <v>229</v>
      </c>
      <c r="L29" s="139" t="s">
        <v>230</v>
      </c>
      <c r="M29" s="140"/>
      <c r="N29" s="128"/>
      <c r="O29" s="128"/>
      <c r="P29" s="128"/>
      <c r="Q29" s="128"/>
      <c r="R29" s="128"/>
      <c r="S29" s="128"/>
      <c r="T29" s="138"/>
    </row>
    <row r="30" spans="2:20" x14ac:dyDescent="0.35">
      <c r="B30" s="45" t="s">
        <v>2</v>
      </c>
      <c r="C30" s="76">
        <f>SUMIFS(REALIZADO[META_MOVEL],REALIZADO[PDV],MIRACEMA!$M$7)</f>
        <v>5190</v>
      </c>
      <c r="D30" s="77">
        <f>SUMIFS(REALIZADO[AT_MOVEL],REALIZADO[PDV],MIRACEMA!$M$7)</f>
        <v>759.72</v>
      </c>
      <c r="E30" s="49">
        <f>IFERROR(D30/C30,0)</f>
        <v>0.1463815028901734</v>
      </c>
      <c r="F30" s="8">
        <f>VLOOKUP($E$30,FATORES!$I$32:$K$34,3)</f>
        <v>5.0000000000000001E-3</v>
      </c>
      <c r="G30" s="8">
        <f>IFERROR(VLOOKUP($E$30,FATORES!$I$35:$K$36,3),0)</f>
        <v>0</v>
      </c>
      <c r="H30" s="9">
        <f>D30*F30</f>
        <v>3.7986000000000004</v>
      </c>
      <c r="I30" s="9">
        <f t="shared" ref="I30:I38" si="8">IF($P$7="ARIEL",
   IF(AND($E$30&gt;=69.5%, AND($E$32&gt;=69.5%, $E$33&gt;=69.5%, $E$33&gt;=69.5%, $E$35&gt;=69.5%, $E$35&gt;=69.5%, $E$37&gt;=69.5%, $E$38&gt;=69.5%)),
      D30*G30,
      0),
   IF(AND($E$30&gt;=69.5%, $E$31&gt;=69.5%, $E$32&gt;=69.5%, $E$33&gt;=69.5%, $E$33&gt;=69.5%, $E$35&gt;=69.5%, $E$35&gt;=69.5%, $E$37&gt;=69.5%, $E$38&gt;=69.5%),
      D30*G30,
      0)
)</f>
        <v>0</v>
      </c>
      <c r="J30" s="9">
        <f>H30+I30</f>
        <v>3.7986000000000004</v>
      </c>
      <c r="K30" s="76">
        <f>SUMIFS(REALIZADO[META_MOVEL],REALIZADO[COORDENAÇÃO],$P$7)</f>
        <v>59729.999899999995</v>
      </c>
      <c r="L30" s="77">
        <f>SUMIFS(REALIZADO[AT_MOVEL],REALIZADO[COORDENAÇÃO],$P$7)</f>
        <v>5335.72</v>
      </c>
      <c r="M30" s="49">
        <f>IFERROR(L30/K30,0)</f>
        <v>8.9330654761980016E-2</v>
      </c>
      <c r="N30" s="8">
        <f>IF($M$30&gt;=FATORES!$I$37,FATORES!$K$37,0)</f>
        <v>0</v>
      </c>
      <c r="O30" s="14">
        <f>IF(E30&gt;=100%,
IF($P$7="ARIEL",
IF(AND($E$30&gt;=69.5%,$E$32&gt;=69.5%,$E$33&gt;=69.5%,$E$35&gt;=69.5%,$E$37&gt;=69.5%,$E$38&gt;=69.5%),
D30*N30,
0),
IF(AND($E$30&gt;=69.5%,$E$31&gt;=69.5%,$E$32&gt;=69.5%,$E$33&gt;=69.5%,$E$35&gt;=69.5%,$E$37&gt;=69.5%,$E$38&gt;=69.5%),
D30*N30,
0)
),0)</f>
        <v>0</v>
      </c>
      <c r="P30" s="10">
        <f>J30+O30</f>
        <v>3.7986000000000004</v>
      </c>
      <c r="Q30" s="11">
        <f>IF($B$8=2,P30*0.05,0)</f>
        <v>0</v>
      </c>
      <c r="R30" s="11">
        <f>IF($B$8=3,P30*0.15,0)</f>
        <v>0</v>
      </c>
      <c r="S30" s="98">
        <v>0.1</v>
      </c>
      <c r="T30" s="124">
        <f>SUM(P39:S39)</f>
        <v>5.1915000000000004</v>
      </c>
    </row>
    <row r="31" spans="2:20" x14ac:dyDescent="0.35">
      <c r="B31" s="46" t="s">
        <v>13</v>
      </c>
      <c r="C31" s="76">
        <f>SUMIFS(REALIZADO[META_FIXA],REALIZADO[PDV],MIRACEMA!$M$7)</f>
        <v>0</v>
      </c>
      <c r="D31" s="77">
        <f>SUMIFS(REALIZADO[AT_FIXA],REALIZADO[PDV],MIRACEMA!$M$7)</f>
        <v>0</v>
      </c>
      <c r="E31" s="50">
        <f>IFERROR(D31/C31,0)</f>
        <v>0</v>
      </c>
      <c r="F31" s="12">
        <f>VLOOKUP($E$31,FATORES!$I$40:$K$42,3)</f>
        <v>5.0000000000000001E-3</v>
      </c>
      <c r="G31" s="12">
        <f>IFERROR(VLOOKUP($E$31,FATORES!$I$43:$K$44,3),0)</f>
        <v>0</v>
      </c>
      <c r="H31" s="65">
        <f t="shared" ref="H31:H38" si="9">D31*F31</f>
        <v>0</v>
      </c>
      <c r="I31" s="65">
        <f t="shared" si="8"/>
        <v>0</v>
      </c>
      <c r="J31" s="65">
        <f t="shared" ref="J31:J38" si="10">H31+I31</f>
        <v>0</v>
      </c>
      <c r="K31" s="76">
        <f>SUMIFS(REALIZADO[META_FIXA],REALIZADO[COORDENAÇÃO],$P$7)</f>
        <v>0</v>
      </c>
      <c r="L31" s="77">
        <f>SUMIFS(REALIZADO[AT_FIXA],REALIZADO[COORDENAÇÃO],$P$7)</f>
        <v>0</v>
      </c>
      <c r="M31" s="50">
        <f t="shared" ref="M31:M32" si="11">IFERROR(L31/K31,0)</f>
        <v>0</v>
      </c>
      <c r="N31" s="12">
        <f>IF($M$31&gt;=FATORES!$I$45,FATORES!$K$45,0)</f>
        <v>0</v>
      </c>
      <c r="O31" s="14">
        <f t="shared" ref="O31:O38" si="12">IF(E31&gt;=100%,
IF($P$7="ARIEL",
IF(AND($E$30&gt;=69.5%,$E$32&gt;=69.5%,$E$33&gt;=69.5%,$E$35&gt;=69.5%,$E$37&gt;=69.5%,$E$38&gt;=69.5%),
D31*N31,
0),
IF(AND($E$30&gt;=69.5%,$E$31&gt;=69.5%,$E$32&gt;=69.5%,$E$33&gt;=69.5%,$E$35&gt;=69.5%,$E$37&gt;=69.5%,$E$38&gt;=69.5%),
D31*N31,
0)
),0)</f>
        <v>0</v>
      </c>
      <c r="P31" s="13">
        <f t="shared" ref="P31:P38" si="13">J31+O31</f>
        <v>0</v>
      </c>
      <c r="Q31" s="15">
        <f>IF($C$8=2,P31*0.05,0)</f>
        <v>0</v>
      </c>
      <c r="R31" s="15">
        <f>IF($C$8=3,P31*0.15,0)</f>
        <v>0</v>
      </c>
      <c r="S31" s="99"/>
      <c r="T31" s="125"/>
    </row>
    <row r="32" spans="2:20" x14ac:dyDescent="0.35">
      <c r="B32" s="46" t="s">
        <v>231</v>
      </c>
      <c r="C32" s="53">
        <f>SUMIFS(REALIZADO[META_SMARTPHONE],REALIZADO[PDV],MIRACEMA!$M$7)</f>
        <v>85000</v>
      </c>
      <c r="D32" s="78">
        <f>SUMIFS(REALIZADO[AT_SMARTPHONE],REALIZADO[PDV],MIRACEMA!$M$7)</f>
        <v>3477</v>
      </c>
      <c r="E32" s="50">
        <f>IFERROR(D32/C32,0)</f>
        <v>4.0905882352941174E-2</v>
      </c>
      <c r="F32" s="12">
        <f>VLOOKUP($E$32,FATORES!$B$53:$D$54,3)</f>
        <v>2.0000000000000001E-4</v>
      </c>
      <c r="G32" s="12">
        <f>IFERROR(VLOOKUP($E$32,FATORES!$B$55:$D$55,3),0)</f>
        <v>0</v>
      </c>
      <c r="H32" s="65">
        <f t="shared" si="9"/>
        <v>0.69540000000000002</v>
      </c>
      <c r="I32" s="65">
        <f t="shared" si="8"/>
        <v>0</v>
      </c>
      <c r="J32" s="65">
        <f t="shared" si="10"/>
        <v>0.69540000000000002</v>
      </c>
      <c r="K32" s="53">
        <f>SUMIFS(REALIZADO[META_SMARTPHONE],REALIZADO[COORDENAÇÃO],$P$7)</f>
        <v>741000.00010000006</v>
      </c>
      <c r="L32" s="78">
        <f>SUMIFS(REALIZADO[AT_SMARTPHONE],REALIZADO[COORDENAÇÃO],$P$7)</f>
        <v>81442</v>
      </c>
      <c r="M32" s="50">
        <f t="shared" si="11"/>
        <v>0.109908232103926</v>
      </c>
      <c r="N32" s="12">
        <f>IF($M$32&gt;=FATORES!$B$56,FATORES!$D$56,0)</f>
        <v>0</v>
      </c>
      <c r="O32" s="14">
        <f t="shared" si="12"/>
        <v>0</v>
      </c>
      <c r="P32" s="13">
        <f t="shared" si="13"/>
        <v>0.69540000000000002</v>
      </c>
      <c r="Q32" s="15">
        <f>IF($D$8=2,P32*0.05,0)</f>
        <v>0</v>
      </c>
      <c r="R32" s="15">
        <f>IF($D$8=3,P32*0.15,0)</f>
        <v>0</v>
      </c>
      <c r="S32" s="99"/>
      <c r="T32" s="125"/>
    </row>
    <row r="33" spans="2:20" x14ac:dyDescent="0.35">
      <c r="B33" s="47" t="s">
        <v>232</v>
      </c>
      <c r="C33" s="121">
        <f>SUMIFS(REALIZADO[META_ACESSORIO],REALIZADO[PDV],MIRACEMA!$M$7)</f>
        <v>11000</v>
      </c>
      <c r="D33" s="86">
        <f>SUMIFS(REALIZADO[AT_ACESSORIOS_A],REALIZADO[PDV],MIRACEMA!$M$7)</f>
        <v>0</v>
      </c>
      <c r="E33" s="123">
        <f>IFERROR((D33+D34)/C33,0)</f>
        <v>0.19081818181818183</v>
      </c>
      <c r="F33" s="12">
        <f>VLOOKUP($E$33,FATORES!$B$44:$E$46,3)</f>
        <v>5.0000000000000001E-4</v>
      </c>
      <c r="G33" s="12">
        <f>IFERROR(VLOOKUP($E$33,FATORES!$B$47:$E$48,3),0)</f>
        <v>0</v>
      </c>
      <c r="H33" s="65">
        <f t="shared" si="9"/>
        <v>0</v>
      </c>
      <c r="I33" s="65">
        <f t="shared" si="8"/>
        <v>0</v>
      </c>
      <c r="J33" s="65">
        <f t="shared" si="10"/>
        <v>0</v>
      </c>
      <c r="K33" s="121">
        <f>SUMIFS(REALIZADO[META_ACESSORIO],REALIZADO[COORDENAÇÃO],$P$7)</f>
        <v>84200.000200000009</v>
      </c>
      <c r="L33" s="86">
        <f>SUMIFS(REALIZADO[AT_ACESSORIOS_A],REALIZADO[COORDENAÇÃO],$P$7)</f>
        <v>0</v>
      </c>
      <c r="M33" s="97">
        <f>IFERROR((L33+L34)/K33,0)</f>
        <v>0.13485748186494659</v>
      </c>
      <c r="N33" s="12">
        <f>IF($M$33&gt;=FATORES!$B$49,FATORES!$D$49,0)</f>
        <v>0</v>
      </c>
      <c r="O33" s="14">
        <f t="shared" si="12"/>
        <v>0</v>
      </c>
      <c r="P33" s="13">
        <f t="shared" si="13"/>
        <v>0</v>
      </c>
      <c r="Q33" s="15">
        <f>IF($E$8=2,P33*0.05,0)</f>
        <v>0</v>
      </c>
      <c r="R33" s="15">
        <f>IF($E$8=3,P33*0.15,0)</f>
        <v>0</v>
      </c>
      <c r="S33" s="99"/>
      <c r="T33" s="125"/>
    </row>
    <row r="34" spans="2:20" x14ac:dyDescent="0.35">
      <c r="B34" s="47" t="s">
        <v>233</v>
      </c>
      <c r="C34" s="122"/>
      <c r="D34" s="87">
        <f>SUMIFS(REALIZADO[AT_ACESSORIOS_B],REALIZADO[PDV],MIRACEMA!$M$7)</f>
        <v>2099</v>
      </c>
      <c r="E34" s="123"/>
      <c r="F34" s="12">
        <f>VLOOKUP($E$33,FATORES!$B$44:$E$46,4)</f>
        <v>2.5000000000000001E-4</v>
      </c>
      <c r="G34" s="12">
        <f>IFERROR(VLOOKUP($E$33,FATORES!$B$47:$E$48,4),0)</f>
        <v>0</v>
      </c>
      <c r="H34" s="65">
        <f t="shared" si="9"/>
        <v>0.52475000000000005</v>
      </c>
      <c r="I34" s="65">
        <f t="shared" si="8"/>
        <v>0</v>
      </c>
      <c r="J34" s="65">
        <f t="shared" si="10"/>
        <v>0.52475000000000005</v>
      </c>
      <c r="K34" s="122"/>
      <c r="L34" s="87">
        <f>SUMIFS(REALIZADO[AT_ACESSORIOS_B],REALIZADO[COORDENAÇÃO],$P$7)</f>
        <v>11355</v>
      </c>
      <c r="M34" s="97"/>
      <c r="N34" s="12">
        <f>IF($M$33&gt;=FATORES!$B$49,FATORES!$E$49,0)</f>
        <v>0</v>
      </c>
      <c r="O34" s="14">
        <f t="shared" si="12"/>
        <v>0</v>
      </c>
      <c r="P34" s="13">
        <f t="shared" si="13"/>
        <v>0.52475000000000005</v>
      </c>
      <c r="Q34" s="15">
        <f>IF($E$8=2,P34*0.05,0)</f>
        <v>0</v>
      </c>
      <c r="R34" s="15">
        <f>IF($E$8=3,P34*0.15,0)</f>
        <v>0</v>
      </c>
      <c r="S34" s="99"/>
      <c r="T34" s="125"/>
    </row>
    <row r="35" spans="2:20" x14ac:dyDescent="0.35">
      <c r="B35" s="46" t="s">
        <v>234</v>
      </c>
      <c r="C35" s="121">
        <f>SUMIFS(REALIZADO[META_ESSENCIAIS],REALIZADO[PDV],MIRACEMA!$M$7)</f>
        <v>7700</v>
      </c>
      <c r="D35" s="86">
        <f>SUMIFS(REALIZADO[AT_ESSENCIAIS_A],REALIZADO[PDV],MIRACEMA!$M$7)</f>
        <v>227</v>
      </c>
      <c r="E35" s="123">
        <f>IFERROR((D35+D36)/C35,0)</f>
        <v>6.0259740259740263E-2</v>
      </c>
      <c r="F35" s="12">
        <f>VLOOKUP($E$35,FATORES!$B$34:$E$36,3)</f>
        <v>5.0000000000000001E-4</v>
      </c>
      <c r="G35" s="12">
        <f>IFERROR(VLOOKUP($E$35,FATORES!$B$37:$E$38,3),0)</f>
        <v>0</v>
      </c>
      <c r="H35" s="65">
        <f t="shared" si="9"/>
        <v>0.1135</v>
      </c>
      <c r="I35" s="65">
        <f t="shared" si="8"/>
        <v>0</v>
      </c>
      <c r="J35" s="65">
        <f t="shared" si="10"/>
        <v>0.1135</v>
      </c>
      <c r="K35" s="121">
        <f>SUMIFS(REALIZADO[META_ESSENCIAIS],REALIZADO[COORDENAÇÃO],$P$7)</f>
        <v>58599.999900000003</v>
      </c>
      <c r="L35" s="86">
        <f>SUMIFS(REALIZADO[AT_ESSENCIAIS_A],REALIZADO[COORDENAÇÃO],$P$7)</f>
        <v>4117</v>
      </c>
      <c r="M35" s="97">
        <f>IFERROR((L35+L36)/K35,0)</f>
        <v>0.1419112630408042</v>
      </c>
      <c r="N35" s="12">
        <f>IF($M$35&gt;=FATORES!$B$39,FATORES!$D$39,0)</f>
        <v>0</v>
      </c>
      <c r="O35" s="14">
        <f t="shared" si="12"/>
        <v>0</v>
      </c>
      <c r="P35" s="13">
        <f t="shared" si="13"/>
        <v>0.1135</v>
      </c>
      <c r="Q35" s="15">
        <f>IF($F$8=2,P35*0.05,0)</f>
        <v>0</v>
      </c>
      <c r="R35" s="15">
        <f>IF($F$8=3,P35*0.15,0)</f>
        <v>0</v>
      </c>
      <c r="S35" s="99"/>
      <c r="T35" s="125"/>
    </row>
    <row r="36" spans="2:20" x14ac:dyDescent="0.35">
      <c r="B36" s="46" t="s">
        <v>235</v>
      </c>
      <c r="C36" s="122"/>
      <c r="D36" s="87">
        <f>SUMIFS(REALIZADO[AT_ESSENCIAIS_B],REALIZADO[PDV],MIRACEMA!$M$7)</f>
        <v>237</v>
      </c>
      <c r="E36" s="123"/>
      <c r="F36" s="12">
        <f>VLOOKUP($E$35,FATORES!$B$34:$E$36,4)</f>
        <v>2.5000000000000001E-4</v>
      </c>
      <c r="G36" s="12">
        <f>IFERROR(VLOOKUP($E$35,FATORES!$B$37:$E$38,4),0)</f>
        <v>0</v>
      </c>
      <c r="H36" s="65">
        <f t="shared" si="9"/>
        <v>5.9250000000000004E-2</v>
      </c>
      <c r="I36" s="65">
        <f t="shared" si="8"/>
        <v>0</v>
      </c>
      <c r="J36" s="65">
        <f t="shared" si="10"/>
        <v>5.9250000000000004E-2</v>
      </c>
      <c r="K36" s="122"/>
      <c r="L36" s="87">
        <f>SUMIFS(REALIZADO[AT_ESSENCIAIS_B],REALIZADO[COORDENAÇÃO],$P$7)</f>
        <v>4199</v>
      </c>
      <c r="M36" s="97"/>
      <c r="N36" s="12">
        <f>IF($M$35&gt;=FATORES!$B$39,FATORES!$E$39,0)</f>
        <v>0</v>
      </c>
      <c r="O36" s="14">
        <f t="shared" si="12"/>
        <v>0</v>
      </c>
      <c r="P36" s="13">
        <f t="shared" si="13"/>
        <v>5.9250000000000004E-2</v>
      </c>
      <c r="Q36" s="15">
        <f>IF($F$8=2,P36*0.05,0)</f>
        <v>0</v>
      </c>
      <c r="R36" s="15">
        <f>IF($F$8=3,P36*0.15,0)</f>
        <v>0</v>
      </c>
      <c r="S36" s="99"/>
      <c r="T36" s="125"/>
    </row>
    <row r="37" spans="2:20" x14ac:dyDescent="0.35">
      <c r="B37" s="46" t="s">
        <v>212</v>
      </c>
      <c r="C37" s="57">
        <f>SUMIFS(REALIZADO[META_SEGUROS],REALIZADO[PDV],MIRACEMA!$M$7)</f>
        <v>480</v>
      </c>
      <c r="D37" s="79">
        <f>SUMIFS(REALIZADO[AT_SEGUROS],REALIZADO[PDV],MIRACEMA!$M$7)</f>
        <v>0</v>
      </c>
      <c r="E37" s="83">
        <f>IFERROR(D37/C37,0)</f>
        <v>0</v>
      </c>
      <c r="F37" s="83">
        <f>VLOOKUP($E$37,FATORES!$O$32:$Q$34,3)</f>
        <v>5.0000000000000001E-3</v>
      </c>
      <c r="G37" s="12">
        <f>IFERROR(VLOOKUP($E$37,FATORES!$O$35:$Q$36,3),0)</f>
        <v>0</v>
      </c>
      <c r="H37" s="65">
        <f t="shared" si="9"/>
        <v>0</v>
      </c>
      <c r="I37" s="65">
        <f t="shared" si="8"/>
        <v>0</v>
      </c>
      <c r="J37" s="65">
        <f t="shared" si="10"/>
        <v>0</v>
      </c>
      <c r="K37" s="57">
        <f>SUMIFS(REALIZADO[META_SEGUROS],REALIZADO[COORDENAÇÃO],$P$7)</f>
        <v>5665</v>
      </c>
      <c r="L37" s="79">
        <f>SUMIFS(REALIZADO[AT_SEGUROS],REALIZADO[COORDENAÇÃO],$P$7)</f>
        <v>420.19999999999993</v>
      </c>
      <c r="M37" s="50">
        <f t="shared" ref="M37:M38" si="14">IFERROR(L37/K37,0)</f>
        <v>7.4174757281553386E-2</v>
      </c>
      <c r="N37" s="12">
        <f>IF($M$37&gt;=FATORES!$O$37,FATORES!$Q$37,0)</f>
        <v>0</v>
      </c>
      <c r="O37" s="14">
        <f t="shared" si="12"/>
        <v>0</v>
      </c>
      <c r="P37" s="13">
        <f t="shared" si="13"/>
        <v>0</v>
      </c>
      <c r="Q37" s="15">
        <f>IF($G$8=2,P37*0.05,0)</f>
        <v>0</v>
      </c>
      <c r="R37" s="15">
        <f>IF($G$8=3,P37*0.15,0)</f>
        <v>0</v>
      </c>
      <c r="S37" s="99"/>
      <c r="T37" s="125"/>
    </row>
    <row r="38" spans="2:20" x14ac:dyDescent="0.35">
      <c r="B38" s="48" t="s">
        <v>14</v>
      </c>
      <c r="C38" s="76">
        <f>SUMIFS(REALIZADO[META_SVA],REALIZADO[PDV],MIRACEMA!$M$7)</f>
        <v>380</v>
      </c>
      <c r="D38" s="77">
        <f>SUMIFS(REALIZADO[AT_SVA],REALIZADO[PDV],MIRACEMA!$M$7)</f>
        <v>0</v>
      </c>
      <c r="E38" s="82">
        <f>IFERROR(D38/C38,0)</f>
        <v>0</v>
      </c>
      <c r="F38" s="16">
        <f>IF($E$38&gt;=0,FATORES!$Q$40)</f>
        <v>5.0000000000000001E-3</v>
      </c>
      <c r="G38" s="16">
        <f>IFERROR(VLOOKUP($E$38,FATORES!$O$43:$Q$44,3),0)</f>
        <v>0</v>
      </c>
      <c r="H38" s="17">
        <f t="shared" si="9"/>
        <v>0</v>
      </c>
      <c r="I38" s="65">
        <f t="shared" si="8"/>
        <v>0</v>
      </c>
      <c r="J38" s="17">
        <f t="shared" si="10"/>
        <v>0</v>
      </c>
      <c r="K38" s="76">
        <f>SUMIFS(REALIZADO[META_SVA],REALIZADO[COORDENAÇÃO],$P$7)</f>
        <v>5384.9997999999996</v>
      </c>
      <c r="L38" s="77">
        <f>SUMIFS(REALIZADO[AT_SVA],REALIZADO[COORDENAÇÃO],$P$7)</f>
        <v>461.54999999999995</v>
      </c>
      <c r="M38" s="51">
        <f t="shared" si="14"/>
        <v>8.5710309589983644E-2</v>
      </c>
      <c r="N38" s="16">
        <f>IF($M$38&gt;=FATORES!$O$45,FATORES!$Q$45,0)</f>
        <v>0</v>
      </c>
      <c r="O38" s="14">
        <f t="shared" si="12"/>
        <v>0</v>
      </c>
      <c r="P38" s="18">
        <f t="shared" si="13"/>
        <v>0</v>
      </c>
      <c r="Q38" s="19">
        <f>IF($H$8=2,P38*0.05,0)</f>
        <v>0</v>
      </c>
      <c r="R38" s="19">
        <f>IF($H$8=3,P38*0.15,0)</f>
        <v>0</v>
      </c>
      <c r="S38" s="100"/>
      <c r="T38" s="126"/>
    </row>
    <row r="39" spans="2:20" x14ac:dyDescent="0.35">
      <c r="B39" s="66"/>
      <c r="C39" s="67"/>
      <c r="D39" s="67"/>
      <c r="E39" s="67"/>
      <c r="F39" s="67"/>
      <c r="G39" s="67"/>
      <c r="H39" s="67"/>
      <c r="I39" s="67"/>
      <c r="J39" s="68"/>
      <c r="K39" s="69"/>
      <c r="L39" s="67"/>
      <c r="M39" s="67"/>
      <c r="N39" s="67"/>
      <c r="O39" s="67"/>
      <c r="P39" s="70">
        <f>SUM(P30:P38)</f>
        <v>5.1915000000000004</v>
      </c>
      <c r="Q39" s="70">
        <f t="shared" ref="Q39:R39" si="15">SUM(Q30:Q38)</f>
        <v>0</v>
      </c>
      <c r="R39" s="70">
        <f t="shared" si="15"/>
        <v>0</v>
      </c>
      <c r="S39" s="71" t="str">
        <f>IF($P$7="ARIEL",IF(MIN(E30,E32,E33,E34,E35,E37,E38)&gt;=100%,SUM(P39:R39)*S30,""),IF(MIN(E30:E38)&gt;=100%,SUM(P39:R39)*S30,""))</f>
        <v/>
      </c>
      <c r="T39" s="72"/>
    </row>
    <row r="41" spans="2:20" ht="18.5" x14ac:dyDescent="0.35">
      <c r="B41" s="107" t="s">
        <v>239</v>
      </c>
      <c r="C41" s="108"/>
      <c r="D41" s="108"/>
      <c r="E41" s="108"/>
      <c r="F41" s="108"/>
      <c r="G41" s="108"/>
      <c r="H41" s="108"/>
      <c r="I41" s="108"/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T41" s="108"/>
    </row>
    <row r="42" spans="2:20" x14ac:dyDescent="0.35">
      <c r="B42" s="109" t="s">
        <v>9</v>
      </c>
      <c r="C42" s="110"/>
      <c r="D42" s="110"/>
      <c r="E42" s="110"/>
      <c r="F42" s="110"/>
      <c r="G42" s="110"/>
      <c r="H42" s="110"/>
      <c r="I42" s="110"/>
      <c r="J42" s="111"/>
      <c r="K42" s="112" t="s">
        <v>54</v>
      </c>
      <c r="L42" s="113"/>
      <c r="M42" s="113"/>
      <c r="N42" s="113"/>
      <c r="O42" s="113"/>
      <c r="P42" s="7"/>
      <c r="Q42" s="7"/>
      <c r="R42" s="7"/>
      <c r="S42" s="7"/>
      <c r="T42" s="64"/>
    </row>
    <row r="43" spans="2:20" ht="14.5" customHeight="1" x14ac:dyDescent="0.35">
      <c r="B43" s="114" t="s">
        <v>214</v>
      </c>
      <c r="C43" s="116" t="s">
        <v>237</v>
      </c>
      <c r="D43" s="117"/>
      <c r="E43" s="104"/>
      <c r="F43" s="118" t="s">
        <v>216</v>
      </c>
      <c r="G43" s="118" t="s">
        <v>217</v>
      </c>
      <c r="H43" s="118" t="s">
        <v>218</v>
      </c>
      <c r="I43" s="118" t="s">
        <v>219</v>
      </c>
      <c r="J43" s="118" t="s">
        <v>220</v>
      </c>
      <c r="K43" s="104" t="s">
        <v>238</v>
      </c>
      <c r="L43" s="105"/>
      <c r="M43" s="105"/>
      <c r="N43" s="106" t="s">
        <v>222</v>
      </c>
      <c r="O43" s="106" t="s">
        <v>223</v>
      </c>
      <c r="P43" s="106" t="s">
        <v>224</v>
      </c>
      <c r="Q43" s="106" t="s">
        <v>225</v>
      </c>
      <c r="R43" s="106" t="s">
        <v>226</v>
      </c>
      <c r="S43" s="106" t="s">
        <v>227</v>
      </c>
      <c r="T43" s="119" t="s">
        <v>228</v>
      </c>
    </row>
    <row r="44" spans="2:20" x14ac:dyDescent="0.35">
      <c r="B44" s="115"/>
      <c r="C44" s="94" t="s">
        <v>229</v>
      </c>
      <c r="D44" s="120" t="s">
        <v>230</v>
      </c>
      <c r="E44" s="120"/>
      <c r="F44" s="118"/>
      <c r="G44" s="118"/>
      <c r="H44" s="118"/>
      <c r="I44" s="118"/>
      <c r="J44" s="118"/>
      <c r="K44" s="52" t="s">
        <v>229</v>
      </c>
      <c r="L44" s="120" t="s">
        <v>230</v>
      </c>
      <c r="M44" s="120"/>
      <c r="N44" s="106"/>
      <c r="O44" s="106"/>
      <c r="P44" s="106"/>
      <c r="Q44" s="106"/>
      <c r="R44" s="106"/>
      <c r="S44" s="106"/>
      <c r="T44" s="119"/>
    </row>
    <row r="45" spans="2:20" x14ac:dyDescent="0.35">
      <c r="B45" s="45" t="s">
        <v>2</v>
      </c>
      <c r="C45" s="53">
        <v>0</v>
      </c>
      <c r="D45" s="54">
        <v>0</v>
      </c>
      <c r="E45" s="49">
        <f>IFERROR(D45/C45,0)</f>
        <v>0</v>
      </c>
      <c r="F45" s="8">
        <f>VLOOKUP($E$45,FATORES!$I$32:$K$34,3)</f>
        <v>5.0000000000000001E-3</v>
      </c>
      <c r="G45" s="8">
        <f>IFERROR(VLOOKUP(E45,FATORES!$I$35:$K$36,3),0)</f>
        <v>0</v>
      </c>
      <c r="H45" s="9">
        <f>D45*F45</f>
        <v>0</v>
      </c>
      <c r="I45" s="9">
        <f t="shared" ref="I45:I53" si="16">IF($P$7="ARIEL",
   IF(AND($E$45&gt;=69.5%, AND($E$47&gt;=69.5%, $E$48&gt;=69.5%, $E$48&gt;=69.5%, $E$50&gt;=69.5%, $E$50&gt;=69.5%, $E$52&gt;=69.5%, $E$53&gt;=69.5%)),
      D45*G45,
      0),
   IF(AND($E$45&gt;=69.5%, $E$46&gt;=69.5%, $E$47&gt;=69.5%, $E$48&gt;=69.5%, $E$48&gt;=69.5%, $E$50&gt;=69.5%, $E$50&gt;=69.5%, $E$52&gt;=69.5%, $E$53&gt;=69.5%),
      D45*G45,
      0)
)</f>
        <v>0</v>
      </c>
      <c r="J45" s="9">
        <f>H45+I45</f>
        <v>0</v>
      </c>
      <c r="K45" s="53">
        <v>0</v>
      </c>
      <c r="L45" s="54">
        <v>0</v>
      </c>
      <c r="M45" s="49">
        <f>IFERROR(L45/K45,0)</f>
        <v>0</v>
      </c>
      <c r="N45" s="8">
        <f>IF($M$45&gt;=FATORES!$I$37,FATORES!$K$37,0)</f>
        <v>0</v>
      </c>
      <c r="O45" s="14">
        <f>IF(E45&gt;=100%,
IF($P$7="ARIEL",
   IF(AND($E$45&gt;=69.5%, AND($E$47&gt;=69.5%, $E$48&gt;=69.5%, $E$48&gt;=69.5%, $E$50&gt;=69.5%, $E$50&gt;=69.5%, $E$52&gt;=69.5%, $E$53&gt;=69.5%)),
      D45*N45,
      0),
   IF(AND($E$45&gt;=69.5%, $E$46&gt;=69.5%, $E$47&gt;=69.5%, $E$48&gt;=69.5%, $E$48&gt;=69.5%, $E$50&gt;=69.5%, $E$50&gt;=69.5%, $E$52&gt;=69.5%, $E$53&gt;=69.5%),
      D45*N45,
      0)
),0)</f>
        <v>0</v>
      </c>
      <c r="P45" s="10">
        <f>J45+O45</f>
        <v>0</v>
      </c>
      <c r="Q45" s="11">
        <f>IF($B$8=2,P45*0.05,0)</f>
        <v>0</v>
      </c>
      <c r="R45" s="11">
        <f>IF($B$8=3,P45*0.15,0)</f>
        <v>0</v>
      </c>
      <c r="S45" s="98">
        <v>0.1</v>
      </c>
      <c r="T45" s="101">
        <f>SUM($P$54:$S$54)</f>
        <v>0</v>
      </c>
    </row>
    <row r="46" spans="2:20" x14ac:dyDescent="0.35">
      <c r="B46" s="46" t="s">
        <v>13</v>
      </c>
      <c r="C46" s="55">
        <v>0</v>
      </c>
      <c r="D46" s="56">
        <v>0</v>
      </c>
      <c r="E46" s="50">
        <f>IFERROR(D46/C46,0)</f>
        <v>0</v>
      </c>
      <c r="F46" s="12">
        <f>VLOOKUP($E$46,FATORES!$I$40:$K$42,3)</f>
        <v>5.0000000000000001E-3</v>
      </c>
      <c r="G46" s="12">
        <f>IFERROR(VLOOKUP(E46,FATORES!$I$43:$K$44,3),0)</f>
        <v>0</v>
      </c>
      <c r="H46" s="65">
        <f t="shared" ref="H46:H53" si="17">D46*F46</f>
        <v>0</v>
      </c>
      <c r="I46" s="65">
        <f t="shared" si="16"/>
        <v>0</v>
      </c>
      <c r="J46" s="65">
        <f t="shared" ref="J46:J53" si="18">H46+I46</f>
        <v>0</v>
      </c>
      <c r="K46" s="55">
        <v>0</v>
      </c>
      <c r="L46" s="56">
        <v>0</v>
      </c>
      <c r="M46" s="50">
        <f t="shared" ref="M46:M53" si="19">IFERROR(L46/K46,0)</f>
        <v>0</v>
      </c>
      <c r="N46" s="12">
        <f>IF($M$46&gt;=FATORES!$I$45,FATORES!$K$45,0)</f>
        <v>0</v>
      </c>
      <c r="O46" s="14">
        <f t="shared" ref="O46:O53" si="20">IF(E46&gt;=100%,
IF($P$7="ARIEL",
   IF(AND($E$45&gt;=69.5%, AND($E$47&gt;=69.5%, $E$48&gt;=69.5%, $E$48&gt;=69.5%, $E$50&gt;=69.5%, $E$50&gt;=69.5%, $E$52&gt;=69.5%, $E$53&gt;=69.5%)),
      D46*N46,
      0),
   IF(AND($E$45&gt;=69.5%, $E$46&gt;=69.5%, $E$47&gt;=69.5%, $E$48&gt;=69.5%, $E$48&gt;=69.5%, $E$50&gt;=69.5%, $E$50&gt;=69.5%, $E$52&gt;=69.5%, $E$53&gt;=69.5%),
      D46*N46,
      0)
),0)</f>
        <v>0</v>
      </c>
      <c r="P46" s="13">
        <f t="shared" ref="P46:P53" si="21">J46+O46</f>
        <v>0</v>
      </c>
      <c r="Q46" s="15">
        <f>IF($C$8=2,P46*0.05,0)</f>
        <v>0</v>
      </c>
      <c r="R46" s="15">
        <f>IF($C$8=3,P46*0.15,0)</f>
        <v>0</v>
      </c>
      <c r="S46" s="99"/>
      <c r="T46" s="102"/>
    </row>
    <row r="47" spans="2:20" x14ac:dyDescent="0.35">
      <c r="B47" s="46" t="s">
        <v>231</v>
      </c>
      <c r="C47" s="55">
        <v>0</v>
      </c>
      <c r="D47" s="56">
        <v>0</v>
      </c>
      <c r="E47" s="50">
        <f>IFERROR(D47/C47,0)</f>
        <v>0</v>
      </c>
      <c r="F47" s="12">
        <f>VLOOKUP($E$47,FATORES!$B$53:$D$54,3)</f>
        <v>2.0000000000000001E-4</v>
      </c>
      <c r="G47" s="12">
        <f>IFERROR(VLOOKUP(E47,FATORES!$B$55:$D$55,3),0)</f>
        <v>0</v>
      </c>
      <c r="H47" s="65">
        <f t="shared" si="17"/>
        <v>0</v>
      </c>
      <c r="I47" s="65">
        <f t="shared" si="16"/>
        <v>0</v>
      </c>
      <c r="J47" s="65">
        <f t="shared" si="18"/>
        <v>0</v>
      </c>
      <c r="K47" s="55">
        <v>0</v>
      </c>
      <c r="L47" s="56">
        <v>0</v>
      </c>
      <c r="M47" s="50">
        <f t="shared" si="19"/>
        <v>0</v>
      </c>
      <c r="N47" s="12">
        <f>IF($M$47&gt;=FATORES!$B$56,FATORES!$D$56,0)</f>
        <v>0</v>
      </c>
      <c r="O47" s="14">
        <f t="shared" si="20"/>
        <v>0</v>
      </c>
      <c r="P47" s="13">
        <f t="shared" si="21"/>
        <v>0</v>
      </c>
      <c r="Q47" s="15">
        <f>IF($D$8=2,P47*0.05,0)</f>
        <v>0</v>
      </c>
      <c r="R47" s="15">
        <f>IF($D$8=3,P47*0.15,0)</f>
        <v>0</v>
      </c>
      <c r="S47" s="99"/>
      <c r="T47" s="102"/>
    </row>
    <row r="48" spans="2:20" x14ac:dyDescent="0.35">
      <c r="B48" s="47" t="s">
        <v>232</v>
      </c>
      <c r="C48" s="96">
        <v>0</v>
      </c>
      <c r="D48" s="56">
        <v>0</v>
      </c>
      <c r="E48" s="97">
        <f>IFERROR((D48+D49)/C48,0)</f>
        <v>0</v>
      </c>
      <c r="F48" s="12">
        <f>VLOOKUP($E$48,FATORES!$B$44:$E$46,3)</f>
        <v>5.0000000000000001E-4</v>
      </c>
      <c r="G48" s="12">
        <f>IFERROR(VLOOKUP(E48,FATORES!$B$47:$E$48,3),0)</f>
        <v>0</v>
      </c>
      <c r="H48" s="65">
        <f t="shared" si="17"/>
        <v>0</v>
      </c>
      <c r="I48" s="65">
        <f t="shared" si="16"/>
        <v>0</v>
      </c>
      <c r="J48" s="65">
        <f t="shared" si="18"/>
        <v>0</v>
      </c>
      <c r="K48" s="96">
        <v>0</v>
      </c>
      <c r="L48" s="56">
        <v>0</v>
      </c>
      <c r="M48" s="97">
        <f>IFERROR((L48+L49)/K48,0)</f>
        <v>0</v>
      </c>
      <c r="N48" s="12">
        <f>IF($M$48&gt;=FATORES!$B$49,FATORES!$D$49,0)</f>
        <v>0</v>
      </c>
      <c r="O48" s="14">
        <f t="shared" si="20"/>
        <v>0</v>
      </c>
      <c r="P48" s="13">
        <f t="shared" si="21"/>
        <v>0</v>
      </c>
      <c r="Q48" s="15">
        <f>IF($E$8=2,P48*0.05,0)</f>
        <v>0</v>
      </c>
      <c r="R48" s="15">
        <f>IF($E$8=3,P48*0.15,0)</f>
        <v>0</v>
      </c>
      <c r="S48" s="99"/>
      <c r="T48" s="102"/>
    </row>
    <row r="49" spans="2:20" x14ac:dyDescent="0.35">
      <c r="B49" s="47" t="s">
        <v>233</v>
      </c>
      <c r="C49" s="96"/>
      <c r="D49" s="56">
        <v>0</v>
      </c>
      <c r="E49" s="97"/>
      <c r="F49" s="12">
        <f>VLOOKUP($E$48,FATORES!$B$44:$E$46,4)</f>
        <v>2.5000000000000001E-4</v>
      </c>
      <c r="G49" s="12">
        <f>IFERROR(VLOOKUP(E48,FATORES!$B$47:$E$48,4),0)</f>
        <v>0</v>
      </c>
      <c r="H49" s="65">
        <f t="shared" si="17"/>
        <v>0</v>
      </c>
      <c r="I49" s="65">
        <f t="shared" si="16"/>
        <v>0</v>
      </c>
      <c r="J49" s="65">
        <f t="shared" si="18"/>
        <v>0</v>
      </c>
      <c r="K49" s="96"/>
      <c r="L49" s="56">
        <v>0</v>
      </c>
      <c r="M49" s="97"/>
      <c r="N49" s="12">
        <f>IF($M$48&gt;=FATORES!$B$49,FATORES!$E$49,0)</f>
        <v>0</v>
      </c>
      <c r="O49" s="14">
        <f t="shared" si="20"/>
        <v>0</v>
      </c>
      <c r="P49" s="13">
        <f t="shared" si="21"/>
        <v>0</v>
      </c>
      <c r="Q49" s="15">
        <f>IF($E$8=2,P49*0.05,0)</f>
        <v>0</v>
      </c>
      <c r="R49" s="15">
        <f>IF($E$8=3,P49*0.15,0)</f>
        <v>0</v>
      </c>
      <c r="S49" s="99"/>
      <c r="T49" s="102"/>
    </row>
    <row r="50" spans="2:20" x14ac:dyDescent="0.35">
      <c r="B50" s="46" t="s">
        <v>234</v>
      </c>
      <c r="C50" s="96">
        <v>0</v>
      </c>
      <c r="D50" s="56">
        <v>0</v>
      </c>
      <c r="E50" s="97">
        <f>IFERROR((D50+D51)/C50,0)</f>
        <v>0</v>
      </c>
      <c r="F50" s="12">
        <f>VLOOKUP($E$50,FATORES!$B$34:$E$36,3)</f>
        <v>5.0000000000000001E-4</v>
      </c>
      <c r="G50" s="12">
        <f>IFERROR(VLOOKUP(E50,FATORES!$B$37:$E$38,3),0)</f>
        <v>0</v>
      </c>
      <c r="H50" s="65">
        <f t="shared" si="17"/>
        <v>0</v>
      </c>
      <c r="I50" s="65">
        <f t="shared" si="16"/>
        <v>0</v>
      </c>
      <c r="J50" s="65">
        <f t="shared" si="18"/>
        <v>0</v>
      </c>
      <c r="K50" s="96">
        <v>0</v>
      </c>
      <c r="L50" s="56">
        <v>0</v>
      </c>
      <c r="M50" s="97">
        <f>IFERROR((L50+L51)/K50,0)</f>
        <v>0</v>
      </c>
      <c r="N50" s="12">
        <f>IF($M$50&gt;=FATORES!$B$39,FATORES!$D$39,0)</f>
        <v>0</v>
      </c>
      <c r="O50" s="14">
        <f t="shared" si="20"/>
        <v>0</v>
      </c>
      <c r="P50" s="13">
        <f t="shared" si="21"/>
        <v>0</v>
      </c>
      <c r="Q50" s="15">
        <f>IF($F$8=2,P50*0.05,0)</f>
        <v>0</v>
      </c>
      <c r="R50" s="15">
        <f>IF($F$8=3,P50*0.15,0)</f>
        <v>0</v>
      </c>
      <c r="S50" s="99"/>
      <c r="T50" s="102"/>
    </row>
    <row r="51" spans="2:20" x14ac:dyDescent="0.35">
      <c r="B51" s="46" t="s">
        <v>235</v>
      </c>
      <c r="C51" s="96"/>
      <c r="D51" s="56">
        <v>0</v>
      </c>
      <c r="E51" s="97"/>
      <c r="F51" s="12">
        <f>VLOOKUP($E$50,FATORES!$B$34:$E$36,4)</f>
        <v>2.5000000000000001E-4</v>
      </c>
      <c r="G51" s="12">
        <f>IFERROR(VLOOKUP(E50,FATORES!$B$37:$E$38,4),0)</f>
        <v>0</v>
      </c>
      <c r="H51" s="65">
        <f t="shared" si="17"/>
        <v>0</v>
      </c>
      <c r="I51" s="65">
        <f t="shared" si="16"/>
        <v>0</v>
      </c>
      <c r="J51" s="65">
        <f t="shared" si="18"/>
        <v>0</v>
      </c>
      <c r="K51" s="96"/>
      <c r="L51" s="56">
        <v>0</v>
      </c>
      <c r="M51" s="97"/>
      <c r="N51" s="12">
        <f>IF($M$50&gt;=FATORES!$B$39,FATORES!$E$39,0)</f>
        <v>0</v>
      </c>
      <c r="O51" s="14">
        <f t="shared" si="20"/>
        <v>0</v>
      </c>
      <c r="P51" s="13">
        <f t="shared" si="21"/>
        <v>0</v>
      </c>
      <c r="Q51" s="15">
        <f>IF($F$8=2,P51*0.05,0)</f>
        <v>0</v>
      </c>
      <c r="R51" s="15">
        <f>IF($F$8=3,P51*0.15,0)</f>
        <v>0</v>
      </c>
      <c r="S51" s="99"/>
      <c r="T51" s="102"/>
    </row>
    <row r="52" spans="2:20" x14ac:dyDescent="0.35">
      <c r="B52" s="46" t="s">
        <v>212</v>
      </c>
      <c r="C52" s="55">
        <v>0</v>
      </c>
      <c r="D52" s="56">
        <v>0</v>
      </c>
      <c r="E52" s="50">
        <f>IFERROR(D52/C52,0)</f>
        <v>0</v>
      </c>
      <c r="F52" s="83">
        <f>VLOOKUP($E$52,FATORES!$O$32:$Q$34,3)</f>
        <v>5.0000000000000001E-3</v>
      </c>
      <c r="G52" s="12">
        <f>IFERROR(VLOOKUP(E52,FATORES!$O$35:$Q$36,3),0)</f>
        <v>0</v>
      </c>
      <c r="H52" s="65">
        <f t="shared" si="17"/>
        <v>0</v>
      </c>
      <c r="I52" s="65">
        <f t="shared" si="16"/>
        <v>0</v>
      </c>
      <c r="J52" s="65">
        <f t="shared" si="18"/>
        <v>0</v>
      </c>
      <c r="K52" s="55">
        <v>0</v>
      </c>
      <c r="L52" s="56">
        <v>0</v>
      </c>
      <c r="M52" s="50">
        <f t="shared" si="19"/>
        <v>0</v>
      </c>
      <c r="N52" s="12">
        <f>IF($M$52&gt;=FATORES!$O$37,FATORES!$Q$37,0)</f>
        <v>0</v>
      </c>
      <c r="O52" s="14">
        <f t="shared" si="20"/>
        <v>0</v>
      </c>
      <c r="P52" s="13">
        <f t="shared" si="21"/>
        <v>0</v>
      </c>
      <c r="Q52" s="15">
        <f>IF($G$8=2,P52*0.05,0)</f>
        <v>0</v>
      </c>
      <c r="R52" s="15">
        <f>IF($G$8=3,P52*0.15,0)</f>
        <v>0</v>
      </c>
      <c r="S52" s="99"/>
      <c r="T52" s="102"/>
    </row>
    <row r="53" spans="2:20" x14ac:dyDescent="0.35">
      <c r="B53" s="48" t="s">
        <v>14</v>
      </c>
      <c r="C53" s="57">
        <v>0</v>
      </c>
      <c r="D53" s="58">
        <v>0</v>
      </c>
      <c r="E53" s="51">
        <f>IFERROR(D53/C53,0)</f>
        <v>0</v>
      </c>
      <c r="F53" s="16">
        <f>IF($E$53&gt;=0,FATORES!$Q$40)</f>
        <v>5.0000000000000001E-3</v>
      </c>
      <c r="G53" s="16">
        <f>IFERROR(VLOOKUP(E53,FATORES!$O$43:$Q$44,3),0)</f>
        <v>0</v>
      </c>
      <c r="H53" s="17">
        <f t="shared" si="17"/>
        <v>0</v>
      </c>
      <c r="I53" s="65">
        <f t="shared" si="16"/>
        <v>0</v>
      </c>
      <c r="J53" s="17">
        <f t="shared" si="18"/>
        <v>0</v>
      </c>
      <c r="K53" s="57">
        <v>0</v>
      </c>
      <c r="L53" s="58">
        <v>0</v>
      </c>
      <c r="M53" s="51">
        <f t="shared" si="19"/>
        <v>0</v>
      </c>
      <c r="N53" s="16">
        <f>IF($M$53&gt;=FATORES!$O$45,FATORES!$Q$45,0)</f>
        <v>0</v>
      </c>
      <c r="O53" s="14">
        <f t="shared" si="20"/>
        <v>0</v>
      </c>
      <c r="P53" s="18">
        <f t="shared" si="21"/>
        <v>0</v>
      </c>
      <c r="Q53" s="19">
        <f>IF($H$8=2,P53*0.05,0)</f>
        <v>0</v>
      </c>
      <c r="R53" s="19">
        <f>IF($H$8=3,P53*0.15,0)</f>
        <v>0</v>
      </c>
      <c r="S53" s="100"/>
      <c r="T53" s="103"/>
    </row>
    <row r="54" spans="2:20" x14ac:dyDescent="0.35">
      <c r="B54" s="66"/>
      <c r="C54" s="67"/>
      <c r="D54" s="67"/>
      <c r="E54" s="67"/>
      <c r="F54" s="67"/>
      <c r="G54" s="67"/>
      <c r="H54" s="67"/>
      <c r="I54" s="67"/>
      <c r="J54" s="68"/>
      <c r="K54" s="69"/>
      <c r="L54" s="67"/>
      <c r="M54" s="67"/>
      <c r="N54" s="67"/>
      <c r="O54" s="67"/>
      <c r="P54" s="70">
        <f>SUM(P45:P53)</f>
        <v>0</v>
      </c>
      <c r="Q54" s="70">
        <f t="shared" ref="Q54:R54" si="22">SUM(Q45:Q53)</f>
        <v>0</v>
      </c>
      <c r="R54" s="70">
        <f t="shared" si="22"/>
        <v>0</v>
      </c>
      <c r="S54" s="71" t="str">
        <f>IF($P$7="ARIEL",IF(MIN(E45,E47,E48,E49,E50,E52,E53)&gt;=99.99%,SUM(P54:R54)*S45,""),IF(MIN(E45:E53)&gt;=99.99%,SUM(P54:R54)*S45,""))</f>
        <v/>
      </c>
      <c r="T54" s="72"/>
    </row>
  </sheetData>
  <sheetProtection algorithmName="SHA-512" hashValue="WXCk2FMKWDBLbtWcLS3AYeztbAkBQyvPP5KuodPmJOn1jGnYKopwR2mNnTO+EVJcZT3EJK7JO4zjt/atPJKrtg==" saltValue="gWCga3dp2pd3ctB3xXahJw==" spinCount="100000" sheet="1" objects="1" scenarios="1"/>
  <protectedRanges>
    <protectedRange sqref="B8:H8 C45:D53 K45:L53" name="Intervalo1"/>
  </protectedRanges>
  <mergeCells count="94">
    <mergeCell ref="I13:I14"/>
    <mergeCell ref="B12:J12"/>
    <mergeCell ref="K12:T12"/>
    <mergeCell ref="B2:T4"/>
    <mergeCell ref="B6:H6"/>
    <mergeCell ref="M6:N6"/>
    <mergeCell ref="M7:N7"/>
    <mergeCell ref="B11:T11"/>
    <mergeCell ref="B13:B14"/>
    <mergeCell ref="C13:E13"/>
    <mergeCell ref="F13:F14"/>
    <mergeCell ref="G13:G14"/>
    <mergeCell ref="H13:H14"/>
    <mergeCell ref="D14:E14"/>
    <mergeCell ref="J13:J14"/>
    <mergeCell ref="K13:M13"/>
    <mergeCell ref="S13:S14"/>
    <mergeCell ref="T13:T14"/>
    <mergeCell ref="L14:M14"/>
    <mergeCell ref="N13:N14"/>
    <mergeCell ref="O13:O14"/>
    <mergeCell ref="P13:P14"/>
    <mergeCell ref="Q13:Q14"/>
    <mergeCell ref="R13:R14"/>
    <mergeCell ref="C20:C21"/>
    <mergeCell ref="E20:E21"/>
    <mergeCell ref="K20:K21"/>
    <mergeCell ref="M20:M21"/>
    <mergeCell ref="B26:T26"/>
    <mergeCell ref="S15:S23"/>
    <mergeCell ref="T15:T23"/>
    <mergeCell ref="C18:C19"/>
    <mergeCell ref="E18:E19"/>
    <mergeCell ref="K18:K19"/>
    <mergeCell ref="M18:M19"/>
    <mergeCell ref="B27:J27"/>
    <mergeCell ref="K27:T27"/>
    <mergeCell ref="B28:B29"/>
    <mergeCell ref="C28:E28"/>
    <mergeCell ref="F28:F29"/>
    <mergeCell ref="G28:G29"/>
    <mergeCell ref="H28:H29"/>
    <mergeCell ref="I28:I29"/>
    <mergeCell ref="J28:J29"/>
    <mergeCell ref="S28:S29"/>
    <mergeCell ref="T28:T29"/>
    <mergeCell ref="D29:E29"/>
    <mergeCell ref="L29:M29"/>
    <mergeCell ref="S30:S38"/>
    <mergeCell ref="T30:T38"/>
    <mergeCell ref="K28:M28"/>
    <mergeCell ref="N28:N29"/>
    <mergeCell ref="O28:O29"/>
    <mergeCell ref="P28:P29"/>
    <mergeCell ref="Q28:Q29"/>
    <mergeCell ref="R28:R29"/>
    <mergeCell ref="C33:C34"/>
    <mergeCell ref="E33:E34"/>
    <mergeCell ref="K33:K34"/>
    <mergeCell ref="M33:M34"/>
    <mergeCell ref="C35:C36"/>
    <mergeCell ref="E35:E36"/>
    <mergeCell ref="K35:K36"/>
    <mergeCell ref="M35:M36"/>
    <mergeCell ref="B41:T41"/>
    <mergeCell ref="B42:J42"/>
    <mergeCell ref="K42:O42"/>
    <mergeCell ref="B43:B44"/>
    <mergeCell ref="C43:E43"/>
    <mergeCell ref="F43:F44"/>
    <mergeCell ref="G43:G44"/>
    <mergeCell ref="H43:H44"/>
    <mergeCell ref="I43:I44"/>
    <mergeCell ref="J43:J44"/>
    <mergeCell ref="S43:S44"/>
    <mergeCell ref="T43:T44"/>
    <mergeCell ref="D44:E44"/>
    <mergeCell ref="L44:M44"/>
    <mergeCell ref="S45:S53"/>
    <mergeCell ref="T45:T53"/>
    <mergeCell ref="K43:M43"/>
    <mergeCell ref="N43:N44"/>
    <mergeCell ref="O43:O44"/>
    <mergeCell ref="P43:P44"/>
    <mergeCell ref="Q43:Q44"/>
    <mergeCell ref="R43:R44"/>
    <mergeCell ref="C48:C49"/>
    <mergeCell ref="E48:E49"/>
    <mergeCell ref="K48:K49"/>
    <mergeCell ref="M48:M49"/>
    <mergeCell ref="C50:C51"/>
    <mergeCell ref="E50:E51"/>
    <mergeCell ref="K50:K51"/>
    <mergeCell ref="M50:M51"/>
  </mergeCells>
  <conditionalFormatting sqref="E15:E18 E20 E22:E23">
    <cfRule type="cellIs" dxfId="666" priority="22" operator="between">
      <formula>0.7</formula>
      <formula>1</formula>
    </cfRule>
    <cfRule type="cellIs" dxfId="665" priority="23" operator="greaterThanOrEqual">
      <formula>1</formula>
    </cfRule>
    <cfRule type="cellIs" dxfId="664" priority="24" operator="lessThan">
      <formula>0.7</formula>
    </cfRule>
  </conditionalFormatting>
  <conditionalFormatting sqref="E30:E33 E35 E37:E38">
    <cfRule type="cellIs" dxfId="663" priority="10" operator="between">
      <formula>0.7</formula>
      <formula>1</formula>
    </cfRule>
    <cfRule type="cellIs" dxfId="662" priority="11" operator="greaterThanOrEqual">
      <formula>1</formula>
    </cfRule>
    <cfRule type="cellIs" dxfId="661" priority="12" operator="lessThan">
      <formula>0.7</formula>
    </cfRule>
  </conditionalFormatting>
  <conditionalFormatting sqref="E45:E48 E50 E52:E53">
    <cfRule type="cellIs" dxfId="660" priority="34" operator="between">
      <formula>0.7</formula>
      <formula>1</formula>
    </cfRule>
    <cfRule type="cellIs" dxfId="659" priority="35" operator="greaterThanOrEqual">
      <formula>1</formula>
    </cfRule>
    <cfRule type="cellIs" dxfId="658" priority="36" operator="lessThan">
      <formula>0.7</formula>
    </cfRule>
  </conditionalFormatting>
  <conditionalFormatting sqref="M15:M18">
    <cfRule type="cellIs" dxfId="657" priority="16" operator="between">
      <formula>0.7</formula>
      <formula>1</formula>
    </cfRule>
    <cfRule type="cellIs" dxfId="656" priority="17" operator="greaterThanOrEqual">
      <formula>1</formula>
    </cfRule>
    <cfRule type="cellIs" dxfId="655" priority="18" operator="lessThan">
      <formula>0.7</formula>
    </cfRule>
  </conditionalFormatting>
  <conditionalFormatting sqref="M20">
    <cfRule type="cellIs" dxfId="654" priority="13" operator="between">
      <formula>0.7</formula>
      <formula>1</formula>
    </cfRule>
    <cfRule type="cellIs" dxfId="653" priority="14" operator="greaterThanOrEqual">
      <formula>1</formula>
    </cfRule>
    <cfRule type="cellIs" dxfId="652" priority="15" operator="lessThan">
      <formula>0.7</formula>
    </cfRule>
  </conditionalFormatting>
  <conditionalFormatting sqref="M22:M23">
    <cfRule type="cellIs" dxfId="651" priority="19" operator="between">
      <formula>0.7</formula>
      <formula>1</formula>
    </cfRule>
    <cfRule type="cellIs" dxfId="650" priority="20" operator="greaterThanOrEqual">
      <formula>1</formula>
    </cfRule>
    <cfRule type="cellIs" dxfId="649" priority="21" operator="lessThan">
      <formula>0.7</formula>
    </cfRule>
  </conditionalFormatting>
  <conditionalFormatting sqref="M30:M33">
    <cfRule type="cellIs" dxfId="648" priority="4" operator="between">
      <formula>0.7</formula>
      <formula>1</formula>
    </cfRule>
    <cfRule type="cellIs" dxfId="647" priority="5" operator="greaterThanOrEqual">
      <formula>1</formula>
    </cfRule>
    <cfRule type="cellIs" dxfId="646" priority="6" operator="lessThan">
      <formula>0.7</formula>
    </cfRule>
  </conditionalFormatting>
  <conditionalFormatting sqref="M35">
    <cfRule type="cellIs" dxfId="645" priority="1" operator="between">
      <formula>0.7</formula>
      <formula>1</formula>
    </cfRule>
    <cfRule type="cellIs" dxfId="644" priority="2" operator="greaterThanOrEqual">
      <formula>1</formula>
    </cfRule>
    <cfRule type="cellIs" dxfId="643" priority="3" operator="lessThan">
      <formula>0.7</formula>
    </cfRule>
  </conditionalFormatting>
  <conditionalFormatting sqref="M37:M38">
    <cfRule type="cellIs" dxfId="642" priority="7" operator="between">
      <formula>0.7</formula>
      <formula>1</formula>
    </cfRule>
    <cfRule type="cellIs" dxfId="641" priority="8" operator="greaterThanOrEqual">
      <formula>1</formula>
    </cfRule>
    <cfRule type="cellIs" dxfId="640" priority="9" operator="lessThan">
      <formula>0.7</formula>
    </cfRule>
  </conditionalFormatting>
  <conditionalFormatting sqref="M45:M48">
    <cfRule type="cellIs" dxfId="639" priority="28" operator="between">
      <formula>0.7</formula>
      <formula>1</formula>
    </cfRule>
    <cfRule type="cellIs" dxfId="638" priority="29" operator="greaterThanOrEqual">
      <formula>1</formula>
    </cfRule>
    <cfRule type="cellIs" dxfId="637" priority="30" operator="lessThan">
      <formula>0.7</formula>
    </cfRule>
  </conditionalFormatting>
  <conditionalFormatting sqref="M50">
    <cfRule type="cellIs" dxfId="636" priority="25" operator="between">
      <formula>0.7</formula>
      <formula>1</formula>
    </cfRule>
    <cfRule type="cellIs" dxfId="635" priority="26" operator="greaterThanOrEqual">
      <formula>1</formula>
    </cfRule>
    <cfRule type="cellIs" dxfId="634" priority="27" operator="lessThan">
      <formula>0.7</formula>
    </cfRule>
  </conditionalFormatting>
  <conditionalFormatting sqref="M52:M53">
    <cfRule type="cellIs" dxfId="633" priority="31" operator="between">
      <formula>0.7</formula>
      <formula>1</formula>
    </cfRule>
    <cfRule type="cellIs" dxfId="632" priority="32" operator="greaterThanOrEqual">
      <formula>1</formula>
    </cfRule>
    <cfRule type="cellIs" dxfId="631" priority="33" operator="lessThan">
      <formula>0.7</formula>
    </cfRule>
  </conditionalFormatting>
  <dataValidations count="1">
    <dataValidation type="list" allowBlank="1" showInputMessage="1" showErrorMessage="1" sqref="B8:H8" xr:uid="{06D12239-FA24-4D64-B083-EC7F5D0AC686}">
      <formula1>$V$6:$X$6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8DD95-6918-4F10-B900-64B2CEA89E21}">
  <dimension ref="B1:X54"/>
  <sheetViews>
    <sheetView showGridLines="0" zoomScale="70" zoomScaleNormal="70" workbookViewId="0">
      <selection activeCell="D48" sqref="D48"/>
    </sheetView>
  </sheetViews>
  <sheetFormatPr defaultRowHeight="14.5" x14ac:dyDescent="0.35"/>
  <cols>
    <col min="1" max="1" width="2.1796875" customWidth="1"/>
    <col min="2" max="2" width="16.453125" customWidth="1"/>
    <col min="3" max="3" width="15" bestFit="1" customWidth="1"/>
    <col min="4" max="4" width="14.54296875" customWidth="1"/>
    <col min="5" max="5" width="13.453125" bestFit="1" customWidth="1"/>
    <col min="6" max="6" width="14" customWidth="1"/>
    <col min="7" max="7" width="18.7265625" customWidth="1"/>
    <col min="8" max="8" width="15" customWidth="1"/>
    <col min="9" max="9" width="20" customWidth="1"/>
    <col min="10" max="10" width="21.1796875" customWidth="1"/>
    <col min="11" max="12" width="16.453125" customWidth="1"/>
    <col min="13" max="13" width="9.7265625" customWidth="1"/>
    <col min="14" max="14" width="20.54296875" customWidth="1"/>
    <col min="15" max="15" width="21" customWidth="1"/>
    <col min="16" max="16" width="15.26953125" customWidth="1"/>
    <col min="17" max="17" width="13" bestFit="1" customWidth="1"/>
    <col min="18" max="18" width="10.453125" bestFit="1" customWidth="1"/>
    <col min="19" max="19" width="12.7265625" bestFit="1" customWidth="1"/>
    <col min="20" max="20" width="14.453125" customWidth="1"/>
  </cols>
  <sheetData>
    <row r="1" spans="2:24" x14ac:dyDescent="0.35">
      <c r="B1" s="59"/>
    </row>
    <row r="2" spans="2:24" x14ac:dyDescent="0.35">
      <c r="B2" s="143" t="s">
        <v>207</v>
      </c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5"/>
    </row>
    <row r="3" spans="2:24" x14ac:dyDescent="0.35">
      <c r="B3" s="146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8"/>
    </row>
    <row r="4" spans="2:24" x14ac:dyDescent="0.35">
      <c r="B4" s="149"/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1"/>
    </row>
    <row r="5" spans="2:24" x14ac:dyDescent="0.35">
      <c r="B5" s="60"/>
      <c r="T5" s="61"/>
    </row>
    <row r="6" spans="2:24" ht="14.5" customHeight="1" x14ac:dyDescent="0.35">
      <c r="B6" s="152" t="s">
        <v>208</v>
      </c>
      <c r="C6" s="153"/>
      <c r="D6" s="153"/>
      <c r="E6" s="153"/>
      <c r="F6" s="153"/>
      <c r="G6" s="153"/>
      <c r="H6" s="154"/>
      <c r="M6" s="155" t="s">
        <v>54</v>
      </c>
      <c r="N6" s="156"/>
      <c r="P6" s="74" t="s">
        <v>23</v>
      </c>
      <c r="T6" s="61"/>
      <c r="V6" s="1">
        <v>0</v>
      </c>
      <c r="W6" s="1">
        <v>2</v>
      </c>
      <c r="X6" s="1">
        <v>3</v>
      </c>
    </row>
    <row r="7" spans="2:24" ht="14.5" customHeight="1" x14ac:dyDescent="0.35">
      <c r="B7" s="62" t="s">
        <v>209</v>
      </c>
      <c r="C7" s="2" t="s">
        <v>13</v>
      </c>
      <c r="D7" s="2" t="s">
        <v>210</v>
      </c>
      <c r="E7" s="2" t="s">
        <v>16</v>
      </c>
      <c r="F7" s="2" t="s">
        <v>211</v>
      </c>
      <c r="G7" s="2" t="s">
        <v>212</v>
      </c>
      <c r="H7" s="3" t="s">
        <v>14</v>
      </c>
      <c r="M7" s="157" t="s">
        <v>32</v>
      </c>
      <c r="N7" s="158"/>
      <c r="P7" s="75" t="s">
        <v>28</v>
      </c>
      <c r="T7" s="61"/>
    </row>
    <row r="8" spans="2:24" ht="14.5" customHeight="1" x14ac:dyDescent="0.35">
      <c r="B8" s="63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5">
        <v>0</v>
      </c>
      <c r="T8" s="61"/>
    </row>
    <row r="9" spans="2:24" x14ac:dyDescent="0.35">
      <c r="B9" s="84"/>
      <c r="C9" s="85"/>
      <c r="D9" s="85"/>
      <c r="E9" s="85"/>
      <c r="F9" s="85"/>
      <c r="G9" s="85"/>
      <c r="H9" s="85"/>
    </row>
    <row r="10" spans="2:24" x14ac:dyDescent="0.35">
      <c r="B10" s="84"/>
      <c r="C10" s="85"/>
      <c r="D10" s="85"/>
      <c r="E10" s="85"/>
      <c r="F10" s="85"/>
      <c r="G10" s="85"/>
      <c r="H10" s="85"/>
    </row>
    <row r="11" spans="2:24" ht="18.5" x14ac:dyDescent="0.35">
      <c r="B11" s="159" t="s">
        <v>213</v>
      </c>
      <c r="C11" s="160"/>
      <c r="D11" s="160"/>
      <c r="E11" s="160"/>
      <c r="F11" s="160"/>
      <c r="G11" s="160"/>
      <c r="H11" s="160"/>
      <c r="I11" s="160"/>
      <c r="J11" s="160"/>
      <c r="K11" s="160"/>
      <c r="L11" s="160"/>
      <c r="M11" s="160"/>
      <c r="N11" s="160"/>
      <c r="O11" s="160"/>
      <c r="P11" s="160"/>
      <c r="Q11" s="160"/>
      <c r="R11" s="160"/>
      <c r="S11" s="160"/>
      <c r="T11" s="160"/>
    </row>
    <row r="12" spans="2:24" x14ac:dyDescent="0.35">
      <c r="B12" s="129" t="s">
        <v>9</v>
      </c>
      <c r="C12" s="130"/>
      <c r="D12" s="130"/>
      <c r="E12" s="130"/>
      <c r="F12" s="130"/>
      <c r="G12" s="130"/>
      <c r="H12" s="130"/>
      <c r="I12" s="130"/>
      <c r="J12" s="131"/>
      <c r="K12" s="132" t="s">
        <v>54</v>
      </c>
      <c r="L12" s="130"/>
      <c r="M12" s="130"/>
      <c r="N12" s="130"/>
      <c r="O12" s="130"/>
      <c r="P12" s="130"/>
      <c r="Q12" s="130"/>
      <c r="R12" s="130"/>
      <c r="S12" s="130"/>
      <c r="T12" s="133"/>
    </row>
    <row r="13" spans="2:24" ht="14.5" customHeight="1" x14ac:dyDescent="0.35">
      <c r="B13" s="115" t="s">
        <v>214</v>
      </c>
      <c r="C13" s="116" t="s">
        <v>215</v>
      </c>
      <c r="D13" s="117"/>
      <c r="E13" s="104"/>
      <c r="F13" s="135" t="s">
        <v>216</v>
      </c>
      <c r="G13" s="135" t="s">
        <v>217</v>
      </c>
      <c r="H13" s="135" t="s">
        <v>218</v>
      </c>
      <c r="I13" s="135" t="s">
        <v>219</v>
      </c>
      <c r="J13" s="135" t="s">
        <v>220</v>
      </c>
      <c r="K13" s="116" t="s">
        <v>221</v>
      </c>
      <c r="L13" s="117"/>
      <c r="M13" s="104"/>
      <c r="N13" s="127" t="s">
        <v>222</v>
      </c>
      <c r="O13" s="127" t="s">
        <v>223</v>
      </c>
      <c r="P13" s="127" t="s">
        <v>224</v>
      </c>
      <c r="Q13" s="127" t="s">
        <v>225</v>
      </c>
      <c r="R13" s="127" t="s">
        <v>226</v>
      </c>
      <c r="S13" s="127" t="s">
        <v>227</v>
      </c>
      <c r="T13" s="137" t="s">
        <v>228</v>
      </c>
    </row>
    <row r="14" spans="2:24" x14ac:dyDescent="0.35">
      <c r="B14" s="134"/>
      <c r="C14" s="94" t="s">
        <v>229</v>
      </c>
      <c r="D14" s="139" t="s">
        <v>230</v>
      </c>
      <c r="E14" s="140"/>
      <c r="F14" s="136"/>
      <c r="G14" s="136"/>
      <c r="H14" s="136"/>
      <c r="I14" s="136"/>
      <c r="J14" s="136"/>
      <c r="K14" s="52" t="s">
        <v>229</v>
      </c>
      <c r="L14" s="139" t="s">
        <v>230</v>
      </c>
      <c r="M14" s="140"/>
      <c r="N14" s="128"/>
      <c r="O14" s="128"/>
      <c r="P14" s="128"/>
      <c r="Q14" s="128"/>
      <c r="R14" s="128"/>
      <c r="S14" s="128"/>
      <c r="T14" s="138"/>
    </row>
    <row r="15" spans="2:24" x14ac:dyDescent="0.35">
      <c r="B15" s="45" t="s">
        <v>2</v>
      </c>
      <c r="C15" s="76">
        <f>SUMIFS(REALIZADO[META_MOVEL],REALIZADO[PDV],PIUMA!$M$7)</f>
        <v>10250</v>
      </c>
      <c r="D15" s="77">
        <f>SUMIFS(PROJEÇÃO[PROJ_MOVEL],PROJEÇÃO[PDV],PIUMA!$M$7)</f>
        <v>8604.7199999999993</v>
      </c>
      <c r="E15" s="49">
        <f>IFERROR(D15/C15,0)</f>
        <v>0.83948487804878047</v>
      </c>
      <c r="F15" s="8">
        <f>VLOOKUP($E$15,FATORES!$I$32:$K$34,3)</f>
        <v>0.02</v>
      </c>
      <c r="G15" s="8">
        <f>IFERROR(VLOOKUP($E$15,FATORES!$I$35:$K$36,3),0)</f>
        <v>0</v>
      </c>
      <c r="H15" s="9">
        <f>D15*F15</f>
        <v>172.09439999999998</v>
      </c>
      <c r="I15" s="9">
        <f t="shared" ref="I15:I23" si="0">IF($P$7="ARIEL",
   IF(AND($E$15&gt;=69.5%, AND($E$17&gt;=69.5%, $E$18&gt;=69.5%, $E$18&gt;=69.5%, $E$20&gt;=69.5%, $E$20&gt;=69.5%, $E$22&gt;=69.5%, $E$23&gt;=69.5%)),
      D15*G15,
      0),
   IF(AND($E$15&gt;=69.5%, $E$16&gt;=69.5%, $E$17&gt;=69.5%, $E$18&gt;=69.5%, $E$18&gt;=69.5%, $E$20&gt;=69.5%, $E$20&gt;=69.5%, $E$22&gt;=69.5%, $E$23&gt;=69.5%),
      D15*G15,
      0)
)</f>
        <v>0</v>
      </c>
      <c r="J15" s="9">
        <f>H15+I15</f>
        <v>172.09439999999998</v>
      </c>
      <c r="K15" s="76">
        <f>SUMIFS(REALIZADO[META_MOVEL],REALIZADO[COORDENAÇÃO],$P$7)</f>
        <v>59729.999899999995</v>
      </c>
      <c r="L15" s="77">
        <f>SUMIFS(PROJEÇÃO[PROJ_MOVEL],PROJEÇÃO[COORDENAÇÃO],$P$7)</f>
        <v>52523.219899999989</v>
      </c>
      <c r="M15" s="49">
        <f>IFERROR(L15/K15,0)</f>
        <v>0.87934404801497401</v>
      </c>
      <c r="N15" s="8">
        <f>IF($M$15&gt;=FATORES!$I$37,FATORES!$K$37,0)</f>
        <v>0</v>
      </c>
      <c r="O15" s="14">
        <f>IF(E15&gt;=100%,
   IF($P$7="ARIEL",
      IF(AND($E$15&gt;=69.5%,$E$17&gt;=69.5%,$E$18&gt;=69.5%,$E$20&gt;=69.5%,$E$22&gt;=69.5%,$E$23&gt;=69.5%),
         D15*N15,
         0
      ),
      IF(AND($E$15&gt;=69.5%,$E$16&gt;=69.5%,$E$17&gt;=69.5%,$E$18&gt;=69.5%,$E$20&gt;=69.5%,$E$22&gt;=69.5%,$E$23&gt;=69.5%),
         D15*N15,
         0
      )
   ),
0)</f>
        <v>0</v>
      </c>
      <c r="P15" s="10">
        <f>J15+O15</f>
        <v>172.09439999999998</v>
      </c>
      <c r="Q15" s="11">
        <f>IF($B$8=2,P15*0.05,0)</f>
        <v>0</v>
      </c>
      <c r="R15" s="11">
        <f>IF($B$8=3,P15*0.15,0)</f>
        <v>0</v>
      </c>
      <c r="S15" s="98">
        <v>0.1</v>
      </c>
      <c r="T15" s="124">
        <f>SUM(P24:S24)</f>
        <v>232.14569557999999</v>
      </c>
    </row>
    <row r="16" spans="2:24" x14ac:dyDescent="0.35">
      <c r="B16" s="46" t="s">
        <v>13</v>
      </c>
      <c r="C16" s="76">
        <f>SUMIFS(REALIZADO[META_FIXA],REALIZADO[PDV],PIUMA!$M$7)</f>
        <v>0</v>
      </c>
      <c r="D16" s="77">
        <f>SUMIFS(PROJEÇÃO[PROJ_FIXA],PROJEÇÃO[PDV],PIUMA!$M$7)</f>
        <v>0</v>
      </c>
      <c r="E16" s="50">
        <f>IFERROR(D16/C16,0)</f>
        <v>0</v>
      </c>
      <c r="F16" s="12">
        <f>VLOOKUP($E$16,FATORES!$I$40:$K$42,3)</f>
        <v>5.0000000000000001E-3</v>
      </c>
      <c r="G16" s="12">
        <f>IFERROR(VLOOKUP($E$16,FATORES!$I$43:$K$44,3),0)</f>
        <v>0</v>
      </c>
      <c r="H16" s="65">
        <f t="shared" ref="H16:H23" si="1">D16*F16</f>
        <v>0</v>
      </c>
      <c r="I16" s="65">
        <f t="shared" si="0"/>
        <v>0</v>
      </c>
      <c r="J16" s="65">
        <f t="shared" ref="J16:J23" si="2">H16+I16</f>
        <v>0</v>
      </c>
      <c r="K16" s="76">
        <f>SUMIFS(REALIZADO[META_FIXA],REALIZADO[COORDENAÇÃO],$P$7)</f>
        <v>0</v>
      </c>
      <c r="L16" s="77">
        <f>SUMIFS(PROJEÇÃO[PROJ_FIXA],PROJEÇÃO[COORDENAÇÃO],$P$7)</f>
        <v>0</v>
      </c>
      <c r="M16" s="50">
        <f t="shared" ref="M16:M17" si="3">IFERROR(L16/K16,0)</f>
        <v>0</v>
      </c>
      <c r="N16" s="12">
        <f>IF($M$16&gt;=FATORES!$I$45,FATORES!$K$45,0)</f>
        <v>0</v>
      </c>
      <c r="O16" s="14">
        <f t="shared" ref="O16:O23" si="4">IF(E16&gt;=100%,
   IF($P$7="ARIEL",
      IF(AND($E$15&gt;=69.5%,$E$17&gt;=69.5%,$E$18&gt;=69.5%,$E$20&gt;=69.5%,$E$22&gt;=69.5%,$E$23&gt;=69.5%),
         D16*N16,
         0
      ),
      IF(AND($E$15&gt;=69.5%,$E$16&gt;=69.5%,$E$17&gt;=69.5%,$E$18&gt;=69.5%,$E$20&gt;=69.5%,$E$22&gt;=69.5%,$E$23&gt;=69.5%),
         D16*N16,
         0
      )
   ),
0)</f>
        <v>0</v>
      </c>
      <c r="P16" s="13">
        <f t="shared" ref="P16:P23" si="5">J16+O16</f>
        <v>0</v>
      </c>
      <c r="Q16" s="15">
        <f>IF($C$8=2,P16*0.05,0)</f>
        <v>0</v>
      </c>
      <c r="R16" s="15">
        <f>IF($C$8=3,P16*0.15,0)</f>
        <v>0</v>
      </c>
      <c r="S16" s="99"/>
      <c r="T16" s="125"/>
    </row>
    <row r="17" spans="2:20" x14ac:dyDescent="0.35">
      <c r="B17" s="46" t="s">
        <v>231</v>
      </c>
      <c r="C17" s="53">
        <f>SUMIFS(REALIZADO[META_SMARTPHONE],REALIZADO[PDV],PIUMA!$M$7)</f>
        <v>166000</v>
      </c>
      <c r="D17" s="78">
        <f>SUMIFS(PROJEÇÃO[PROJ_APARELHO],PROJEÇÃO[PDV],PIUMA!$M$7)</f>
        <v>67979.888900000005</v>
      </c>
      <c r="E17" s="50">
        <f>IFERROR(D17/C17,0)</f>
        <v>0.4095174030120482</v>
      </c>
      <c r="F17" s="12">
        <f>VLOOKUP($E$17,FATORES!$B$53:$D$54,3)</f>
        <v>2.0000000000000001E-4</v>
      </c>
      <c r="G17" s="12">
        <f>IFERROR(VLOOKUP($E$17,FATORES!$B$55:$D$55,3),0)</f>
        <v>0</v>
      </c>
      <c r="H17" s="65">
        <f t="shared" si="1"/>
        <v>13.595977780000002</v>
      </c>
      <c r="I17" s="65">
        <f t="shared" si="0"/>
        <v>0</v>
      </c>
      <c r="J17" s="65">
        <f t="shared" si="2"/>
        <v>13.595977780000002</v>
      </c>
      <c r="K17" s="53">
        <f>SUMIFS(REALIZADO[META_SMARTPHONE],REALIZADO[COORDENAÇÃO],$P$7)</f>
        <v>741000.00010000006</v>
      </c>
      <c r="L17" s="78">
        <f>SUMIFS(PROJEÇÃO[PROJ_APARELHO],PROJEÇÃO[COORDENAÇÃO],$P$7)</f>
        <v>619809.5554999999</v>
      </c>
      <c r="M17" s="50">
        <f t="shared" si="3"/>
        <v>0.8364501422622872</v>
      </c>
      <c r="N17" s="12">
        <f>IF($M$17&gt;=FATORES!$B$56,FATORES!$D$56,0)</f>
        <v>0</v>
      </c>
      <c r="O17" s="14">
        <f t="shared" si="4"/>
        <v>0</v>
      </c>
      <c r="P17" s="13">
        <f t="shared" si="5"/>
        <v>13.595977780000002</v>
      </c>
      <c r="Q17" s="15">
        <f>IF($D$8=2,P17*0.05,0)</f>
        <v>0</v>
      </c>
      <c r="R17" s="15">
        <f>IF($D$8=3,P17*0.15,0)</f>
        <v>0</v>
      </c>
      <c r="S17" s="99"/>
      <c r="T17" s="125"/>
    </row>
    <row r="18" spans="2:20" x14ac:dyDescent="0.35">
      <c r="B18" s="47" t="s">
        <v>232</v>
      </c>
      <c r="C18" s="121">
        <f>SUMIFS(REALIZADO[META_ACESSORIO],REALIZADO[PDV],PIUMA!$M$7)</f>
        <v>13950</v>
      </c>
      <c r="D18" s="86">
        <f>SUMIFS(PROJEÇÃO[PROJ_ELETRO_A],PROJEÇÃO[PDV],PIUMA!$M$7)</f>
        <v>0</v>
      </c>
      <c r="E18" s="123">
        <f>IFERROR((D18+D19)/C18,0)</f>
        <v>0.45596973476702507</v>
      </c>
      <c r="F18" s="12">
        <f>VLOOKUP($E$18,FATORES!$B$44:$E$46,3)</f>
        <v>5.0000000000000001E-4</v>
      </c>
      <c r="G18" s="12">
        <f>IFERROR(VLOOKUP($E$18,FATORES!$B$47:$E$48,3),0)</f>
        <v>0</v>
      </c>
      <c r="H18" s="65">
        <f t="shared" si="1"/>
        <v>0</v>
      </c>
      <c r="I18" s="65">
        <f t="shared" si="0"/>
        <v>0</v>
      </c>
      <c r="J18" s="65">
        <f t="shared" si="2"/>
        <v>0</v>
      </c>
      <c r="K18" s="121">
        <f>SUMIFS(REALIZADO[META_ACESSORIO],REALIZADO[COORDENAÇÃO],$P$7)</f>
        <v>84200.000200000009</v>
      </c>
      <c r="L18" s="86">
        <f>SUMIFS(PROJEÇÃO[PROJ_ELETRO_A],PROJEÇÃO[COORDENAÇÃO],$P$7)</f>
        <v>2058.3333000000002</v>
      </c>
      <c r="M18" s="97">
        <f>IFERROR((L18+L19)/K18,0)</f>
        <v>1.2364040611961895</v>
      </c>
      <c r="N18" s="12">
        <f>IF($M$18&gt;=FATORES!$B$49,FATORES!$D$49,0)</f>
        <v>2.5000000000000001E-3</v>
      </c>
      <c r="O18" s="14">
        <f t="shared" si="4"/>
        <v>0</v>
      </c>
      <c r="P18" s="13">
        <f t="shared" si="5"/>
        <v>0</v>
      </c>
      <c r="Q18" s="15">
        <f>IF($E$8=2,P18*0.05,0)</f>
        <v>0</v>
      </c>
      <c r="R18" s="15">
        <f>IF($E$8=3,P18*0.15,0)</f>
        <v>0</v>
      </c>
      <c r="S18" s="99"/>
      <c r="T18" s="125"/>
    </row>
    <row r="19" spans="2:20" x14ac:dyDescent="0.35">
      <c r="B19" s="47" t="s">
        <v>233</v>
      </c>
      <c r="C19" s="122"/>
      <c r="D19" s="87">
        <f>SUMIFS(PROJEÇÃO[PROJ_ELETRO_B],PROJEÇÃO[PDV],PIUMA!$M$7)</f>
        <v>6360.7777999999998</v>
      </c>
      <c r="E19" s="123"/>
      <c r="F19" s="12">
        <f>VLOOKUP($E$18,FATORES!$B$44:$E$46,4)</f>
        <v>2.5000000000000001E-4</v>
      </c>
      <c r="G19" s="12">
        <f>IFERROR(VLOOKUP($E$18,FATORES!$B$47:$E$48,4),0)</f>
        <v>0</v>
      </c>
      <c r="H19" s="65">
        <f t="shared" si="1"/>
        <v>1.59019445</v>
      </c>
      <c r="I19" s="65">
        <f t="shared" si="0"/>
        <v>0</v>
      </c>
      <c r="J19" s="65">
        <f t="shared" si="2"/>
        <v>1.59019445</v>
      </c>
      <c r="K19" s="122"/>
      <c r="L19" s="87">
        <f>SUMIFS(PROJEÇÃO[PROJ_ELETRO_B],PROJEÇÃO[COORDENAÇÃO],$P$7)</f>
        <v>102046.88889999999</v>
      </c>
      <c r="M19" s="97"/>
      <c r="N19" s="12">
        <f>IF($M$18&gt;=FATORES!$B$49,FATORES!$E$49,0)</f>
        <v>1.25E-3</v>
      </c>
      <c r="O19" s="14">
        <f t="shared" si="4"/>
        <v>0</v>
      </c>
      <c r="P19" s="13">
        <f t="shared" si="5"/>
        <v>1.59019445</v>
      </c>
      <c r="Q19" s="15">
        <f>IF($E$8=2,P19*0.05,0)</f>
        <v>0</v>
      </c>
      <c r="R19" s="15">
        <f>IF($E$8=3,P19*0.15,0)</f>
        <v>0</v>
      </c>
      <c r="S19" s="99"/>
      <c r="T19" s="125"/>
    </row>
    <row r="20" spans="2:20" x14ac:dyDescent="0.35">
      <c r="B20" s="46" t="s">
        <v>234</v>
      </c>
      <c r="C20" s="121">
        <f>SUMIFS(REALIZADO[META_ESSENCIAIS],REALIZADO[PDV],PIUMA!$M$7)</f>
        <v>10500</v>
      </c>
      <c r="D20" s="86">
        <f>SUMIFS(PROJEÇÃO[PROJ_ESSEN_A],PROJEÇÃO[PDV],PIUMA!$M$7)</f>
        <v>5267.2222000000002</v>
      </c>
      <c r="E20" s="123">
        <f>IFERROR((D20+D21)/C20,0)</f>
        <v>0.76382011428571428</v>
      </c>
      <c r="F20" s="12">
        <f>VLOOKUP($E$20,FATORES!$B$34:$E$36,3)</f>
        <v>5.0000000000000001E-4</v>
      </c>
      <c r="G20" s="12">
        <f>IFERROR(VLOOKUP($E$20,FATORES!$B$37:$E$38,3),0)</f>
        <v>0</v>
      </c>
      <c r="H20" s="65">
        <f t="shared" si="1"/>
        <v>2.6336111</v>
      </c>
      <c r="I20" s="65">
        <f t="shared" si="0"/>
        <v>0</v>
      </c>
      <c r="J20" s="65">
        <f t="shared" si="2"/>
        <v>2.6336111</v>
      </c>
      <c r="K20" s="121">
        <f>SUMIFS(REALIZADO[META_ESSENCIAIS],REALIZADO[COORDENAÇÃO],$P$7)</f>
        <v>58599.999900000003</v>
      </c>
      <c r="L20" s="86">
        <f>SUMIFS(PROJEÇÃO[PROJ_ESSEN_A],PROJEÇÃO[COORDENAÇÃO],$P$7)</f>
        <v>30216.333300000002</v>
      </c>
      <c r="M20" s="97">
        <f>IFERROR((L20+L21)/K20,0)</f>
        <v>1.094031099136572</v>
      </c>
      <c r="N20" s="12">
        <f>IF($M$20&gt;=FATORES!$B$39,FATORES!$D$39,0)</f>
        <v>8.0000000000000002E-3</v>
      </c>
      <c r="O20" s="14">
        <f t="shared" si="4"/>
        <v>0</v>
      </c>
      <c r="P20" s="13">
        <f t="shared" si="5"/>
        <v>2.6336111</v>
      </c>
      <c r="Q20" s="15">
        <f>IF($F$8=2,P20*0.05,0)</f>
        <v>0</v>
      </c>
      <c r="R20" s="15">
        <f>IF($F$8=3,P20*0.15,0)</f>
        <v>0</v>
      </c>
      <c r="S20" s="99"/>
      <c r="T20" s="125"/>
    </row>
    <row r="21" spans="2:20" x14ac:dyDescent="0.35">
      <c r="B21" s="46" t="s">
        <v>235</v>
      </c>
      <c r="C21" s="122"/>
      <c r="D21" s="87">
        <f>SUMIFS(PROJEÇÃO[PROJ_ESSEN_B],PROJEÇÃO[PDV],PIUMA!$M$7)</f>
        <v>2752.8890000000001</v>
      </c>
      <c r="E21" s="123"/>
      <c r="F21" s="12">
        <f>VLOOKUP($E$20,FATORES!$B$34:$E$36,4)</f>
        <v>2.5000000000000001E-4</v>
      </c>
      <c r="G21" s="12">
        <f>IFERROR(VLOOKUP($E$20,FATORES!$B$37:$E$38,4),0)</f>
        <v>0</v>
      </c>
      <c r="H21" s="65">
        <f t="shared" si="1"/>
        <v>0.68822225000000004</v>
      </c>
      <c r="I21" s="65">
        <f t="shared" si="0"/>
        <v>0</v>
      </c>
      <c r="J21" s="65">
        <f t="shared" si="2"/>
        <v>0.68822225000000004</v>
      </c>
      <c r="K21" s="122"/>
      <c r="L21" s="87">
        <f>SUMIFS(PROJEÇÃO[PROJ_ESSEN_B],PROJEÇÃO[COORDENAÇÃO],$P$7)</f>
        <v>33893.88900000001</v>
      </c>
      <c r="M21" s="97"/>
      <c r="N21" s="12">
        <f>IF($M$20&gt;=FATORES!$B$39,FATORES!$E$39,0)</f>
        <v>4.0000000000000001E-3</v>
      </c>
      <c r="O21" s="14">
        <f t="shared" si="4"/>
        <v>0</v>
      </c>
      <c r="P21" s="13">
        <f t="shared" si="5"/>
        <v>0.68822225000000004</v>
      </c>
      <c r="Q21" s="15">
        <f>IF($F$8=2,P21*0.05,0)</f>
        <v>0</v>
      </c>
      <c r="R21" s="15">
        <f>IF($F$8=3,P21*0.15,0)</f>
        <v>0</v>
      </c>
      <c r="S21" s="99"/>
      <c r="T21" s="125"/>
    </row>
    <row r="22" spans="2:20" x14ac:dyDescent="0.35">
      <c r="B22" s="46" t="s">
        <v>212</v>
      </c>
      <c r="C22" s="57">
        <f>SUMIFS(REALIZADO[META_SEGUROS],REALIZADO[PDV],PIUMA!$M$7)</f>
        <v>950</v>
      </c>
      <c r="D22" s="79">
        <f>SUMIFS(PROJEÇÃO[PROJ_SEGURO],PROJEÇÃO[PDV],PIUMA!$M$7)</f>
        <v>975.96669999999995</v>
      </c>
      <c r="E22" s="83">
        <f>IFERROR(D22/C22,0)</f>
        <v>1.0273333684210526</v>
      </c>
      <c r="F22" s="83">
        <f>VLOOKUP($E$22,FATORES!$O$32:$Q$34,3)</f>
        <v>0.04</v>
      </c>
      <c r="G22" s="12">
        <f>IFERROR(VLOOKUP($E$22,FATORES!$O$35:$Q$36,3),0)</f>
        <v>0.1</v>
      </c>
      <c r="H22" s="65">
        <f t="shared" si="1"/>
        <v>39.038668000000001</v>
      </c>
      <c r="I22" s="65">
        <f t="shared" si="0"/>
        <v>0</v>
      </c>
      <c r="J22" s="65">
        <f t="shared" si="2"/>
        <v>39.038668000000001</v>
      </c>
      <c r="K22" s="57">
        <f>SUMIFS(REALIZADO[META_SEGUROS],REALIZADO[COORDENAÇÃO],$P$7)</f>
        <v>5665</v>
      </c>
      <c r="L22" s="79">
        <f>SUMIFS(PROJEÇÃO[PROJ_SEGURO],PROJEÇÃO[COORDENAÇÃO],$P$7)</f>
        <v>5467.5668999999998</v>
      </c>
      <c r="M22" s="50">
        <f t="shared" ref="M22:M23" si="6">IFERROR(L22/K22,0)</f>
        <v>0.96514861429832299</v>
      </c>
      <c r="N22" s="12">
        <f>IF($M$22&gt;=FATORES!$O$37,FATORES!$Q$37,0)</f>
        <v>0</v>
      </c>
      <c r="O22" s="14">
        <f t="shared" si="4"/>
        <v>0</v>
      </c>
      <c r="P22" s="13">
        <f t="shared" si="5"/>
        <v>39.038668000000001</v>
      </c>
      <c r="Q22" s="15">
        <f>IF($G$8=2,P22*0.05,0)</f>
        <v>0</v>
      </c>
      <c r="R22" s="15">
        <f>IF($G$8=3,P22*0.15,0)</f>
        <v>0</v>
      </c>
      <c r="S22" s="99"/>
      <c r="T22" s="125"/>
    </row>
    <row r="23" spans="2:20" x14ac:dyDescent="0.35">
      <c r="B23" s="48" t="s">
        <v>14</v>
      </c>
      <c r="C23" s="76">
        <f>SUMIFS(REALIZADO[META_SVA],REALIZADO[PDV],PIUMA!$M$7)</f>
        <v>950</v>
      </c>
      <c r="D23" s="77">
        <f>SUMIFS(PROJEÇÃO[PROJ_SVA],PROJEÇÃO[PDV],PIUMA!$M$7)</f>
        <v>500.92439999999999</v>
      </c>
      <c r="E23" s="82">
        <f>IFERROR(D23/C23,0)</f>
        <v>0.52728884210526317</v>
      </c>
      <c r="F23" s="16">
        <f>IF($E$23&gt;=0,FATORES!$Q$40)</f>
        <v>5.0000000000000001E-3</v>
      </c>
      <c r="G23" s="16">
        <f>IFERROR(VLOOKUP($E$23,FATORES!$O$43:$Q$44,3),0)</f>
        <v>0</v>
      </c>
      <c r="H23" s="17">
        <f t="shared" si="1"/>
        <v>2.5046219999999999</v>
      </c>
      <c r="I23" s="65">
        <f t="shared" si="0"/>
        <v>0</v>
      </c>
      <c r="J23" s="17">
        <f t="shared" si="2"/>
        <v>2.5046219999999999</v>
      </c>
      <c r="K23" s="76">
        <f>SUMIFS(REALIZADO[META_SVA],REALIZADO[COORDENAÇÃO],$P$7)</f>
        <v>5384.9997999999996</v>
      </c>
      <c r="L23" s="77">
        <f>SUMIFS(PROJEÇÃO[PROJ_SVA],PROJEÇÃO[COORDENAÇÃO],$P$7)</f>
        <v>5513.6099000000004</v>
      </c>
      <c r="M23" s="51">
        <f t="shared" si="6"/>
        <v>1.0238830278136688</v>
      </c>
      <c r="N23" s="16">
        <f>IF($M$23&gt;=FATORES!$O$45,FATORES!$Q$45,0)</f>
        <v>5.0000000000000001E-3</v>
      </c>
      <c r="O23" s="14">
        <f t="shared" si="4"/>
        <v>0</v>
      </c>
      <c r="P23" s="18">
        <f t="shared" si="5"/>
        <v>2.5046219999999999</v>
      </c>
      <c r="Q23" s="19">
        <f>IF($H$8=2,P23*0.05,0)</f>
        <v>0</v>
      </c>
      <c r="R23" s="19">
        <f>IF($H$8=3,P23*0.15,0)</f>
        <v>0</v>
      </c>
      <c r="S23" s="100"/>
      <c r="T23" s="126"/>
    </row>
    <row r="24" spans="2:20" x14ac:dyDescent="0.35">
      <c r="B24" s="66"/>
      <c r="C24" s="67"/>
      <c r="D24" s="67"/>
      <c r="E24" s="67"/>
      <c r="F24" s="67"/>
      <c r="G24" s="67"/>
      <c r="H24" s="67"/>
      <c r="I24" s="67"/>
      <c r="J24" s="68"/>
      <c r="K24" s="69"/>
      <c r="L24" s="67"/>
      <c r="M24" s="67"/>
      <c r="N24" s="67"/>
      <c r="O24" s="67"/>
      <c r="P24" s="70">
        <f>SUM(P15:P23)</f>
        <v>232.14569557999999</v>
      </c>
      <c r="Q24" s="70">
        <f t="shared" ref="Q24:R24" si="7">SUM(Q15:Q23)</f>
        <v>0</v>
      </c>
      <c r="R24" s="70">
        <f t="shared" si="7"/>
        <v>0</v>
      </c>
      <c r="S24" s="71" t="str">
        <f>IF($P$7="ARIEL",IF(MIN(E15,E17,E18,E19,E20,E22,E23)&gt;=100%,SUM(P24:R24)*S15,""),IF(MIN(E15:E23)&gt;=100%,SUM(P24:R24)*S15,""))</f>
        <v/>
      </c>
      <c r="T24" s="72"/>
    </row>
    <row r="25" spans="2:20" ht="16.149999999999999" customHeight="1" x14ac:dyDescent="0.35">
      <c r="B25" s="80"/>
      <c r="C25" s="6"/>
      <c r="D25" s="6"/>
      <c r="E25" s="6"/>
      <c r="F25" s="6"/>
      <c r="G25" s="6"/>
      <c r="H25" s="6"/>
      <c r="T25" s="61"/>
    </row>
    <row r="26" spans="2:20" ht="18.5" x14ac:dyDescent="0.35">
      <c r="B26" s="141" t="s">
        <v>236</v>
      </c>
      <c r="C26" s="142"/>
      <c r="D26" s="142"/>
      <c r="E26" s="142"/>
      <c r="F26" s="142"/>
      <c r="G26" s="142"/>
      <c r="H26" s="142"/>
      <c r="I26" s="142"/>
      <c r="J26" s="142"/>
      <c r="K26" s="142"/>
      <c r="L26" s="142"/>
      <c r="M26" s="142"/>
      <c r="N26" s="142"/>
      <c r="O26" s="142"/>
      <c r="P26" s="142"/>
      <c r="Q26" s="142"/>
      <c r="R26" s="142"/>
      <c r="S26" s="142"/>
      <c r="T26" s="142"/>
    </row>
    <row r="27" spans="2:20" x14ac:dyDescent="0.35">
      <c r="B27" s="129" t="s">
        <v>9</v>
      </c>
      <c r="C27" s="130"/>
      <c r="D27" s="130"/>
      <c r="E27" s="130"/>
      <c r="F27" s="130"/>
      <c r="G27" s="130"/>
      <c r="H27" s="130"/>
      <c r="I27" s="130"/>
      <c r="J27" s="131"/>
      <c r="K27" s="132" t="s">
        <v>54</v>
      </c>
      <c r="L27" s="130"/>
      <c r="M27" s="130"/>
      <c r="N27" s="130"/>
      <c r="O27" s="130"/>
      <c r="P27" s="130"/>
      <c r="Q27" s="130"/>
      <c r="R27" s="130"/>
      <c r="S27" s="130"/>
      <c r="T27" s="133"/>
    </row>
    <row r="28" spans="2:20" ht="14.5" customHeight="1" x14ac:dyDescent="0.35">
      <c r="B28" s="115" t="s">
        <v>214</v>
      </c>
      <c r="C28" s="116" t="s">
        <v>237</v>
      </c>
      <c r="D28" s="117"/>
      <c r="E28" s="104"/>
      <c r="F28" s="135" t="s">
        <v>216</v>
      </c>
      <c r="G28" s="135" t="s">
        <v>217</v>
      </c>
      <c r="H28" s="135" t="s">
        <v>218</v>
      </c>
      <c r="I28" s="135" t="s">
        <v>219</v>
      </c>
      <c r="J28" s="135" t="s">
        <v>220</v>
      </c>
      <c r="K28" s="116" t="s">
        <v>238</v>
      </c>
      <c r="L28" s="117"/>
      <c r="M28" s="104"/>
      <c r="N28" s="127" t="s">
        <v>222</v>
      </c>
      <c r="O28" s="127" t="s">
        <v>223</v>
      </c>
      <c r="P28" s="127" t="s">
        <v>224</v>
      </c>
      <c r="Q28" s="127" t="s">
        <v>225</v>
      </c>
      <c r="R28" s="127" t="s">
        <v>226</v>
      </c>
      <c r="S28" s="127" t="s">
        <v>227</v>
      </c>
      <c r="T28" s="137" t="s">
        <v>228</v>
      </c>
    </row>
    <row r="29" spans="2:20" ht="14.5" customHeight="1" x14ac:dyDescent="0.35">
      <c r="B29" s="134"/>
      <c r="C29" s="94" t="s">
        <v>229</v>
      </c>
      <c r="D29" s="139" t="s">
        <v>230</v>
      </c>
      <c r="E29" s="140"/>
      <c r="F29" s="136"/>
      <c r="G29" s="136"/>
      <c r="H29" s="136"/>
      <c r="I29" s="136"/>
      <c r="J29" s="136"/>
      <c r="K29" s="52" t="s">
        <v>229</v>
      </c>
      <c r="L29" s="139" t="s">
        <v>230</v>
      </c>
      <c r="M29" s="140"/>
      <c r="N29" s="128"/>
      <c r="O29" s="128"/>
      <c r="P29" s="128"/>
      <c r="Q29" s="128"/>
      <c r="R29" s="128"/>
      <c r="S29" s="128"/>
      <c r="T29" s="138"/>
    </row>
    <row r="30" spans="2:20" x14ac:dyDescent="0.35">
      <c r="B30" s="45" t="s">
        <v>2</v>
      </c>
      <c r="C30" s="76">
        <f>SUMIFS(REALIZADO[META_MOVEL],REALIZADO[PDV],PIUMA!$M$7)</f>
        <v>10250</v>
      </c>
      <c r="D30" s="77">
        <f>SUMIFS(REALIZADO[AT_MOVEL],REALIZADO[PDV],PIUMA!$M$7)</f>
        <v>862.01</v>
      </c>
      <c r="E30" s="49">
        <f>IFERROR(D30/C30,0)</f>
        <v>8.4098536585365855E-2</v>
      </c>
      <c r="F30" s="8">
        <f>VLOOKUP($E$30,FATORES!$I$32:$K$34,3)</f>
        <v>5.0000000000000001E-3</v>
      </c>
      <c r="G30" s="8">
        <f>IFERROR(VLOOKUP($E$30,FATORES!$I$35:$K$36,3),0)</f>
        <v>0</v>
      </c>
      <c r="H30" s="9">
        <f>D30*F30</f>
        <v>4.3100500000000004</v>
      </c>
      <c r="I30" s="9">
        <f t="shared" ref="I30:I38" si="8">IF($P$7="ARIEL",
   IF(AND($E$30&gt;=69.5%, AND($E$32&gt;=69.5%, $E$33&gt;=69.5%, $E$33&gt;=69.5%, $E$35&gt;=69.5%, $E$35&gt;=69.5%, $E$37&gt;=69.5%, $E$38&gt;=69.5%)),
      D30*G30,
      0),
   IF(AND($E$30&gt;=69.5%, $E$31&gt;=69.5%, $E$32&gt;=69.5%, $E$33&gt;=69.5%, $E$33&gt;=69.5%, $E$35&gt;=69.5%, $E$35&gt;=69.5%, $E$37&gt;=69.5%, $E$38&gt;=69.5%),
      D30*G30,
      0)
)</f>
        <v>0</v>
      </c>
      <c r="J30" s="9">
        <f>H30+I30</f>
        <v>4.3100500000000004</v>
      </c>
      <c r="K30" s="76">
        <f>SUMIFS(REALIZADO[META_MOVEL],REALIZADO[COORDENAÇÃO],$P$7)</f>
        <v>59729.999899999995</v>
      </c>
      <c r="L30" s="77">
        <f>SUMIFS(REALIZADO[AT_MOVEL],REALIZADO[COORDENAÇÃO],$P$7)</f>
        <v>5335.72</v>
      </c>
      <c r="M30" s="49">
        <f>IFERROR(L30/K30,0)</f>
        <v>8.9330654761980016E-2</v>
      </c>
      <c r="N30" s="8">
        <f>IF($M$30&gt;=FATORES!$I$37,FATORES!$K$37,0)</f>
        <v>0</v>
      </c>
      <c r="O30" s="14">
        <f>IF(E30&gt;=100%,
IF($P$7="ARIEL",
IF(AND($E$30&gt;=69.5%,$E$32&gt;=69.5%,$E$33&gt;=69.5%,$E$35&gt;=69.5%,$E$37&gt;=69.5%,$E$38&gt;=69.5%),
D30*N30,
0),
IF(AND($E$30&gt;=69.5%,$E$31&gt;=69.5%,$E$32&gt;=69.5%,$E$33&gt;=69.5%,$E$35&gt;=69.5%,$E$37&gt;=69.5%,$E$38&gt;=69.5%),
D30*N30,
0)
),0)</f>
        <v>0</v>
      </c>
      <c r="P30" s="10">
        <f>J30+O30</f>
        <v>4.3100500000000004</v>
      </c>
      <c r="Q30" s="11">
        <f>IF($B$8=2,P30*0.05,0)</f>
        <v>0</v>
      </c>
      <c r="R30" s="11">
        <f>IF($B$8=3,P30*0.15,0)</f>
        <v>0</v>
      </c>
      <c r="S30" s="98">
        <v>0.1</v>
      </c>
      <c r="T30" s="124">
        <f>SUM(P39:S39)</f>
        <v>6.9223000000000017</v>
      </c>
    </row>
    <row r="31" spans="2:20" x14ac:dyDescent="0.35">
      <c r="B31" s="46" t="s">
        <v>13</v>
      </c>
      <c r="C31" s="76">
        <f>SUMIFS(REALIZADO[META_FIXA],REALIZADO[PDV],PIUMA!$M$7)</f>
        <v>0</v>
      </c>
      <c r="D31" s="77">
        <f>SUMIFS(REALIZADO[AT_FIXA],REALIZADO[PDV],PIUMA!$M$7)</f>
        <v>0</v>
      </c>
      <c r="E31" s="50">
        <f>IFERROR(D31/C31,0)</f>
        <v>0</v>
      </c>
      <c r="F31" s="12">
        <f>VLOOKUP($E$31,FATORES!$I$40:$K$42,3)</f>
        <v>5.0000000000000001E-3</v>
      </c>
      <c r="G31" s="12">
        <f>IFERROR(VLOOKUP($E$31,FATORES!$I$43:$K$44,3),0)</f>
        <v>0</v>
      </c>
      <c r="H31" s="65">
        <f t="shared" ref="H31:H38" si="9">D31*F31</f>
        <v>0</v>
      </c>
      <c r="I31" s="65">
        <f t="shared" si="8"/>
        <v>0</v>
      </c>
      <c r="J31" s="65">
        <f t="shared" ref="J31:J38" si="10">H31+I31</f>
        <v>0</v>
      </c>
      <c r="K31" s="76">
        <f>SUMIFS(REALIZADO[META_FIXA],REALIZADO[COORDENAÇÃO],$P$7)</f>
        <v>0</v>
      </c>
      <c r="L31" s="77">
        <f>SUMIFS(REALIZADO[AT_FIXA],REALIZADO[COORDENAÇÃO],$P$7)</f>
        <v>0</v>
      </c>
      <c r="M31" s="50">
        <f t="shared" ref="M31:M32" si="11">IFERROR(L31/K31,0)</f>
        <v>0</v>
      </c>
      <c r="N31" s="12">
        <f>IF($M$31&gt;=FATORES!$I$45,FATORES!$K$45,0)</f>
        <v>0</v>
      </c>
      <c r="O31" s="14">
        <f t="shared" ref="O31:O38" si="12">IF(E31&gt;=100%,
IF($P$7="ARIEL",
IF(AND($E$30&gt;=69.5%,$E$32&gt;=69.5%,$E$33&gt;=69.5%,$E$35&gt;=69.5%,$E$37&gt;=69.5%,$E$38&gt;=69.5%),
D31*N31,
0),
IF(AND($E$30&gt;=69.5%,$E$31&gt;=69.5%,$E$32&gt;=69.5%,$E$33&gt;=69.5%,$E$35&gt;=69.5%,$E$37&gt;=69.5%,$E$38&gt;=69.5%),
D31*N31,
0)
),0)</f>
        <v>0</v>
      </c>
      <c r="P31" s="13">
        <f t="shared" ref="P31:P38" si="13">J31+O31</f>
        <v>0</v>
      </c>
      <c r="Q31" s="15">
        <f>IF($C$8=2,P31*0.05,0)</f>
        <v>0</v>
      </c>
      <c r="R31" s="15">
        <f>IF($C$8=3,P31*0.15,0)</f>
        <v>0</v>
      </c>
      <c r="S31" s="99"/>
      <c r="T31" s="125"/>
    </row>
    <row r="32" spans="2:20" x14ac:dyDescent="0.35">
      <c r="B32" s="46" t="s">
        <v>231</v>
      </c>
      <c r="C32" s="53">
        <f>SUMIFS(REALIZADO[META_SMARTPHONE],REALIZADO[PDV],PIUMA!$M$7)</f>
        <v>166000</v>
      </c>
      <c r="D32" s="78">
        <f>SUMIFS(REALIZADO[AT_SMARTPHONE],REALIZADO[PDV],PIUMA!$M$7)</f>
        <v>7674</v>
      </c>
      <c r="E32" s="50">
        <f>IFERROR(D32/C32,0)</f>
        <v>4.6228915662650603E-2</v>
      </c>
      <c r="F32" s="12">
        <f>VLOOKUP($E$32,FATORES!$B$53:$D$54,3)</f>
        <v>2.0000000000000001E-4</v>
      </c>
      <c r="G32" s="12">
        <f>IFERROR(VLOOKUP($E$32,FATORES!$B$55:$D$55,3),0)</f>
        <v>0</v>
      </c>
      <c r="H32" s="65">
        <f t="shared" si="9"/>
        <v>1.5348000000000002</v>
      </c>
      <c r="I32" s="65">
        <f t="shared" si="8"/>
        <v>0</v>
      </c>
      <c r="J32" s="65">
        <f t="shared" si="10"/>
        <v>1.5348000000000002</v>
      </c>
      <c r="K32" s="53">
        <f>SUMIFS(REALIZADO[META_SMARTPHONE],REALIZADO[COORDENAÇÃO],$P$7)</f>
        <v>741000.00010000006</v>
      </c>
      <c r="L32" s="78">
        <f>SUMIFS(REALIZADO[AT_SMARTPHONE],REALIZADO[COORDENAÇÃO],$P$7)</f>
        <v>81442</v>
      </c>
      <c r="M32" s="50">
        <f t="shared" si="11"/>
        <v>0.109908232103926</v>
      </c>
      <c r="N32" s="12">
        <f>IF($M$32&gt;=FATORES!$B$56,FATORES!$D$56,0)</f>
        <v>0</v>
      </c>
      <c r="O32" s="14">
        <f t="shared" si="12"/>
        <v>0</v>
      </c>
      <c r="P32" s="13">
        <f t="shared" si="13"/>
        <v>1.5348000000000002</v>
      </c>
      <c r="Q32" s="15">
        <f>IF($D$8=2,P32*0.05,0)</f>
        <v>0</v>
      </c>
      <c r="R32" s="15">
        <f>IF($D$8=3,P32*0.15,0)</f>
        <v>0</v>
      </c>
      <c r="S32" s="99"/>
      <c r="T32" s="125"/>
    </row>
    <row r="33" spans="2:20" x14ac:dyDescent="0.35">
      <c r="B33" s="47" t="s">
        <v>232</v>
      </c>
      <c r="C33" s="121">
        <f>SUMIFS(REALIZADO[META_ACESSORIO],REALIZADO[PDV],PIUMA!$M$7)</f>
        <v>13950</v>
      </c>
      <c r="D33" s="86">
        <f>SUMIFS(REALIZADO[AT_ACESSORIOS_A],REALIZADO[PDV],PIUMA!$M$7)</f>
        <v>0</v>
      </c>
      <c r="E33" s="123">
        <f>IFERROR((D33+D34)/C33,0)</f>
        <v>5.4265232974910392E-2</v>
      </c>
      <c r="F33" s="12">
        <f>VLOOKUP($E$33,FATORES!$B$44:$E$46,3)</f>
        <v>5.0000000000000001E-4</v>
      </c>
      <c r="G33" s="12">
        <f>IFERROR(VLOOKUP($E$33,FATORES!$B$47:$E$48,3),0)</f>
        <v>0</v>
      </c>
      <c r="H33" s="65">
        <f t="shared" si="9"/>
        <v>0</v>
      </c>
      <c r="I33" s="65">
        <f t="shared" si="8"/>
        <v>0</v>
      </c>
      <c r="J33" s="65">
        <f t="shared" si="10"/>
        <v>0</v>
      </c>
      <c r="K33" s="121">
        <f>SUMIFS(REALIZADO[META_ACESSORIO],REALIZADO[COORDENAÇÃO],$P$7)</f>
        <v>84200.000200000009</v>
      </c>
      <c r="L33" s="86">
        <f>SUMIFS(REALIZADO[AT_ACESSORIOS_A],REALIZADO[COORDENAÇÃO],$P$7)</f>
        <v>0</v>
      </c>
      <c r="M33" s="97">
        <f>IFERROR((L33+L34)/K33,0)</f>
        <v>0.13485748186494659</v>
      </c>
      <c r="N33" s="12">
        <f>IF($M$33&gt;=FATORES!$B$49,FATORES!$D$49,0)</f>
        <v>0</v>
      </c>
      <c r="O33" s="14">
        <f t="shared" si="12"/>
        <v>0</v>
      </c>
      <c r="P33" s="13">
        <f t="shared" si="13"/>
        <v>0</v>
      </c>
      <c r="Q33" s="15">
        <f>IF($E$8=2,P33*0.05,0)</f>
        <v>0</v>
      </c>
      <c r="R33" s="15">
        <f>IF($E$8=3,P33*0.15,0)</f>
        <v>0</v>
      </c>
      <c r="S33" s="99"/>
      <c r="T33" s="125"/>
    </row>
    <row r="34" spans="2:20" x14ac:dyDescent="0.35">
      <c r="B34" s="47" t="s">
        <v>233</v>
      </c>
      <c r="C34" s="122"/>
      <c r="D34" s="87">
        <f>SUMIFS(REALIZADO[AT_ACESSORIOS_B],REALIZADO[PDV],PIUMA!$M$7)</f>
        <v>757</v>
      </c>
      <c r="E34" s="123"/>
      <c r="F34" s="12">
        <f>VLOOKUP($E$33,FATORES!$B$44:$E$46,4)</f>
        <v>2.5000000000000001E-4</v>
      </c>
      <c r="G34" s="12">
        <f>IFERROR(VLOOKUP($E$33,FATORES!$B$47:$E$48,4),0)</f>
        <v>0</v>
      </c>
      <c r="H34" s="65">
        <f t="shared" si="9"/>
        <v>0.18925</v>
      </c>
      <c r="I34" s="65">
        <f t="shared" si="8"/>
        <v>0</v>
      </c>
      <c r="J34" s="65">
        <f t="shared" si="10"/>
        <v>0.18925</v>
      </c>
      <c r="K34" s="122"/>
      <c r="L34" s="87">
        <f>SUMIFS(REALIZADO[AT_ACESSORIOS_B],REALIZADO[COORDENAÇÃO],$P$7)</f>
        <v>11355</v>
      </c>
      <c r="M34" s="97"/>
      <c r="N34" s="12">
        <f>IF($M$33&gt;=FATORES!$B$49,FATORES!$E$49,0)</f>
        <v>0</v>
      </c>
      <c r="O34" s="14">
        <f t="shared" si="12"/>
        <v>0</v>
      </c>
      <c r="P34" s="13">
        <f t="shared" si="13"/>
        <v>0.18925</v>
      </c>
      <c r="Q34" s="15">
        <f>IF($E$8=2,P34*0.05,0)</f>
        <v>0</v>
      </c>
      <c r="R34" s="15">
        <f>IF($E$8=3,P34*0.15,0)</f>
        <v>0</v>
      </c>
      <c r="S34" s="99"/>
      <c r="T34" s="125"/>
    </row>
    <row r="35" spans="2:20" x14ac:dyDescent="0.35">
      <c r="B35" s="46" t="s">
        <v>234</v>
      </c>
      <c r="C35" s="121">
        <f>SUMIFS(REALIZADO[META_ESSENCIAIS],REALIZADO[PDV],PIUMA!$M$7)</f>
        <v>10500</v>
      </c>
      <c r="D35" s="86">
        <f>SUMIFS(REALIZADO[AT_ESSENCIAIS_A],REALIZADO[PDV],PIUMA!$M$7)</f>
        <v>674</v>
      </c>
      <c r="E35" s="123">
        <f>IFERROR((D35+D36)/C35,0)</f>
        <v>9.9904761904761899E-2</v>
      </c>
      <c r="F35" s="12">
        <f>VLOOKUP($E$35,FATORES!$B$34:$E$36,3)</f>
        <v>5.0000000000000001E-4</v>
      </c>
      <c r="G35" s="12">
        <f>IFERROR(VLOOKUP($E$35,FATORES!$B$37:$E$38,3),0)</f>
        <v>0</v>
      </c>
      <c r="H35" s="65">
        <f t="shared" si="9"/>
        <v>0.33700000000000002</v>
      </c>
      <c r="I35" s="65">
        <f t="shared" si="8"/>
        <v>0</v>
      </c>
      <c r="J35" s="65">
        <f t="shared" si="10"/>
        <v>0.33700000000000002</v>
      </c>
      <c r="K35" s="121">
        <f>SUMIFS(REALIZADO[META_ESSENCIAIS],REALIZADO[COORDENAÇÃO],$P$7)</f>
        <v>58599.999900000003</v>
      </c>
      <c r="L35" s="86">
        <f>SUMIFS(REALIZADO[AT_ESSENCIAIS_A],REALIZADO[COORDENAÇÃO],$P$7)</f>
        <v>4117</v>
      </c>
      <c r="M35" s="97">
        <f>IFERROR((L35+L36)/K35,0)</f>
        <v>0.1419112630408042</v>
      </c>
      <c r="N35" s="12">
        <f>IF($M$35&gt;=FATORES!$B$39,FATORES!$D$39,0)</f>
        <v>0</v>
      </c>
      <c r="O35" s="14">
        <f t="shared" si="12"/>
        <v>0</v>
      </c>
      <c r="P35" s="13">
        <f t="shared" si="13"/>
        <v>0.33700000000000002</v>
      </c>
      <c r="Q35" s="15">
        <f>IF($F$8=2,P35*0.05,0)</f>
        <v>0</v>
      </c>
      <c r="R35" s="15">
        <f>IF($F$8=3,P35*0.15,0)</f>
        <v>0</v>
      </c>
      <c r="S35" s="99"/>
      <c r="T35" s="125"/>
    </row>
    <row r="36" spans="2:20" x14ac:dyDescent="0.35">
      <c r="B36" s="46" t="s">
        <v>235</v>
      </c>
      <c r="C36" s="122"/>
      <c r="D36" s="87">
        <f>SUMIFS(REALIZADO[AT_ESSENCIAIS_B],REALIZADO[PDV],PIUMA!$M$7)</f>
        <v>375</v>
      </c>
      <c r="E36" s="123"/>
      <c r="F36" s="12">
        <f>VLOOKUP($E$35,FATORES!$B$34:$E$36,4)</f>
        <v>2.5000000000000001E-4</v>
      </c>
      <c r="G36" s="12">
        <f>IFERROR(VLOOKUP($E$35,FATORES!$B$37:$E$38,4),0)</f>
        <v>0</v>
      </c>
      <c r="H36" s="65">
        <f t="shared" si="9"/>
        <v>9.375E-2</v>
      </c>
      <c r="I36" s="65">
        <f t="shared" si="8"/>
        <v>0</v>
      </c>
      <c r="J36" s="65">
        <f t="shared" si="10"/>
        <v>9.375E-2</v>
      </c>
      <c r="K36" s="122"/>
      <c r="L36" s="87">
        <f>SUMIFS(REALIZADO[AT_ESSENCIAIS_B],REALIZADO[COORDENAÇÃO],$P$7)</f>
        <v>4199</v>
      </c>
      <c r="M36" s="97"/>
      <c r="N36" s="12">
        <f>IF($M$35&gt;=FATORES!$B$39,FATORES!$E$39,0)</f>
        <v>0</v>
      </c>
      <c r="O36" s="14">
        <f t="shared" si="12"/>
        <v>0</v>
      </c>
      <c r="P36" s="13">
        <f t="shared" si="13"/>
        <v>9.375E-2</v>
      </c>
      <c r="Q36" s="15">
        <f>IF($F$8=2,P36*0.05,0)</f>
        <v>0</v>
      </c>
      <c r="R36" s="15">
        <f>IF($F$8=3,P36*0.15,0)</f>
        <v>0</v>
      </c>
      <c r="S36" s="99"/>
      <c r="T36" s="125"/>
    </row>
    <row r="37" spans="2:20" x14ac:dyDescent="0.35">
      <c r="B37" s="46" t="s">
        <v>212</v>
      </c>
      <c r="C37" s="57">
        <f>SUMIFS(REALIZADO[META_SEGUROS],REALIZADO[PDV],PIUMA!$M$7)</f>
        <v>950</v>
      </c>
      <c r="D37" s="79">
        <f>SUMIFS(REALIZADO[AT_SEGUROS],REALIZADO[PDV],PIUMA!$M$7)</f>
        <v>16.899999999999999</v>
      </c>
      <c r="E37" s="83">
        <f>IFERROR(D37/C37,0)</f>
        <v>1.7789473684210525E-2</v>
      </c>
      <c r="F37" s="83">
        <f>VLOOKUP($E$37,FATORES!$O$32:$Q$34,3)</f>
        <v>5.0000000000000001E-3</v>
      </c>
      <c r="G37" s="12">
        <f>IFERROR(VLOOKUP($E$37,FATORES!$O$35:$Q$36,3),0)</f>
        <v>0</v>
      </c>
      <c r="H37" s="65">
        <f t="shared" si="9"/>
        <v>8.4499999999999992E-2</v>
      </c>
      <c r="I37" s="65">
        <f t="shared" si="8"/>
        <v>0</v>
      </c>
      <c r="J37" s="65">
        <f t="shared" si="10"/>
        <v>8.4499999999999992E-2</v>
      </c>
      <c r="K37" s="57">
        <f>SUMIFS(REALIZADO[META_SEGUROS],REALIZADO[COORDENAÇÃO],$P$7)</f>
        <v>5665</v>
      </c>
      <c r="L37" s="79">
        <f>SUMIFS(REALIZADO[AT_SEGUROS],REALIZADO[COORDENAÇÃO],$P$7)</f>
        <v>420.19999999999993</v>
      </c>
      <c r="M37" s="50">
        <f t="shared" ref="M37:M38" si="14">IFERROR(L37/K37,0)</f>
        <v>7.4174757281553386E-2</v>
      </c>
      <c r="N37" s="12">
        <f>IF($M$37&gt;=FATORES!$O$37,FATORES!$Q$37,0)</f>
        <v>0</v>
      </c>
      <c r="O37" s="14">
        <f t="shared" si="12"/>
        <v>0</v>
      </c>
      <c r="P37" s="13">
        <f t="shared" si="13"/>
        <v>8.4499999999999992E-2</v>
      </c>
      <c r="Q37" s="15">
        <f>IF($G$8=2,P37*0.05,0)</f>
        <v>0</v>
      </c>
      <c r="R37" s="15">
        <f>IF($G$8=3,P37*0.15,0)</f>
        <v>0</v>
      </c>
      <c r="S37" s="99"/>
      <c r="T37" s="125"/>
    </row>
    <row r="38" spans="2:20" x14ac:dyDescent="0.35">
      <c r="B38" s="48" t="s">
        <v>14</v>
      </c>
      <c r="C38" s="76">
        <f>SUMIFS(REALIZADO[META_SVA],REALIZADO[PDV],PIUMA!$M$7)</f>
        <v>950</v>
      </c>
      <c r="D38" s="77">
        <f>SUMIFS(REALIZADO[AT_SVA],REALIZADO[PDV],PIUMA!$M$7)</f>
        <v>74.59</v>
      </c>
      <c r="E38" s="82">
        <f>IFERROR(D38/C38,0)</f>
        <v>7.8515789473684219E-2</v>
      </c>
      <c r="F38" s="16">
        <f>IF($E$38&gt;=0,FATORES!$Q$40)</f>
        <v>5.0000000000000001E-3</v>
      </c>
      <c r="G38" s="16">
        <f>IFERROR(VLOOKUP($E$38,FATORES!$O$43:$Q$44,3),0)</f>
        <v>0</v>
      </c>
      <c r="H38" s="17">
        <f t="shared" si="9"/>
        <v>0.37295</v>
      </c>
      <c r="I38" s="65">
        <f t="shared" si="8"/>
        <v>0</v>
      </c>
      <c r="J38" s="17">
        <f t="shared" si="10"/>
        <v>0.37295</v>
      </c>
      <c r="K38" s="76">
        <f>SUMIFS(REALIZADO[META_SVA],REALIZADO[COORDENAÇÃO],$P$7)</f>
        <v>5384.9997999999996</v>
      </c>
      <c r="L38" s="77">
        <f>SUMIFS(REALIZADO[AT_SVA],REALIZADO[COORDENAÇÃO],$P$7)</f>
        <v>461.54999999999995</v>
      </c>
      <c r="M38" s="51">
        <f t="shared" si="14"/>
        <v>8.5710309589983644E-2</v>
      </c>
      <c r="N38" s="16">
        <f>IF($M$38&gt;=FATORES!$O$45,FATORES!$Q$45,0)</f>
        <v>0</v>
      </c>
      <c r="O38" s="14">
        <f t="shared" si="12"/>
        <v>0</v>
      </c>
      <c r="P38" s="18">
        <f t="shared" si="13"/>
        <v>0.37295</v>
      </c>
      <c r="Q38" s="19">
        <f>IF($H$8=2,P38*0.05,0)</f>
        <v>0</v>
      </c>
      <c r="R38" s="19">
        <f>IF($H$8=3,P38*0.15,0)</f>
        <v>0</v>
      </c>
      <c r="S38" s="100"/>
      <c r="T38" s="126"/>
    </row>
    <row r="39" spans="2:20" x14ac:dyDescent="0.35">
      <c r="B39" s="66"/>
      <c r="C39" s="67"/>
      <c r="D39" s="67"/>
      <c r="E39" s="67"/>
      <c r="F39" s="67"/>
      <c r="G39" s="67"/>
      <c r="H39" s="67"/>
      <c r="I39" s="67"/>
      <c r="J39" s="68"/>
      <c r="K39" s="69"/>
      <c r="L39" s="67"/>
      <c r="M39" s="67"/>
      <c r="N39" s="67"/>
      <c r="O39" s="67"/>
      <c r="P39" s="70">
        <f>SUM(P30:P38)</f>
        <v>6.9223000000000017</v>
      </c>
      <c r="Q39" s="70">
        <f t="shared" ref="Q39:R39" si="15">SUM(Q30:Q38)</f>
        <v>0</v>
      </c>
      <c r="R39" s="70">
        <f t="shared" si="15"/>
        <v>0</v>
      </c>
      <c r="S39" s="71" t="str">
        <f>IF($P$7="ARIEL",IF(MIN(E30,E32,E33,E34,E35,E37,E38)&gt;=100%,SUM(P39:R39)*S30,""),IF(MIN(E30:E38)&gt;=100%,SUM(P39:R39)*S30,""))</f>
        <v/>
      </c>
      <c r="T39" s="72"/>
    </row>
    <row r="41" spans="2:20" ht="18.5" x14ac:dyDescent="0.35">
      <c r="B41" s="107" t="s">
        <v>239</v>
      </c>
      <c r="C41" s="108"/>
      <c r="D41" s="108"/>
      <c r="E41" s="108"/>
      <c r="F41" s="108"/>
      <c r="G41" s="108"/>
      <c r="H41" s="108"/>
      <c r="I41" s="108"/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T41" s="108"/>
    </row>
    <row r="42" spans="2:20" x14ac:dyDescent="0.35">
      <c r="B42" s="109" t="s">
        <v>9</v>
      </c>
      <c r="C42" s="110"/>
      <c r="D42" s="110"/>
      <c r="E42" s="110"/>
      <c r="F42" s="110"/>
      <c r="G42" s="110"/>
      <c r="H42" s="110"/>
      <c r="I42" s="110"/>
      <c r="J42" s="111"/>
      <c r="K42" s="112" t="s">
        <v>54</v>
      </c>
      <c r="L42" s="113"/>
      <c r="M42" s="113"/>
      <c r="N42" s="113"/>
      <c r="O42" s="113"/>
      <c r="P42" s="7"/>
      <c r="Q42" s="7"/>
      <c r="R42" s="7"/>
      <c r="S42" s="7"/>
      <c r="T42" s="64"/>
    </row>
    <row r="43" spans="2:20" ht="14.5" customHeight="1" x14ac:dyDescent="0.35">
      <c r="B43" s="114" t="s">
        <v>214</v>
      </c>
      <c r="C43" s="116" t="s">
        <v>237</v>
      </c>
      <c r="D43" s="117"/>
      <c r="E43" s="104"/>
      <c r="F43" s="118" t="s">
        <v>216</v>
      </c>
      <c r="G43" s="118" t="s">
        <v>217</v>
      </c>
      <c r="H43" s="118" t="s">
        <v>218</v>
      </c>
      <c r="I43" s="118" t="s">
        <v>219</v>
      </c>
      <c r="J43" s="118" t="s">
        <v>220</v>
      </c>
      <c r="K43" s="104" t="s">
        <v>238</v>
      </c>
      <c r="L43" s="105"/>
      <c r="M43" s="105"/>
      <c r="N43" s="106" t="s">
        <v>222</v>
      </c>
      <c r="O43" s="106" t="s">
        <v>223</v>
      </c>
      <c r="P43" s="106" t="s">
        <v>224</v>
      </c>
      <c r="Q43" s="106" t="s">
        <v>225</v>
      </c>
      <c r="R43" s="106" t="s">
        <v>226</v>
      </c>
      <c r="S43" s="106" t="s">
        <v>227</v>
      </c>
      <c r="T43" s="119" t="s">
        <v>228</v>
      </c>
    </row>
    <row r="44" spans="2:20" x14ac:dyDescent="0.35">
      <c r="B44" s="115"/>
      <c r="C44" s="94" t="s">
        <v>229</v>
      </c>
      <c r="D44" s="120" t="s">
        <v>230</v>
      </c>
      <c r="E44" s="120"/>
      <c r="F44" s="118"/>
      <c r="G44" s="118"/>
      <c r="H44" s="118"/>
      <c r="I44" s="118"/>
      <c r="J44" s="118"/>
      <c r="K44" s="52" t="s">
        <v>229</v>
      </c>
      <c r="L44" s="120" t="s">
        <v>230</v>
      </c>
      <c r="M44" s="120"/>
      <c r="N44" s="106"/>
      <c r="O44" s="106"/>
      <c r="P44" s="106"/>
      <c r="Q44" s="106"/>
      <c r="R44" s="106"/>
      <c r="S44" s="106"/>
      <c r="T44" s="119"/>
    </row>
    <row r="45" spans="2:20" x14ac:dyDescent="0.35">
      <c r="B45" s="45" t="s">
        <v>2</v>
      </c>
      <c r="C45" s="53">
        <f>SUMIFS(REALIZADO[META_MOVEL],REALIZADO[PDV],PIUMA!$M$7)</f>
        <v>10250</v>
      </c>
      <c r="D45" s="54">
        <f>SUMIFS(REALIZADO[AT_MOVEL],REALIZADO[PDV],PIUMA!$M$7)</f>
        <v>862.01</v>
      </c>
      <c r="E45" s="49">
        <f>IFERROR(D45/C45,0)</f>
        <v>8.4098536585365855E-2</v>
      </c>
      <c r="F45" s="8">
        <f>VLOOKUP($E$45,FATORES!$I$32:$K$34,3)</f>
        <v>5.0000000000000001E-3</v>
      </c>
      <c r="G45" s="8">
        <f>IFERROR(VLOOKUP(E45,FATORES!$I$35:$K$36,3),0)</f>
        <v>0</v>
      </c>
      <c r="H45" s="9">
        <f>D45*F45</f>
        <v>4.3100500000000004</v>
      </c>
      <c r="I45" s="9">
        <f t="shared" ref="I45:I53" si="16">IF($P$7="ARIEL",
   IF(AND($E$45&gt;=69.5%, AND($E$47&gt;=69.5%, $E$48&gt;=69.5%, $E$48&gt;=69.5%, $E$50&gt;=69.5%, $E$50&gt;=69.5%, $E$52&gt;=69.5%, $E$53&gt;=69.5%)),
      D45*G45,
      0),
   IF(AND($E$45&gt;=69.5%, $E$46&gt;=69.5%, $E$47&gt;=69.5%, $E$48&gt;=69.5%, $E$48&gt;=69.5%, $E$50&gt;=69.5%, $E$50&gt;=69.5%, $E$52&gt;=69.5%, $E$53&gt;=69.5%),
      D45*G45,
      0)
)</f>
        <v>0</v>
      </c>
      <c r="J45" s="9">
        <f>H45+I45</f>
        <v>4.3100500000000004</v>
      </c>
      <c r="K45" s="53">
        <f>SUMIFS(REALIZADO[META_MOVEL],REALIZADO[COORDENAÇÃO],$P$7)</f>
        <v>59729.999899999995</v>
      </c>
      <c r="L45" s="54">
        <f>SUMIFS(REALIZADO[AT_MOVEL],REALIZADO[COORDENAÇÃO],$P$7)</f>
        <v>5335.72</v>
      </c>
      <c r="M45" s="49">
        <f>IFERROR(L45/K45,0)</f>
        <v>8.9330654761980016E-2</v>
      </c>
      <c r="N45" s="8">
        <f>IF($M$45&gt;=FATORES!$I$37,FATORES!$K$37,0)</f>
        <v>0</v>
      </c>
      <c r="O45" s="14">
        <f>IF(E45&gt;=100%,
IF($P$7="ARIEL",
   IF(AND($E$45&gt;=69.5%, AND($E$47&gt;=69.5%, $E$48&gt;=69.5%, $E$48&gt;=69.5%, $E$50&gt;=69.5%, $E$50&gt;=69.5%, $E$52&gt;=69.5%, $E$53&gt;=69.5%)),
      D45*N45,
      0),
   IF(AND($E$45&gt;=69.5%, $E$46&gt;=69.5%, $E$47&gt;=69.5%, $E$48&gt;=69.5%, $E$48&gt;=69.5%, $E$50&gt;=69.5%, $E$50&gt;=69.5%, $E$52&gt;=69.5%, $E$53&gt;=69.5%),
      D45*N45,
      0)
),0)</f>
        <v>0</v>
      </c>
      <c r="P45" s="10">
        <f>J45+O45</f>
        <v>4.3100500000000004</v>
      </c>
      <c r="Q45" s="11">
        <f>IF($B$8=2,P45*0.05,0)</f>
        <v>0</v>
      </c>
      <c r="R45" s="11">
        <f>IF($B$8=3,P45*0.15,0)</f>
        <v>0</v>
      </c>
      <c r="S45" s="98">
        <v>0.1</v>
      </c>
      <c r="T45" s="101">
        <f>SUM($P$54:$S$54)</f>
        <v>128.47505000000001</v>
      </c>
    </row>
    <row r="46" spans="2:20" x14ac:dyDescent="0.35">
      <c r="B46" s="46" t="s">
        <v>13</v>
      </c>
      <c r="C46" s="55">
        <f>SUMIFS(REALIZADO[META_FIXA],REALIZADO[PDV],PIUMA!$M$7)</f>
        <v>0</v>
      </c>
      <c r="D46" s="56">
        <f>SUMIFS(REALIZADO[AT_FIXA],REALIZADO[PDV],PIUMA!$M$7)</f>
        <v>0</v>
      </c>
      <c r="E46" s="50">
        <f>IFERROR(D46/C46,0)</f>
        <v>0</v>
      </c>
      <c r="F46" s="12">
        <f>VLOOKUP($E$46,FATORES!$I$40:$K$42,3)</f>
        <v>5.0000000000000001E-3</v>
      </c>
      <c r="G46" s="12">
        <f>IFERROR(VLOOKUP(E46,FATORES!$I$43:$K$44,3),0)</f>
        <v>0</v>
      </c>
      <c r="H46" s="65">
        <f t="shared" ref="H46:H53" si="17">D46*F46</f>
        <v>0</v>
      </c>
      <c r="I46" s="65">
        <f t="shared" si="16"/>
        <v>0</v>
      </c>
      <c r="J46" s="65">
        <f t="shared" ref="J46:J53" si="18">H46+I46</f>
        <v>0</v>
      </c>
      <c r="K46" s="55">
        <f>SUMIFS(REALIZADO[META_FIXA],REALIZADO[COORDENAÇÃO],$P$7)</f>
        <v>0</v>
      </c>
      <c r="L46" s="56">
        <f>SUMIFS(REALIZADO[AT_FIXA],REALIZADO[COORDENAÇÃO],$P$7)</f>
        <v>0</v>
      </c>
      <c r="M46" s="50">
        <f t="shared" ref="M46:M53" si="19">IFERROR(L46/K46,0)</f>
        <v>0</v>
      </c>
      <c r="N46" s="12">
        <f>IF($M$46&gt;=FATORES!$I$45,FATORES!$K$45,0)</f>
        <v>0</v>
      </c>
      <c r="O46" s="14">
        <f t="shared" ref="O46:O53" si="20">IF(E46&gt;=100%,
IF($P$7="ARIEL",
   IF(AND($E$45&gt;=69.5%, AND($E$47&gt;=69.5%, $E$48&gt;=69.5%, $E$48&gt;=69.5%, $E$50&gt;=69.5%, $E$50&gt;=69.5%, $E$52&gt;=69.5%, $E$53&gt;=69.5%)),
      D46*N46,
      0),
   IF(AND($E$45&gt;=69.5%, $E$46&gt;=69.5%, $E$47&gt;=69.5%, $E$48&gt;=69.5%, $E$48&gt;=69.5%, $E$50&gt;=69.5%, $E$50&gt;=69.5%, $E$52&gt;=69.5%, $E$53&gt;=69.5%),
      D46*N46,
      0)
),0)</f>
        <v>0</v>
      </c>
      <c r="P46" s="13">
        <f t="shared" ref="P46:P53" si="21">J46+O46</f>
        <v>0</v>
      </c>
      <c r="Q46" s="15">
        <f>IF($C$8=2,P46*0.05,0)</f>
        <v>0</v>
      </c>
      <c r="R46" s="15">
        <f>IF($C$8=3,P46*0.15,0)</f>
        <v>0</v>
      </c>
      <c r="S46" s="99"/>
      <c r="T46" s="102"/>
    </row>
    <row r="47" spans="2:20" x14ac:dyDescent="0.35">
      <c r="B47" s="46" t="s">
        <v>231</v>
      </c>
      <c r="C47" s="55">
        <f>SUMIFS(REALIZADO[META_SMARTPHONE],REALIZADO[PDV],PIUMA!$M$7)</f>
        <v>166000</v>
      </c>
      <c r="D47" s="56">
        <v>166000</v>
      </c>
      <c r="E47" s="50">
        <f>IFERROR(D47/C47,0)</f>
        <v>1</v>
      </c>
      <c r="F47" s="12">
        <f>VLOOKUP($E$47,FATORES!$B$53:$D$54,3)</f>
        <v>5.0000000000000001E-4</v>
      </c>
      <c r="G47" s="12">
        <f>IFERROR(VLOOKUP(E47,FATORES!$B$55:$D$55,3),0)</f>
        <v>1E-3</v>
      </c>
      <c r="H47" s="65">
        <f t="shared" si="17"/>
        <v>83</v>
      </c>
      <c r="I47" s="65">
        <f t="shared" si="16"/>
        <v>0</v>
      </c>
      <c r="J47" s="65">
        <f t="shared" si="18"/>
        <v>83</v>
      </c>
      <c r="K47" s="55">
        <f>SUMIFS(REALIZADO[META_SMARTPHONE],REALIZADO[COORDENAÇÃO],$P$7)</f>
        <v>741000.00010000006</v>
      </c>
      <c r="L47" s="56">
        <f>SUMIFS(REALIZADO[AT_SMARTPHONE],REALIZADO[COORDENAÇÃO],$P$7)</f>
        <v>81442</v>
      </c>
      <c r="M47" s="50">
        <f t="shared" si="19"/>
        <v>0.109908232103926</v>
      </c>
      <c r="N47" s="12">
        <f>IF($M$47&gt;=FATORES!$B$56,FATORES!$D$56,0)</f>
        <v>0</v>
      </c>
      <c r="O47" s="14">
        <f t="shared" si="20"/>
        <v>0</v>
      </c>
      <c r="P47" s="13">
        <f t="shared" si="21"/>
        <v>83</v>
      </c>
      <c r="Q47" s="15">
        <f>IF($D$8=2,P47*0.05,0)</f>
        <v>0</v>
      </c>
      <c r="R47" s="15">
        <f>IF($D$8=3,P47*0.15,0)</f>
        <v>0</v>
      </c>
      <c r="S47" s="99"/>
      <c r="T47" s="102"/>
    </row>
    <row r="48" spans="2:20" x14ac:dyDescent="0.35">
      <c r="B48" s="47" t="s">
        <v>232</v>
      </c>
      <c r="C48" s="96">
        <f>SUMIFS(REALIZADO[META_ACESSORIO],REALIZADO[PDV],PIUMA!$M$7)</f>
        <v>13950</v>
      </c>
      <c r="D48" s="56">
        <f>SUMIFS(REALIZADO[AT_ACESSORIOS_A],REALIZADO[PDV],PIUMA!$M$7)</f>
        <v>0</v>
      </c>
      <c r="E48" s="97">
        <f>IFERROR((D48+D49)/C48,0)</f>
        <v>5.4265232974910392E-2</v>
      </c>
      <c r="F48" s="12">
        <f>VLOOKUP($E$48,FATORES!$B$44:$E$46,3)</f>
        <v>5.0000000000000001E-4</v>
      </c>
      <c r="G48" s="12">
        <f>IFERROR(VLOOKUP(E48,FATORES!$B$47:$E$48,3),0)</f>
        <v>0</v>
      </c>
      <c r="H48" s="65">
        <f t="shared" si="17"/>
        <v>0</v>
      </c>
      <c r="I48" s="65">
        <f t="shared" si="16"/>
        <v>0</v>
      </c>
      <c r="J48" s="65">
        <f t="shared" si="18"/>
        <v>0</v>
      </c>
      <c r="K48" s="96">
        <f>SUMIFS(REALIZADO[META_ACESSORIO],REALIZADO[COORDENAÇÃO],$P$7)</f>
        <v>84200.000200000009</v>
      </c>
      <c r="L48" s="56">
        <f>SUMIFS(REALIZADO[AT_ACESSORIOS_A],REALIZADO[COORDENAÇÃO],$P$7)</f>
        <v>0</v>
      </c>
      <c r="M48" s="97">
        <f>IFERROR((L48+L49)/K48,0)</f>
        <v>0.13485748186494659</v>
      </c>
      <c r="N48" s="12">
        <f>IF($M$48&gt;=FATORES!$B$49,FATORES!$D$49,0)</f>
        <v>0</v>
      </c>
      <c r="O48" s="14">
        <f t="shared" si="20"/>
        <v>0</v>
      </c>
      <c r="P48" s="13">
        <f t="shared" si="21"/>
        <v>0</v>
      </c>
      <c r="Q48" s="15">
        <f>IF($E$8=2,P48*0.05,0)</f>
        <v>0</v>
      </c>
      <c r="R48" s="15">
        <f>IF($E$8=3,P48*0.15,0)</f>
        <v>0</v>
      </c>
      <c r="S48" s="99"/>
      <c r="T48" s="102"/>
    </row>
    <row r="49" spans="2:20" x14ac:dyDescent="0.35">
      <c r="B49" s="47" t="s">
        <v>233</v>
      </c>
      <c r="C49" s="96"/>
      <c r="D49" s="56">
        <f>SUMIFS(REALIZADO[AT_ACESSORIOS_B],REALIZADO[PDV],PIUMA!$M$7)</f>
        <v>757</v>
      </c>
      <c r="E49" s="97"/>
      <c r="F49" s="12">
        <f>VLOOKUP($E$48,FATORES!$B$44:$E$46,4)</f>
        <v>2.5000000000000001E-4</v>
      </c>
      <c r="G49" s="12">
        <f>IFERROR(VLOOKUP(E48,FATORES!$B$47:$E$48,4),0)</f>
        <v>0</v>
      </c>
      <c r="H49" s="65">
        <f t="shared" si="17"/>
        <v>0.18925</v>
      </c>
      <c r="I49" s="65">
        <f t="shared" si="16"/>
        <v>0</v>
      </c>
      <c r="J49" s="65">
        <f t="shared" si="18"/>
        <v>0.18925</v>
      </c>
      <c r="K49" s="96"/>
      <c r="L49" s="56">
        <f>SUMIFS(REALIZADO[AT_ACESSORIOS_B],REALIZADO[COORDENAÇÃO],$P$7)</f>
        <v>11355</v>
      </c>
      <c r="M49" s="97"/>
      <c r="N49" s="12">
        <f>IF($M$48&gt;=FATORES!$B$49,FATORES!$E$49,0)</f>
        <v>0</v>
      </c>
      <c r="O49" s="14">
        <f t="shared" si="20"/>
        <v>0</v>
      </c>
      <c r="P49" s="13">
        <f t="shared" si="21"/>
        <v>0.18925</v>
      </c>
      <c r="Q49" s="15">
        <f>IF($E$8=2,P49*0.05,0)</f>
        <v>0</v>
      </c>
      <c r="R49" s="15">
        <f>IF($E$8=3,P49*0.15,0)</f>
        <v>0</v>
      </c>
      <c r="S49" s="99"/>
      <c r="T49" s="102"/>
    </row>
    <row r="50" spans="2:20" x14ac:dyDescent="0.35">
      <c r="B50" s="46" t="s">
        <v>234</v>
      </c>
      <c r="C50" s="96">
        <f>SUMIFS(REALIZADO[META_ESSENCIAIS],REALIZADO[PDV],PIUMA!$M$7)</f>
        <v>10500</v>
      </c>
      <c r="D50" s="56">
        <f>SUMIFS(REALIZADO[AT_ESSENCIAIS_A],REALIZADO[PDV],PIUMA!$M$7)</f>
        <v>674</v>
      </c>
      <c r="E50" s="97">
        <f>IFERROR((D50+D51)/C50,0)</f>
        <v>9.9904761904761899E-2</v>
      </c>
      <c r="F50" s="12">
        <f>VLOOKUP($E$50,FATORES!$B$34:$E$36,3)</f>
        <v>5.0000000000000001E-4</v>
      </c>
      <c r="G50" s="12">
        <f>IFERROR(VLOOKUP(E50,FATORES!$B$37:$E$38,3),0)</f>
        <v>0</v>
      </c>
      <c r="H50" s="65">
        <f t="shared" si="17"/>
        <v>0.33700000000000002</v>
      </c>
      <c r="I50" s="65">
        <f t="shared" si="16"/>
        <v>0</v>
      </c>
      <c r="J50" s="65">
        <f t="shared" si="18"/>
        <v>0.33700000000000002</v>
      </c>
      <c r="K50" s="96">
        <f>SUMIFS(REALIZADO[META_ESSENCIAIS],REALIZADO[COORDENAÇÃO],$P$7)</f>
        <v>58599.999900000003</v>
      </c>
      <c r="L50" s="56">
        <f>SUMIFS(REALIZADO[AT_ESSENCIAIS_A],REALIZADO[COORDENAÇÃO],$P$7)</f>
        <v>4117</v>
      </c>
      <c r="M50" s="97">
        <f>IFERROR((L50+L51)/K50,0)</f>
        <v>0.1419112630408042</v>
      </c>
      <c r="N50" s="12">
        <f>IF($M$50&gt;=FATORES!$B$39,FATORES!$D$39,0)</f>
        <v>0</v>
      </c>
      <c r="O50" s="14">
        <f t="shared" si="20"/>
        <v>0</v>
      </c>
      <c r="P50" s="13">
        <f t="shared" si="21"/>
        <v>0.33700000000000002</v>
      </c>
      <c r="Q50" s="15">
        <f>IF($F$8=2,P50*0.05,0)</f>
        <v>0</v>
      </c>
      <c r="R50" s="15">
        <f>IF($F$8=3,P50*0.15,0)</f>
        <v>0</v>
      </c>
      <c r="S50" s="99"/>
      <c r="T50" s="102"/>
    </row>
    <row r="51" spans="2:20" x14ac:dyDescent="0.35">
      <c r="B51" s="46" t="s">
        <v>235</v>
      </c>
      <c r="C51" s="96"/>
      <c r="D51" s="56">
        <f>SUMIFS(REALIZADO[AT_ESSENCIAIS_B],REALIZADO[PDV],PIUMA!$M$7)</f>
        <v>375</v>
      </c>
      <c r="E51" s="97"/>
      <c r="F51" s="12">
        <f>VLOOKUP($E$50,FATORES!$B$34:$E$36,4)</f>
        <v>2.5000000000000001E-4</v>
      </c>
      <c r="G51" s="12">
        <f>IFERROR(VLOOKUP(E50,FATORES!$B$37:$E$38,4),0)</f>
        <v>0</v>
      </c>
      <c r="H51" s="65">
        <f t="shared" si="17"/>
        <v>9.375E-2</v>
      </c>
      <c r="I51" s="65">
        <f t="shared" si="16"/>
        <v>0</v>
      </c>
      <c r="J51" s="65">
        <f t="shared" si="18"/>
        <v>9.375E-2</v>
      </c>
      <c r="K51" s="96"/>
      <c r="L51" s="56">
        <f>SUMIFS(REALIZADO[AT_ESSENCIAIS_B],REALIZADO[COORDENAÇÃO],$P$7)</f>
        <v>4199</v>
      </c>
      <c r="M51" s="97"/>
      <c r="N51" s="12">
        <f>IF($M$50&gt;=FATORES!$B$39,FATORES!$E$39,0)</f>
        <v>0</v>
      </c>
      <c r="O51" s="14">
        <f t="shared" si="20"/>
        <v>0</v>
      </c>
      <c r="P51" s="13">
        <f t="shared" si="21"/>
        <v>9.375E-2</v>
      </c>
      <c r="Q51" s="15">
        <f>IF($F$8=2,P51*0.05,0)</f>
        <v>0</v>
      </c>
      <c r="R51" s="15">
        <f>IF($F$8=3,P51*0.15,0)</f>
        <v>0</v>
      </c>
      <c r="S51" s="99"/>
      <c r="T51" s="102"/>
    </row>
    <row r="52" spans="2:20" x14ac:dyDescent="0.35">
      <c r="B52" s="46" t="s">
        <v>212</v>
      </c>
      <c r="C52" s="55">
        <f>SUMIFS(REALIZADO[META_SEGUROS],REALIZADO[PDV],PIUMA!$M$7)</f>
        <v>950</v>
      </c>
      <c r="D52" s="56">
        <v>901</v>
      </c>
      <c r="E52" s="50">
        <f>IFERROR(D52/C52,0)</f>
        <v>0.94842105263157894</v>
      </c>
      <c r="F52" s="83">
        <f>VLOOKUP($E$52,FATORES!$O$32:$Q$34,3)</f>
        <v>0.04</v>
      </c>
      <c r="G52" s="12">
        <f>IFERROR(VLOOKUP(E52,FATORES!$O$35:$Q$36,3),0)</f>
        <v>0</v>
      </c>
      <c r="H52" s="65">
        <f t="shared" si="17"/>
        <v>36.04</v>
      </c>
      <c r="I52" s="65">
        <f t="shared" si="16"/>
        <v>0</v>
      </c>
      <c r="J52" s="65">
        <f t="shared" si="18"/>
        <v>36.04</v>
      </c>
      <c r="K52" s="55">
        <f>SUMIFS(REALIZADO[META_SEGUROS],REALIZADO[COORDENAÇÃO],$P$7)</f>
        <v>5665</v>
      </c>
      <c r="L52" s="56">
        <f>SUMIFS(REALIZADO[AT_SEGUROS],REALIZADO[COORDENAÇÃO],$P$7)</f>
        <v>420.19999999999993</v>
      </c>
      <c r="M52" s="50">
        <f t="shared" si="19"/>
        <v>7.4174757281553386E-2</v>
      </c>
      <c r="N52" s="12">
        <f>IF($M$52&gt;=FATORES!$O$37,FATORES!$Q$37,0)</f>
        <v>0</v>
      </c>
      <c r="O52" s="14">
        <f t="shared" si="20"/>
        <v>0</v>
      </c>
      <c r="P52" s="13">
        <f t="shared" si="21"/>
        <v>36.04</v>
      </c>
      <c r="Q52" s="15">
        <f>IF($G$8=2,P52*0.05,0)</f>
        <v>0</v>
      </c>
      <c r="R52" s="15">
        <f>IF($G$8=3,P52*0.15,0)</f>
        <v>0</v>
      </c>
      <c r="S52" s="99"/>
      <c r="T52" s="102"/>
    </row>
    <row r="53" spans="2:20" x14ac:dyDescent="0.35">
      <c r="B53" s="48" t="s">
        <v>14</v>
      </c>
      <c r="C53" s="57">
        <f>SUMIFS(REALIZADO[META_SVA],REALIZADO[PDV],PIUMA!$M$7)</f>
        <v>950</v>
      </c>
      <c r="D53" s="58">
        <v>901</v>
      </c>
      <c r="E53" s="51">
        <f>IFERROR(D53/C53,0)</f>
        <v>0.94842105263157894</v>
      </c>
      <c r="F53" s="16">
        <f>IF($E$53&gt;=0,FATORES!$Q$40)</f>
        <v>5.0000000000000001E-3</v>
      </c>
      <c r="G53" s="16">
        <f>IFERROR(VLOOKUP(E53,FATORES!$O$43:$Q$44,3),0)</f>
        <v>0</v>
      </c>
      <c r="H53" s="17">
        <f t="shared" si="17"/>
        <v>4.5049999999999999</v>
      </c>
      <c r="I53" s="65">
        <f t="shared" si="16"/>
        <v>0</v>
      </c>
      <c r="J53" s="17">
        <f t="shared" si="18"/>
        <v>4.5049999999999999</v>
      </c>
      <c r="K53" s="57">
        <f>SUMIFS(REALIZADO[META_SVA],REALIZADO[COORDENAÇÃO],$P$7)</f>
        <v>5384.9997999999996</v>
      </c>
      <c r="L53" s="58">
        <f>SUMIFS(REALIZADO[AT_SVA],REALIZADO[COORDENAÇÃO],$P$7)</f>
        <v>461.54999999999995</v>
      </c>
      <c r="M53" s="51">
        <f t="shared" si="19"/>
        <v>8.5710309589983644E-2</v>
      </c>
      <c r="N53" s="16">
        <f>IF($M$53&gt;=FATORES!$O$45,FATORES!$Q$45,0)</f>
        <v>0</v>
      </c>
      <c r="O53" s="14">
        <f t="shared" si="20"/>
        <v>0</v>
      </c>
      <c r="P53" s="18">
        <f t="shared" si="21"/>
        <v>4.5049999999999999</v>
      </c>
      <c r="Q53" s="19">
        <f>IF($H$8=2,P53*0.05,0)</f>
        <v>0</v>
      </c>
      <c r="R53" s="19">
        <f>IF($H$8=3,P53*0.15,0)</f>
        <v>0</v>
      </c>
      <c r="S53" s="100"/>
      <c r="T53" s="103"/>
    </row>
    <row r="54" spans="2:20" x14ac:dyDescent="0.35">
      <c r="B54" s="66"/>
      <c r="C54" s="67"/>
      <c r="D54" s="67"/>
      <c r="E54" s="67"/>
      <c r="F54" s="67"/>
      <c r="G54" s="67"/>
      <c r="H54" s="67"/>
      <c r="I54" s="67"/>
      <c r="J54" s="68"/>
      <c r="K54" s="69"/>
      <c r="L54" s="67"/>
      <c r="M54" s="67"/>
      <c r="N54" s="67"/>
      <c r="O54" s="67"/>
      <c r="P54" s="70">
        <f>SUM(P45:P53)</f>
        <v>128.47505000000001</v>
      </c>
      <c r="Q54" s="70">
        <f t="shared" ref="Q54:R54" si="22">SUM(Q45:Q53)</f>
        <v>0</v>
      </c>
      <c r="R54" s="70">
        <f t="shared" si="22"/>
        <v>0</v>
      </c>
      <c r="S54" s="71" t="str">
        <f>IF($P$7="ARIEL",IF(MIN(E45,E47,E48,E49,E50,E52,E53)&gt;=99.99%,SUM(P54:R54)*S45,""),IF(MIN(E45:E53)&gt;=99.99%,SUM(P54:R54)*S45,""))</f>
        <v/>
      </c>
      <c r="T54" s="72"/>
    </row>
  </sheetData>
  <sheetProtection algorithmName="SHA-512" hashValue="uz4anuXZKHVSjtWVraWxOgIjGSOydOLVRW3cKdG69Xt0vADGcVTHAD795ilgY6beenAejvaARLxVqpeFjXKuhQ==" saltValue="BeDYzuTeRXj+yfbkcUnH+w==" spinCount="100000" sheet="1" objects="1" scenarios="1"/>
  <protectedRanges>
    <protectedRange sqref="B8:H8 C45:D53 K45:L53" name="Intervalo1"/>
  </protectedRanges>
  <mergeCells count="94">
    <mergeCell ref="I13:I14"/>
    <mergeCell ref="B12:J12"/>
    <mergeCell ref="K12:T12"/>
    <mergeCell ref="B2:T4"/>
    <mergeCell ref="B6:H6"/>
    <mergeCell ref="M6:N6"/>
    <mergeCell ref="M7:N7"/>
    <mergeCell ref="B11:T11"/>
    <mergeCell ref="B13:B14"/>
    <mergeCell ref="C13:E13"/>
    <mergeCell ref="F13:F14"/>
    <mergeCell ref="G13:G14"/>
    <mergeCell ref="H13:H14"/>
    <mergeCell ref="D14:E14"/>
    <mergeCell ref="J13:J14"/>
    <mergeCell ref="K13:M13"/>
    <mergeCell ref="S13:S14"/>
    <mergeCell ref="T13:T14"/>
    <mergeCell ref="L14:M14"/>
    <mergeCell ref="N13:N14"/>
    <mergeCell ref="O13:O14"/>
    <mergeCell ref="P13:P14"/>
    <mergeCell ref="Q13:Q14"/>
    <mergeCell ref="R13:R14"/>
    <mergeCell ref="C20:C21"/>
    <mergeCell ref="E20:E21"/>
    <mergeCell ref="K20:K21"/>
    <mergeCell ref="M20:M21"/>
    <mergeCell ref="B26:T26"/>
    <mergeCell ref="S15:S23"/>
    <mergeCell ref="T15:T23"/>
    <mergeCell ref="C18:C19"/>
    <mergeCell ref="E18:E19"/>
    <mergeCell ref="K18:K19"/>
    <mergeCell ref="M18:M19"/>
    <mergeCell ref="B27:J27"/>
    <mergeCell ref="K27:T27"/>
    <mergeCell ref="B28:B29"/>
    <mergeCell ref="C28:E28"/>
    <mergeCell ref="F28:F29"/>
    <mergeCell ref="G28:G29"/>
    <mergeCell ref="H28:H29"/>
    <mergeCell ref="I28:I29"/>
    <mergeCell ref="J28:J29"/>
    <mergeCell ref="S28:S29"/>
    <mergeCell ref="T28:T29"/>
    <mergeCell ref="D29:E29"/>
    <mergeCell ref="L29:M29"/>
    <mergeCell ref="S30:S38"/>
    <mergeCell ref="T30:T38"/>
    <mergeCell ref="K28:M28"/>
    <mergeCell ref="N28:N29"/>
    <mergeCell ref="O28:O29"/>
    <mergeCell ref="P28:P29"/>
    <mergeCell ref="Q28:Q29"/>
    <mergeCell ref="R28:R29"/>
    <mergeCell ref="C33:C34"/>
    <mergeCell ref="E33:E34"/>
    <mergeCell ref="K33:K34"/>
    <mergeCell ref="M33:M34"/>
    <mergeCell ref="C35:C36"/>
    <mergeCell ref="E35:E36"/>
    <mergeCell ref="K35:K36"/>
    <mergeCell ref="M35:M36"/>
    <mergeCell ref="B41:T41"/>
    <mergeCell ref="B42:J42"/>
    <mergeCell ref="K42:O42"/>
    <mergeCell ref="B43:B44"/>
    <mergeCell ref="C43:E43"/>
    <mergeCell ref="F43:F44"/>
    <mergeCell ref="G43:G44"/>
    <mergeCell ref="H43:H44"/>
    <mergeCell ref="I43:I44"/>
    <mergeCell ref="J43:J44"/>
    <mergeCell ref="S43:S44"/>
    <mergeCell ref="T43:T44"/>
    <mergeCell ref="D44:E44"/>
    <mergeCell ref="L44:M44"/>
    <mergeCell ref="S45:S53"/>
    <mergeCell ref="T45:T53"/>
    <mergeCell ref="K43:M43"/>
    <mergeCell ref="N43:N44"/>
    <mergeCell ref="O43:O44"/>
    <mergeCell ref="P43:P44"/>
    <mergeCell ref="Q43:Q44"/>
    <mergeCell ref="R43:R44"/>
    <mergeCell ref="C48:C49"/>
    <mergeCell ref="E48:E49"/>
    <mergeCell ref="K48:K49"/>
    <mergeCell ref="M48:M49"/>
    <mergeCell ref="C50:C51"/>
    <mergeCell ref="E50:E51"/>
    <mergeCell ref="K50:K51"/>
    <mergeCell ref="M50:M51"/>
  </mergeCells>
  <conditionalFormatting sqref="E15:E18 E20 E22:E23">
    <cfRule type="cellIs" dxfId="630" priority="22" operator="between">
      <formula>0.7</formula>
      <formula>1</formula>
    </cfRule>
    <cfRule type="cellIs" dxfId="629" priority="23" operator="greaterThanOrEqual">
      <formula>1</formula>
    </cfRule>
    <cfRule type="cellIs" dxfId="628" priority="24" operator="lessThan">
      <formula>0.7</formula>
    </cfRule>
  </conditionalFormatting>
  <conditionalFormatting sqref="E30:E33 E35 E37:E38">
    <cfRule type="cellIs" dxfId="627" priority="10" operator="between">
      <formula>0.7</formula>
      <formula>1</formula>
    </cfRule>
    <cfRule type="cellIs" dxfId="626" priority="11" operator="greaterThanOrEqual">
      <formula>1</formula>
    </cfRule>
    <cfRule type="cellIs" dxfId="625" priority="12" operator="lessThan">
      <formula>0.7</formula>
    </cfRule>
  </conditionalFormatting>
  <conditionalFormatting sqref="E45:E48 E50 E52:E53">
    <cfRule type="cellIs" dxfId="624" priority="34" operator="between">
      <formula>0.7</formula>
      <formula>1</formula>
    </cfRule>
    <cfRule type="cellIs" dxfId="623" priority="35" operator="greaterThanOrEqual">
      <formula>1</formula>
    </cfRule>
    <cfRule type="cellIs" dxfId="622" priority="36" operator="lessThan">
      <formula>0.7</formula>
    </cfRule>
  </conditionalFormatting>
  <conditionalFormatting sqref="M15:M18">
    <cfRule type="cellIs" dxfId="621" priority="16" operator="between">
      <formula>0.7</formula>
      <formula>1</formula>
    </cfRule>
    <cfRule type="cellIs" dxfId="620" priority="17" operator="greaterThanOrEqual">
      <formula>1</formula>
    </cfRule>
    <cfRule type="cellIs" dxfId="619" priority="18" operator="lessThan">
      <formula>0.7</formula>
    </cfRule>
  </conditionalFormatting>
  <conditionalFormatting sqref="M20">
    <cfRule type="cellIs" dxfId="618" priority="13" operator="between">
      <formula>0.7</formula>
      <formula>1</formula>
    </cfRule>
    <cfRule type="cellIs" dxfId="617" priority="14" operator="greaterThanOrEqual">
      <formula>1</formula>
    </cfRule>
    <cfRule type="cellIs" dxfId="616" priority="15" operator="lessThan">
      <formula>0.7</formula>
    </cfRule>
  </conditionalFormatting>
  <conditionalFormatting sqref="M22:M23">
    <cfRule type="cellIs" dxfId="615" priority="19" operator="between">
      <formula>0.7</formula>
      <formula>1</formula>
    </cfRule>
    <cfRule type="cellIs" dxfId="614" priority="20" operator="greaterThanOrEqual">
      <formula>1</formula>
    </cfRule>
    <cfRule type="cellIs" dxfId="613" priority="21" operator="lessThan">
      <formula>0.7</formula>
    </cfRule>
  </conditionalFormatting>
  <conditionalFormatting sqref="M30:M33">
    <cfRule type="cellIs" dxfId="612" priority="4" operator="between">
      <formula>0.7</formula>
      <formula>1</formula>
    </cfRule>
    <cfRule type="cellIs" dxfId="611" priority="5" operator="greaterThanOrEqual">
      <formula>1</formula>
    </cfRule>
    <cfRule type="cellIs" dxfId="610" priority="6" operator="lessThan">
      <formula>0.7</formula>
    </cfRule>
  </conditionalFormatting>
  <conditionalFormatting sqref="M35">
    <cfRule type="cellIs" dxfId="609" priority="1" operator="between">
      <formula>0.7</formula>
      <formula>1</formula>
    </cfRule>
    <cfRule type="cellIs" dxfId="608" priority="2" operator="greaterThanOrEqual">
      <formula>1</formula>
    </cfRule>
    <cfRule type="cellIs" dxfId="607" priority="3" operator="lessThan">
      <formula>0.7</formula>
    </cfRule>
  </conditionalFormatting>
  <conditionalFormatting sqref="M37:M38">
    <cfRule type="cellIs" dxfId="606" priority="7" operator="between">
      <formula>0.7</formula>
      <formula>1</formula>
    </cfRule>
    <cfRule type="cellIs" dxfId="605" priority="8" operator="greaterThanOrEqual">
      <formula>1</formula>
    </cfRule>
    <cfRule type="cellIs" dxfId="604" priority="9" operator="lessThan">
      <formula>0.7</formula>
    </cfRule>
  </conditionalFormatting>
  <conditionalFormatting sqref="M45:M48">
    <cfRule type="cellIs" dxfId="603" priority="28" operator="between">
      <formula>0.7</formula>
      <formula>1</formula>
    </cfRule>
    <cfRule type="cellIs" dxfId="602" priority="29" operator="greaterThanOrEqual">
      <formula>1</formula>
    </cfRule>
    <cfRule type="cellIs" dxfId="601" priority="30" operator="lessThan">
      <formula>0.7</formula>
    </cfRule>
  </conditionalFormatting>
  <conditionalFormatting sqref="M50">
    <cfRule type="cellIs" dxfId="600" priority="25" operator="between">
      <formula>0.7</formula>
      <formula>1</formula>
    </cfRule>
    <cfRule type="cellIs" dxfId="599" priority="26" operator="greaterThanOrEqual">
      <formula>1</formula>
    </cfRule>
    <cfRule type="cellIs" dxfId="598" priority="27" operator="lessThan">
      <formula>0.7</formula>
    </cfRule>
  </conditionalFormatting>
  <conditionalFormatting sqref="M52:M53">
    <cfRule type="cellIs" dxfId="597" priority="31" operator="between">
      <formula>0.7</formula>
      <formula>1</formula>
    </cfRule>
    <cfRule type="cellIs" dxfId="596" priority="32" operator="greaterThanOrEqual">
      <formula>1</formula>
    </cfRule>
    <cfRule type="cellIs" dxfId="595" priority="33" operator="lessThan">
      <formula>0.7</formula>
    </cfRule>
  </conditionalFormatting>
  <dataValidations count="1">
    <dataValidation type="list" allowBlank="1" showInputMessage="1" showErrorMessage="1" sqref="B8:H8" xr:uid="{34A9170E-E9BB-48E0-8114-D8011B11CAFE}">
      <formula1>$V$6:$X$6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93BDB-6FA8-49E5-BC3C-573ED9D2ABA0}">
  <dimension ref="B1:X54"/>
  <sheetViews>
    <sheetView showGridLines="0" tabSelected="1" topLeftCell="I1" zoomScale="70" zoomScaleNormal="70" workbookViewId="0">
      <selection activeCell="O8" sqref="O8"/>
    </sheetView>
  </sheetViews>
  <sheetFormatPr defaultRowHeight="14.5" x14ac:dyDescent="0.35"/>
  <cols>
    <col min="1" max="1" width="2.1796875" customWidth="1"/>
    <col min="2" max="2" width="16.453125" customWidth="1"/>
    <col min="3" max="3" width="15" bestFit="1" customWidth="1"/>
    <col min="4" max="4" width="14.54296875" customWidth="1"/>
    <col min="5" max="5" width="13.453125" bestFit="1" customWidth="1"/>
    <col min="6" max="6" width="14" customWidth="1"/>
    <col min="7" max="7" width="18.7265625" customWidth="1"/>
    <col min="8" max="8" width="15" customWidth="1"/>
    <col min="9" max="9" width="20" customWidth="1"/>
    <col min="10" max="10" width="21.1796875" customWidth="1"/>
    <col min="11" max="12" width="16.453125" customWidth="1"/>
    <col min="13" max="13" width="9.7265625" customWidth="1"/>
    <col min="14" max="14" width="20.54296875" customWidth="1"/>
    <col min="15" max="15" width="21" customWidth="1"/>
    <col min="16" max="16" width="15.26953125" customWidth="1"/>
    <col min="17" max="17" width="13" bestFit="1" customWidth="1"/>
    <col min="18" max="18" width="10.453125" bestFit="1" customWidth="1"/>
    <col min="19" max="19" width="12.7265625" bestFit="1" customWidth="1"/>
    <col min="20" max="20" width="14.453125" customWidth="1"/>
  </cols>
  <sheetData>
    <row r="1" spans="2:24" x14ac:dyDescent="0.35">
      <c r="B1" s="59"/>
    </row>
    <row r="2" spans="2:24" x14ac:dyDescent="0.35">
      <c r="B2" s="143" t="s">
        <v>207</v>
      </c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5"/>
    </row>
    <row r="3" spans="2:24" x14ac:dyDescent="0.35">
      <c r="B3" s="146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8"/>
    </row>
    <row r="4" spans="2:24" x14ac:dyDescent="0.35">
      <c r="B4" s="149"/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1"/>
    </row>
    <row r="5" spans="2:24" x14ac:dyDescent="0.35">
      <c r="B5" s="60"/>
      <c r="T5" s="61"/>
    </row>
    <row r="6" spans="2:24" ht="14.5" customHeight="1" x14ac:dyDescent="0.35">
      <c r="B6" s="152" t="s">
        <v>208</v>
      </c>
      <c r="C6" s="153"/>
      <c r="D6" s="153"/>
      <c r="E6" s="153"/>
      <c r="F6" s="153"/>
      <c r="G6" s="153"/>
      <c r="H6" s="154"/>
      <c r="M6" s="155" t="s">
        <v>54</v>
      </c>
      <c r="N6" s="156"/>
      <c r="P6" s="74" t="s">
        <v>23</v>
      </c>
      <c r="T6" s="61"/>
      <c r="V6" s="1">
        <v>0</v>
      </c>
      <c r="W6" s="1">
        <v>2</v>
      </c>
      <c r="X6" s="1">
        <v>3</v>
      </c>
    </row>
    <row r="7" spans="2:24" ht="14.5" customHeight="1" x14ac:dyDescent="0.35">
      <c r="B7" s="62" t="s">
        <v>209</v>
      </c>
      <c r="C7" s="2" t="s">
        <v>13</v>
      </c>
      <c r="D7" s="2" t="s">
        <v>210</v>
      </c>
      <c r="E7" s="2" t="s">
        <v>16</v>
      </c>
      <c r="F7" s="2" t="s">
        <v>211</v>
      </c>
      <c r="G7" s="2" t="s">
        <v>212</v>
      </c>
      <c r="H7" s="3" t="s">
        <v>14</v>
      </c>
      <c r="M7" s="157" t="s">
        <v>33</v>
      </c>
      <c r="N7" s="158"/>
      <c r="P7" s="75" t="s">
        <v>28</v>
      </c>
      <c r="T7" s="61"/>
    </row>
    <row r="8" spans="2:24" ht="14.5" customHeight="1" x14ac:dyDescent="0.35">
      <c r="B8" s="63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5">
        <v>0</v>
      </c>
      <c r="T8" s="61"/>
    </row>
    <row r="9" spans="2:24" x14ac:dyDescent="0.35">
      <c r="B9" s="84"/>
      <c r="C9" s="85"/>
      <c r="D9" s="85"/>
      <c r="E9" s="85"/>
      <c r="F9" s="85"/>
      <c r="G9" s="85"/>
      <c r="H9" s="85"/>
    </row>
    <row r="10" spans="2:24" x14ac:dyDescent="0.35">
      <c r="B10" s="84"/>
      <c r="C10" s="85"/>
      <c r="D10" s="85"/>
      <c r="E10" s="85"/>
      <c r="F10" s="85"/>
      <c r="G10" s="85"/>
      <c r="H10" s="85"/>
    </row>
    <row r="11" spans="2:24" ht="18.5" x14ac:dyDescent="0.35">
      <c r="B11" s="159" t="s">
        <v>213</v>
      </c>
      <c r="C11" s="160"/>
      <c r="D11" s="160"/>
      <c r="E11" s="160"/>
      <c r="F11" s="160"/>
      <c r="G11" s="160"/>
      <c r="H11" s="160"/>
      <c r="I11" s="160"/>
      <c r="J11" s="160"/>
      <c r="K11" s="160"/>
      <c r="L11" s="160"/>
      <c r="M11" s="160"/>
      <c r="N11" s="160"/>
      <c r="O11" s="160"/>
      <c r="P11" s="160"/>
      <c r="Q11" s="160"/>
      <c r="R11" s="160"/>
      <c r="S11" s="160"/>
      <c r="T11" s="160"/>
    </row>
    <row r="12" spans="2:24" x14ac:dyDescent="0.35">
      <c r="B12" s="129" t="s">
        <v>9</v>
      </c>
      <c r="C12" s="130"/>
      <c r="D12" s="130"/>
      <c r="E12" s="130"/>
      <c r="F12" s="130"/>
      <c r="G12" s="130"/>
      <c r="H12" s="130"/>
      <c r="I12" s="130"/>
      <c r="J12" s="131"/>
      <c r="K12" s="132" t="s">
        <v>54</v>
      </c>
      <c r="L12" s="130"/>
      <c r="M12" s="130"/>
      <c r="N12" s="130"/>
      <c r="O12" s="130"/>
      <c r="P12" s="130"/>
      <c r="Q12" s="130"/>
      <c r="R12" s="130"/>
      <c r="S12" s="130"/>
      <c r="T12" s="133"/>
    </row>
    <row r="13" spans="2:24" ht="14.5" customHeight="1" x14ac:dyDescent="0.35">
      <c r="B13" s="115" t="s">
        <v>214</v>
      </c>
      <c r="C13" s="116" t="s">
        <v>215</v>
      </c>
      <c r="D13" s="117"/>
      <c r="E13" s="104"/>
      <c r="F13" s="135" t="s">
        <v>216</v>
      </c>
      <c r="G13" s="135" t="s">
        <v>217</v>
      </c>
      <c r="H13" s="135" t="s">
        <v>218</v>
      </c>
      <c r="I13" s="135" t="s">
        <v>219</v>
      </c>
      <c r="J13" s="135" t="s">
        <v>220</v>
      </c>
      <c r="K13" s="116" t="s">
        <v>221</v>
      </c>
      <c r="L13" s="117"/>
      <c r="M13" s="104"/>
      <c r="N13" s="127" t="s">
        <v>222</v>
      </c>
      <c r="O13" s="127" t="s">
        <v>223</v>
      </c>
      <c r="P13" s="127" t="s">
        <v>224</v>
      </c>
      <c r="Q13" s="127" t="s">
        <v>225</v>
      </c>
      <c r="R13" s="127" t="s">
        <v>226</v>
      </c>
      <c r="S13" s="127" t="s">
        <v>227</v>
      </c>
      <c r="T13" s="137" t="s">
        <v>228</v>
      </c>
    </row>
    <row r="14" spans="2:24" x14ac:dyDescent="0.35">
      <c r="B14" s="134"/>
      <c r="C14" s="94" t="s">
        <v>229</v>
      </c>
      <c r="D14" s="139" t="s">
        <v>230</v>
      </c>
      <c r="E14" s="140"/>
      <c r="F14" s="136"/>
      <c r="G14" s="136"/>
      <c r="H14" s="136"/>
      <c r="I14" s="136"/>
      <c r="J14" s="136"/>
      <c r="K14" s="52" t="s">
        <v>229</v>
      </c>
      <c r="L14" s="139" t="s">
        <v>230</v>
      </c>
      <c r="M14" s="140"/>
      <c r="N14" s="128"/>
      <c r="O14" s="128"/>
      <c r="P14" s="128"/>
      <c r="Q14" s="128"/>
      <c r="R14" s="128"/>
      <c r="S14" s="128"/>
      <c r="T14" s="138"/>
    </row>
    <row r="15" spans="2:24" x14ac:dyDescent="0.35">
      <c r="B15" s="45" t="s">
        <v>2</v>
      </c>
      <c r="C15" s="76">
        <f>SUMIFS(REALIZADO[META_MOVEL],REALIZADO[PDV],QUISSAMA!$M$7)</f>
        <v>4790</v>
      </c>
      <c r="D15" s="77">
        <f>SUMIFS(PROJEÇÃO[PROJ_MOVEL],PROJEÇÃO[PDV],QUISSAMA!$M$7)</f>
        <v>5886.3055000000004</v>
      </c>
      <c r="E15" s="49">
        <f>IFERROR(D15/C15,0)</f>
        <v>1.2288737995824635</v>
      </c>
      <c r="F15" s="8">
        <f>VLOOKUP($E$15,FATORES!$I$32:$K$34,3)</f>
        <v>0.04</v>
      </c>
      <c r="G15" s="8">
        <f>IFERROR(VLOOKUP($E$15,FATORES!$I$35:$K$36,3),0)</f>
        <v>0.13</v>
      </c>
      <c r="H15" s="9">
        <f>D15*F15</f>
        <v>235.45222000000001</v>
      </c>
      <c r="I15" s="9">
        <f t="shared" ref="I15:I23" si="0">IF($P$7="ARIEL",
   IF(AND($E$15&gt;=69.5%, AND($E$17&gt;=69.5%, $E$18&gt;=69.5%, $E$18&gt;=69.5%, $E$20&gt;=69.5%, $E$20&gt;=69.5%, $E$22&gt;=69.5%, $E$23&gt;=69.5%)),
      D15*G15,
      0),
   IF(AND($E$15&gt;=69.5%, $E$16&gt;=69.5%, $E$17&gt;=69.5%, $E$18&gt;=69.5%, $E$18&gt;=69.5%, $E$20&gt;=69.5%, $E$20&gt;=69.5%, $E$22&gt;=69.5%, $E$23&gt;=69.5%),
      D15*G15,
      0)
)</f>
        <v>765.21971500000006</v>
      </c>
      <c r="J15" s="9">
        <f>H15+I15</f>
        <v>1000.6719350000001</v>
      </c>
      <c r="K15" s="76">
        <f>SUMIFS(REALIZADO[META_MOVEL],REALIZADO[COORDENAÇÃO],$P$7)</f>
        <v>59729.999899999995</v>
      </c>
      <c r="L15" s="77">
        <f>SUMIFS(PROJEÇÃO[PROJ_MOVEL],PROJEÇÃO[COORDENAÇÃO],$P$7)</f>
        <v>52523.219899999989</v>
      </c>
      <c r="M15" s="49">
        <f>IFERROR(L15/K15,0)</f>
        <v>0.87934404801497401</v>
      </c>
      <c r="N15" s="8">
        <f>IF($M$15&gt;=FATORES!$I$37,FATORES!$K$37,0)</f>
        <v>0</v>
      </c>
      <c r="O15" s="14">
        <f>IF(E15&gt;=100%,
   IF($P$7="ARIEL",
      IF(AND($E$15&gt;=69.5%,$E$17&gt;=69.5%,$E$18&gt;=69.5%,$E$20&gt;=69.5%,$E$22&gt;=69.5%,$E$23&gt;=69.5%),
         D15*N15,
         0
      ),
      IF(AND($E$15&gt;=69.5%,$E$16&gt;=69.5%,$E$17&gt;=69.5%,$E$18&gt;=69.5%,$E$20&gt;=69.5%,$E$22&gt;=69.5%,$E$23&gt;=69.5%),
         D15*N15,
         0
      )
   ),
0)</f>
        <v>0</v>
      </c>
      <c r="P15" s="10">
        <f>J15+O15</f>
        <v>1000.6719350000001</v>
      </c>
      <c r="Q15" s="11">
        <f>IF($B$8=2,P15*0.05,0)</f>
        <v>0</v>
      </c>
      <c r="R15" s="11">
        <f>IF($B$8=3,P15*0.15,0)</f>
        <v>0</v>
      </c>
      <c r="S15" s="98">
        <v>0.1</v>
      </c>
      <c r="T15" s="124">
        <f>SUM(P24:S24)</f>
        <v>1719.3789083625002</v>
      </c>
    </row>
    <row r="16" spans="2:24" x14ac:dyDescent="0.35">
      <c r="B16" s="46" t="s">
        <v>13</v>
      </c>
      <c r="C16" s="76">
        <f>SUMIFS(REALIZADO[META_FIXA],REALIZADO[PDV],QUISSAMA!$M$7)</f>
        <v>0</v>
      </c>
      <c r="D16" s="77">
        <f>SUMIFS(PROJEÇÃO[PROJ_FIXA],PROJEÇÃO[PDV],QUISSAMA!$M$7)</f>
        <v>0</v>
      </c>
      <c r="E16" s="50">
        <f>IFERROR(D16/C16,0)</f>
        <v>0</v>
      </c>
      <c r="F16" s="12">
        <f>VLOOKUP($E$16,FATORES!$I$40:$K$42,3)</f>
        <v>5.0000000000000001E-3</v>
      </c>
      <c r="G16" s="12">
        <f>IFERROR(VLOOKUP($E$16,FATORES!$I$43:$K$44,3),0)</f>
        <v>0</v>
      </c>
      <c r="H16" s="65">
        <f t="shared" ref="H16:H23" si="1">D16*F16</f>
        <v>0</v>
      </c>
      <c r="I16" s="65">
        <f t="shared" si="0"/>
        <v>0</v>
      </c>
      <c r="J16" s="65">
        <f t="shared" ref="J16:J23" si="2">H16+I16</f>
        <v>0</v>
      </c>
      <c r="K16" s="76">
        <f>SUMIFS(REALIZADO[META_FIXA],REALIZADO[COORDENAÇÃO],$P$7)</f>
        <v>0</v>
      </c>
      <c r="L16" s="77">
        <f>SUMIFS(PROJEÇÃO[PROJ_FIXA],PROJEÇÃO[COORDENAÇÃO],$P$7)</f>
        <v>0</v>
      </c>
      <c r="M16" s="50">
        <f t="shared" ref="M16:M17" si="3">IFERROR(L16/K16,0)</f>
        <v>0</v>
      </c>
      <c r="N16" s="12">
        <f>IF($M$16&gt;=FATORES!$I$45,FATORES!$K$45,0)</f>
        <v>0</v>
      </c>
      <c r="O16" s="14">
        <f t="shared" ref="O16:O23" si="4">IF(E16&gt;=100%,
   IF($P$7="ARIEL",
      IF(AND($E$15&gt;=69.5%,$E$17&gt;=69.5%,$E$18&gt;=69.5%,$E$20&gt;=69.5%,$E$22&gt;=69.5%,$E$23&gt;=69.5%),
         D16*N16,
         0
      ),
      IF(AND($E$15&gt;=69.5%,$E$16&gt;=69.5%,$E$17&gt;=69.5%,$E$18&gt;=69.5%,$E$20&gt;=69.5%,$E$22&gt;=69.5%,$E$23&gt;=69.5%),
         D16*N16,
         0
      )
   ),
0)</f>
        <v>0</v>
      </c>
      <c r="P16" s="13">
        <f t="shared" ref="P16:P23" si="5">J16+O16</f>
        <v>0</v>
      </c>
      <c r="Q16" s="15">
        <f>IF($C$8=2,P16*0.05,0)</f>
        <v>0</v>
      </c>
      <c r="R16" s="15">
        <f>IF($C$8=3,P16*0.15,0)</f>
        <v>0</v>
      </c>
      <c r="S16" s="99"/>
      <c r="T16" s="125"/>
    </row>
    <row r="17" spans="2:20" x14ac:dyDescent="0.35">
      <c r="B17" s="46" t="s">
        <v>231</v>
      </c>
      <c r="C17" s="53">
        <f>SUMIFS(REALIZADO[META_SMARTPHONE],REALIZADO[PDV],QUISSAMA!$M$7)</f>
        <v>52000</v>
      </c>
      <c r="D17" s="78">
        <f>SUMIFS(PROJEÇÃO[PROJ_APARELHO],PROJEÇÃO[PDV],QUISSAMA!$M$7)</f>
        <v>106117.11110000001</v>
      </c>
      <c r="E17" s="50">
        <f>IFERROR(D17/C17,0)</f>
        <v>2.0407136750000001</v>
      </c>
      <c r="F17" s="12">
        <f>VLOOKUP($E$17,FATORES!$B$53:$D$54,3)</f>
        <v>5.0000000000000001E-4</v>
      </c>
      <c r="G17" s="12">
        <f>IFERROR(VLOOKUP($E$17,FATORES!$B$55:$D$55,3),0)</f>
        <v>1E-3</v>
      </c>
      <c r="H17" s="65">
        <f t="shared" si="1"/>
        <v>53.058555550000008</v>
      </c>
      <c r="I17" s="65">
        <f t="shared" si="0"/>
        <v>106.11711110000002</v>
      </c>
      <c r="J17" s="65">
        <f t="shared" si="2"/>
        <v>159.17566665000004</v>
      </c>
      <c r="K17" s="53">
        <f>SUMIFS(REALIZADO[META_SMARTPHONE],REALIZADO[COORDENAÇÃO],$P$7)</f>
        <v>741000.00010000006</v>
      </c>
      <c r="L17" s="78">
        <f>SUMIFS(PROJEÇÃO[PROJ_APARELHO],PROJEÇÃO[COORDENAÇÃO],$P$7)</f>
        <v>619809.5554999999</v>
      </c>
      <c r="M17" s="50">
        <f t="shared" si="3"/>
        <v>0.8364501422622872</v>
      </c>
      <c r="N17" s="12">
        <f>IF($M$17&gt;=FATORES!$B$56,FATORES!$D$56,0)</f>
        <v>0</v>
      </c>
      <c r="O17" s="14">
        <f t="shared" si="4"/>
        <v>0</v>
      </c>
      <c r="P17" s="13">
        <f t="shared" si="5"/>
        <v>159.17566665000004</v>
      </c>
      <c r="Q17" s="15">
        <f>IF($D$8=2,P17*0.05,0)</f>
        <v>0</v>
      </c>
      <c r="R17" s="15">
        <f>IF($D$8=3,P17*0.15,0)</f>
        <v>0</v>
      </c>
      <c r="S17" s="99"/>
      <c r="T17" s="125"/>
    </row>
    <row r="18" spans="2:20" x14ac:dyDescent="0.35">
      <c r="B18" s="47" t="s">
        <v>232</v>
      </c>
      <c r="C18" s="121">
        <f>SUMIFS(REALIZADO[META_ACESSORIO],REALIZADO[PDV],QUISSAMA!$M$7)</f>
        <v>5100.0001000000002</v>
      </c>
      <c r="D18" s="86">
        <f>SUMIFS(PROJEÇÃO[PROJ_ELETRO_A],PROJEÇÃO[PDV],QUISSAMA!$M$7)</f>
        <v>420.11110000000002</v>
      </c>
      <c r="E18" s="123">
        <f>IFERROR((D18+D19)/C18,0)</f>
        <v>3.7159694369417751</v>
      </c>
      <c r="F18" s="12">
        <f>VLOOKUP($E$18,FATORES!$B$44:$E$46,3)</f>
        <v>1.5E-3</v>
      </c>
      <c r="G18" s="12">
        <f>IFERROR(VLOOKUP($E$18,FATORES!$B$47:$E$48,3),0)</f>
        <v>7.0000000000000001E-3</v>
      </c>
      <c r="H18" s="65">
        <f t="shared" si="1"/>
        <v>0.63016665000000005</v>
      </c>
      <c r="I18" s="65">
        <f t="shared" si="0"/>
        <v>2.9407777000000004</v>
      </c>
      <c r="J18" s="65">
        <f t="shared" si="2"/>
        <v>3.5709443500000004</v>
      </c>
      <c r="K18" s="121">
        <f>SUMIFS(REALIZADO[META_ACESSORIO],REALIZADO[COORDENAÇÃO],$P$7)</f>
        <v>84200.000200000009</v>
      </c>
      <c r="L18" s="86">
        <f>SUMIFS(PROJEÇÃO[PROJ_ELETRO_A],PROJEÇÃO[COORDENAÇÃO],$P$7)</f>
        <v>2058.3333000000002</v>
      </c>
      <c r="M18" s="97">
        <f>IFERROR((L18+L19)/K18,0)</f>
        <v>1.2364040611961895</v>
      </c>
      <c r="N18" s="12">
        <f>IF($M$18&gt;=FATORES!$B$49,FATORES!$D$49,0)</f>
        <v>2.5000000000000001E-3</v>
      </c>
      <c r="O18" s="14">
        <f t="shared" si="4"/>
        <v>1.05027775</v>
      </c>
      <c r="P18" s="13">
        <f t="shared" si="5"/>
        <v>4.6212221000000007</v>
      </c>
      <c r="Q18" s="15">
        <f>IF($E$8=2,P18*0.05,0)</f>
        <v>0</v>
      </c>
      <c r="R18" s="15">
        <f>IF($E$8=3,P18*0.15,0)</f>
        <v>0</v>
      </c>
      <c r="S18" s="99"/>
      <c r="T18" s="125"/>
    </row>
    <row r="19" spans="2:20" x14ac:dyDescent="0.35">
      <c r="B19" s="47" t="s">
        <v>233</v>
      </c>
      <c r="C19" s="122"/>
      <c r="D19" s="87">
        <f>SUMIFS(PROJEÇÃO[PROJ_ELETRO_B],PROJEÇÃO[PDV],QUISSAMA!$M$7)</f>
        <v>18531.3334</v>
      </c>
      <c r="E19" s="123"/>
      <c r="F19" s="12">
        <f>VLOOKUP($E$18,FATORES!$B$44:$E$46,4)</f>
        <v>7.5000000000000002E-4</v>
      </c>
      <c r="G19" s="12">
        <f>IFERROR(VLOOKUP($E$18,FATORES!$B$47:$E$48,4),0)</f>
        <v>3.5000000000000001E-3</v>
      </c>
      <c r="H19" s="65">
        <f t="shared" si="1"/>
        <v>13.898500049999999</v>
      </c>
      <c r="I19" s="65">
        <f t="shared" si="0"/>
        <v>64.859666899999993</v>
      </c>
      <c r="J19" s="65">
        <f t="shared" si="2"/>
        <v>78.758166949999989</v>
      </c>
      <c r="K19" s="122"/>
      <c r="L19" s="87">
        <f>SUMIFS(PROJEÇÃO[PROJ_ELETRO_B],PROJEÇÃO[COORDENAÇÃO],$P$7)</f>
        <v>102046.88889999999</v>
      </c>
      <c r="M19" s="97"/>
      <c r="N19" s="12">
        <f>IF($M$18&gt;=FATORES!$B$49,FATORES!$E$49,0)</f>
        <v>1.25E-3</v>
      </c>
      <c r="O19" s="14">
        <f t="shared" si="4"/>
        <v>0</v>
      </c>
      <c r="P19" s="13">
        <f t="shared" si="5"/>
        <v>78.758166949999989</v>
      </c>
      <c r="Q19" s="15">
        <f>IF($E$8=2,P19*0.05,0)</f>
        <v>0</v>
      </c>
      <c r="R19" s="15">
        <f>IF($E$8=3,P19*0.15,0)</f>
        <v>0</v>
      </c>
      <c r="S19" s="99"/>
      <c r="T19" s="125"/>
    </row>
    <row r="20" spans="2:20" x14ac:dyDescent="0.35">
      <c r="B20" s="46" t="s">
        <v>234</v>
      </c>
      <c r="C20" s="121">
        <f>SUMIFS(REALIZADO[META_ESSENCIAIS],REALIZADO[PDV],QUISSAMA!$M$7)</f>
        <v>4700</v>
      </c>
      <c r="D20" s="86">
        <f>SUMIFS(PROJEÇÃO[PROJ_ESSEN_A],PROJEÇÃO[PDV],QUISSAMA!$M$7)</f>
        <v>4218</v>
      </c>
      <c r="E20" s="123">
        <f>IFERROR((D20+D21)/C20,0)</f>
        <v>1.7904018936170212</v>
      </c>
      <c r="F20" s="12">
        <f>VLOOKUP($E$20,FATORES!$B$34:$E$36,3)</f>
        <v>1.5E-3</v>
      </c>
      <c r="G20" s="12">
        <f>IFERROR(VLOOKUP($E$20,FATORES!$B$37:$E$38,3),0)</f>
        <v>2.5000000000000001E-2</v>
      </c>
      <c r="H20" s="65">
        <f t="shared" si="1"/>
        <v>6.327</v>
      </c>
      <c r="I20" s="65">
        <f t="shared" si="0"/>
        <v>105.45</v>
      </c>
      <c r="J20" s="65">
        <f t="shared" si="2"/>
        <v>111.777</v>
      </c>
      <c r="K20" s="121">
        <f>SUMIFS(REALIZADO[META_ESSENCIAIS],REALIZADO[COORDENAÇÃO],$P$7)</f>
        <v>58599.999900000003</v>
      </c>
      <c r="L20" s="86">
        <f>SUMIFS(PROJEÇÃO[PROJ_ESSEN_A],PROJEÇÃO[COORDENAÇÃO],$P$7)</f>
        <v>30216.333300000002</v>
      </c>
      <c r="M20" s="97">
        <f>IFERROR((L20+L21)/K20,0)</f>
        <v>1.094031099136572</v>
      </c>
      <c r="N20" s="12">
        <f>IF($M$20&gt;=FATORES!$B$39,FATORES!$D$39,0)</f>
        <v>8.0000000000000002E-3</v>
      </c>
      <c r="O20" s="14">
        <f t="shared" si="4"/>
        <v>33.744</v>
      </c>
      <c r="P20" s="13">
        <f t="shared" si="5"/>
        <v>145.52100000000002</v>
      </c>
      <c r="Q20" s="15">
        <f>IF($F$8=2,P20*0.05,0)</f>
        <v>0</v>
      </c>
      <c r="R20" s="15">
        <f>IF($F$8=3,P20*0.15,0)</f>
        <v>0</v>
      </c>
      <c r="S20" s="99"/>
      <c r="T20" s="125"/>
    </row>
    <row r="21" spans="2:20" x14ac:dyDescent="0.35">
      <c r="B21" s="46" t="s">
        <v>235</v>
      </c>
      <c r="C21" s="122"/>
      <c r="D21" s="87">
        <f>SUMIFS(PROJEÇÃO[PROJ_ESSEN_B],PROJEÇÃO[PDV],QUISSAMA!$M$7)</f>
        <v>4196.8888999999999</v>
      </c>
      <c r="E21" s="123"/>
      <c r="F21" s="12">
        <f>VLOOKUP($E$20,FATORES!$B$34:$E$36,4)</f>
        <v>7.5000000000000002E-4</v>
      </c>
      <c r="G21" s="12">
        <f>IFERROR(VLOOKUP($E$20,FATORES!$B$37:$E$38,4),0)</f>
        <v>0.01</v>
      </c>
      <c r="H21" s="65">
        <f t="shared" si="1"/>
        <v>3.147666675</v>
      </c>
      <c r="I21" s="65">
        <f t="shared" si="0"/>
        <v>41.968888999999997</v>
      </c>
      <c r="J21" s="65">
        <f t="shared" si="2"/>
        <v>45.116555675000001</v>
      </c>
      <c r="K21" s="122"/>
      <c r="L21" s="87">
        <f>SUMIFS(PROJEÇÃO[PROJ_ESSEN_B],PROJEÇÃO[COORDENAÇÃO],$P$7)</f>
        <v>33893.88900000001</v>
      </c>
      <c r="M21" s="97"/>
      <c r="N21" s="12">
        <f>IF($M$20&gt;=FATORES!$B$39,FATORES!$E$39,0)</f>
        <v>4.0000000000000001E-3</v>
      </c>
      <c r="O21" s="14">
        <f t="shared" si="4"/>
        <v>0</v>
      </c>
      <c r="P21" s="13">
        <f t="shared" si="5"/>
        <v>45.116555675000001</v>
      </c>
      <c r="Q21" s="15">
        <f>IF($F$8=2,P21*0.05,0)</f>
        <v>0</v>
      </c>
      <c r="R21" s="15">
        <f>IF($F$8=3,P21*0.15,0)</f>
        <v>0</v>
      </c>
      <c r="S21" s="99"/>
      <c r="T21" s="125"/>
    </row>
    <row r="22" spans="2:20" x14ac:dyDescent="0.35">
      <c r="B22" s="46" t="s">
        <v>212</v>
      </c>
      <c r="C22" s="57">
        <f>SUMIFS(REALIZADO[META_SEGUROS],REALIZADO[PDV],QUISSAMA!$M$7)</f>
        <v>400.00010000000003</v>
      </c>
      <c r="D22" s="79">
        <f>SUMIFS(PROJEÇÃO[PROJ_SEGURO],PROJEÇÃO[PDV],QUISSAMA!$M$7)</f>
        <v>618.34450000000004</v>
      </c>
      <c r="E22" s="83">
        <f>IFERROR(D22/C22,0)</f>
        <v>1.5458608635347841</v>
      </c>
      <c r="F22" s="83">
        <f>VLOOKUP($E$22,FATORES!$O$32:$Q$34,3)</f>
        <v>0.04</v>
      </c>
      <c r="G22" s="12">
        <f>IFERROR(VLOOKUP($E$22,FATORES!$O$35:$Q$36,3),0)</f>
        <v>0.15</v>
      </c>
      <c r="H22" s="65">
        <f t="shared" si="1"/>
        <v>24.733780000000003</v>
      </c>
      <c r="I22" s="65">
        <f t="shared" si="0"/>
        <v>92.751675000000006</v>
      </c>
      <c r="J22" s="65">
        <f t="shared" si="2"/>
        <v>117.485455</v>
      </c>
      <c r="K22" s="57">
        <f>SUMIFS(REALIZADO[META_SEGUROS],REALIZADO[COORDENAÇÃO],$P$7)</f>
        <v>5665</v>
      </c>
      <c r="L22" s="79">
        <f>SUMIFS(PROJEÇÃO[PROJ_SEGURO],PROJEÇÃO[COORDENAÇÃO],$P$7)</f>
        <v>5467.5668999999998</v>
      </c>
      <c r="M22" s="50">
        <f t="shared" ref="M22:M23" si="6">IFERROR(L22/K22,0)</f>
        <v>0.96514861429832299</v>
      </c>
      <c r="N22" s="12">
        <f>IF($M$22&gt;=FATORES!$O$37,FATORES!$Q$37,0)</f>
        <v>0</v>
      </c>
      <c r="O22" s="14">
        <f t="shared" si="4"/>
        <v>0</v>
      </c>
      <c r="P22" s="13">
        <f t="shared" si="5"/>
        <v>117.485455</v>
      </c>
      <c r="Q22" s="15">
        <f>IF($G$8=2,P22*0.05,0)</f>
        <v>0</v>
      </c>
      <c r="R22" s="15">
        <f>IF($G$8=3,P22*0.15,0)</f>
        <v>0</v>
      </c>
      <c r="S22" s="99"/>
      <c r="T22" s="125"/>
    </row>
    <row r="23" spans="2:20" x14ac:dyDescent="0.35">
      <c r="B23" s="48" t="s">
        <v>14</v>
      </c>
      <c r="C23" s="76">
        <f>SUMIFS(REALIZADO[META_SVA],REALIZADO[PDV],QUISSAMA!$M$7)</f>
        <v>455</v>
      </c>
      <c r="D23" s="77">
        <f>SUMIFS(PROJEÇÃO[PROJ_SVA],PROJEÇÃO[PDV],QUISSAMA!$M$7)</f>
        <v>781.44890000000009</v>
      </c>
      <c r="E23" s="82">
        <f>IFERROR(D23/C23,0)</f>
        <v>1.7174701098901102</v>
      </c>
      <c r="F23" s="16">
        <f>IF($E$23&gt;=0,FATORES!$Q$40)</f>
        <v>5.0000000000000001E-3</v>
      </c>
      <c r="G23" s="16">
        <f>IFERROR(VLOOKUP($E$23,FATORES!$O$43:$Q$44,3),0)</f>
        <v>5.0000000000000001E-3</v>
      </c>
      <c r="H23" s="17">
        <f t="shared" si="1"/>
        <v>3.9072445000000005</v>
      </c>
      <c r="I23" s="65">
        <f t="shared" si="0"/>
        <v>3.9072445000000005</v>
      </c>
      <c r="J23" s="17">
        <f t="shared" si="2"/>
        <v>7.8144890000000009</v>
      </c>
      <c r="K23" s="76">
        <f>SUMIFS(REALIZADO[META_SVA],REALIZADO[COORDENAÇÃO],$P$7)</f>
        <v>5384.9997999999996</v>
      </c>
      <c r="L23" s="77">
        <f>SUMIFS(PROJEÇÃO[PROJ_SVA],PROJEÇÃO[COORDENAÇÃO],$P$7)</f>
        <v>5513.6099000000004</v>
      </c>
      <c r="M23" s="51">
        <f t="shared" si="6"/>
        <v>1.0238830278136688</v>
      </c>
      <c r="N23" s="16">
        <f>IF($M$23&gt;=FATORES!$O$45,FATORES!$Q$45,0)</f>
        <v>5.0000000000000001E-3</v>
      </c>
      <c r="O23" s="14">
        <f t="shared" si="4"/>
        <v>3.9072445000000005</v>
      </c>
      <c r="P23" s="18">
        <f t="shared" si="5"/>
        <v>11.721733500000001</v>
      </c>
      <c r="Q23" s="19">
        <f>IF($H$8=2,P23*0.05,0)</f>
        <v>0</v>
      </c>
      <c r="R23" s="19">
        <f>IF($H$8=3,P23*0.15,0)</f>
        <v>0</v>
      </c>
      <c r="S23" s="100"/>
      <c r="T23" s="126"/>
    </row>
    <row r="24" spans="2:20" x14ac:dyDescent="0.35">
      <c r="B24" s="66"/>
      <c r="C24" s="67"/>
      <c r="D24" s="67"/>
      <c r="E24" s="67"/>
      <c r="F24" s="67"/>
      <c r="G24" s="67"/>
      <c r="H24" s="67"/>
      <c r="I24" s="67"/>
      <c r="J24" s="68"/>
      <c r="K24" s="69"/>
      <c r="L24" s="67"/>
      <c r="M24" s="67"/>
      <c r="N24" s="67"/>
      <c r="O24" s="67"/>
      <c r="P24" s="70">
        <f>SUM(P15:P23)</f>
        <v>1563.0717348750002</v>
      </c>
      <c r="Q24" s="70">
        <f t="shared" ref="Q24:R24" si="7">SUM(Q15:Q23)</f>
        <v>0</v>
      </c>
      <c r="R24" s="70">
        <f t="shared" si="7"/>
        <v>0</v>
      </c>
      <c r="S24" s="71">
        <f>IF($P$7="ARIEL",IF(MIN(E15,E17,E18,E19,E20,E22,E23)&gt;=100%,SUM(P24:R24)*S15,""),IF(MIN(E15:E23)&gt;=100%,SUM(P24:R24)*S15,""))</f>
        <v>156.30717348750002</v>
      </c>
      <c r="T24" s="72"/>
    </row>
    <row r="25" spans="2:20" ht="16.149999999999999" customHeight="1" x14ac:dyDescent="0.35">
      <c r="B25" s="80"/>
      <c r="C25" s="6"/>
      <c r="D25" s="6"/>
      <c r="E25" s="6"/>
      <c r="F25" s="6"/>
      <c r="G25" s="6"/>
      <c r="H25" s="6"/>
      <c r="T25" s="61"/>
    </row>
    <row r="26" spans="2:20" ht="18.5" x14ac:dyDescent="0.35">
      <c r="B26" s="141" t="s">
        <v>236</v>
      </c>
      <c r="C26" s="142"/>
      <c r="D26" s="142"/>
      <c r="E26" s="142"/>
      <c r="F26" s="142"/>
      <c r="G26" s="142"/>
      <c r="H26" s="142"/>
      <c r="I26" s="142"/>
      <c r="J26" s="142"/>
      <c r="K26" s="142"/>
      <c r="L26" s="142"/>
      <c r="M26" s="142"/>
      <c r="N26" s="142"/>
      <c r="O26" s="142"/>
      <c r="P26" s="142"/>
      <c r="Q26" s="142"/>
      <c r="R26" s="142"/>
      <c r="S26" s="142"/>
      <c r="T26" s="142"/>
    </row>
    <row r="27" spans="2:20" x14ac:dyDescent="0.35">
      <c r="B27" s="129" t="s">
        <v>9</v>
      </c>
      <c r="C27" s="130"/>
      <c r="D27" s="130"/>
      <c r="E27" s="130"/>
      <c r="F27" s="130"/>
      <c r="G27" s="130"/>
      <c r="H27" s="130"/>
      <c r="I27" s="130"/>
      <c r="J27" s="131"/>
      <c r="K27" s="132" t="s">
        <v>54</v>
      </c>
      <c r="L27" s="130"/>
      <c r="M27" s="130"/>
      <c r="N27" s="130"/>
      <c r="O27" s="130"/>
      <c r="P27" s="130"/>
      <c r="Q27" s="130"/>
      <c r="R27" s="130"/>
      <c r="S27" s="130"/>
      <c r="T27" s="133"/>
    </row>
    <row r="28" spans="2:20" ht="14.5" customHeight="1" x14ac:dyDescent="0.35">
      <c r="B28" s="115" t="s">
        <v>214</v>
      </c>
      <c r="C28" s="116" t="s">
        <v>237</v>
      </c>
      <c r="D28" s="117"/>
      <c r="E28" s="104"/>
      <c r="F28" s="135" t="s">
        <v>216</v>
      </c>
      <c r="G28" s="135" t="s">
        <v>217</v>
      </c>
      <c r="H28" s="135" t="s">
        <v>218</v>
      </c>
      <c r="I28" s="135" t="s">
        <v>219</v>
      </c>
      <c r="J28" s="135" t="s">
        <v>220</v>
      </c>
      <c r="K28" s="116" t="s">
        <v>238</v>
      </c>
      <c r="L28" s="117"/>
      <c r="M28" s="104"/>
      <c r="N28" s="127" t="s">
        <v>222</v>
      </c>
      <c r="O28" s="127" t="s">
        <v>223</v>
      </c>
      <c r="P28" s="127" t="s">
        <v>224</v>
      </c>
      <c r="Q28" s="127" t="s">
        <v>225</v>
      </c>
      <c r="R28" s="127" t="s">
        <v>226</v>
      </c>
      <c r="S28" s="127" t="s">
        <v>227</v>
      </c>
      <c r="T28" s="137" t="s">
        <v>228</v>
      </c>
    </row>
    <row r="29" spans="2:20" ht="14.5" customHeight="1" x14ac:dyDescent="0.35">
      <c r="B29" s="134"/>
      <c r="C29" s="94" t="s">
        <v>229</v>
      </c>
      <c r="D29" s="139" t="s">
        <v>230</v>
      </c>
      <c r="E29" s="140"/>
      <c r="F29" s="136"/>
      <c r="G29" s="136"/>
      <c r="H29" s="136"/>
      <c r="I29" s="136"/>
      <c r="J29" s="136"/>
      <c r="K29" s="52" t="s">
        <v>229</v>
      </c>
      <c r="L29" s="139" t="s">
        <v>230</v>
      </c>
      <c r="M29" s="140"/>
      <c r="N29" s="128"/>
      <c r="O29" s="128"/>
      <c r="P29" s="128"/>
      <c r="Q29" s="128"/>
      <c r="R29" s="128"/>
      <c r="S29" s="128"/>
      <c r="T29" s="138"/>
    </row>
    <row r="30" spans="2:20" x14ac:dyDescent="0.35">
      <c r="B30" s="45" t="s">
        <v>2</v>
      </c>
      <c r="C30" s="76">
        <f>SUMIFS(REALIZADO[META_MOVEL],REALIZADO[PDV],QUISSAMA!$M$7)</f>
        <v>4790</v>
      </c>
      <c r="D30" s="77">
        <f>SUMIFS(REALIZADO[AT_MOVEL],REALIZADO[PDV],QUISSAMA!$M$7)</f>
        <v>555</v>
      </c>
      <c r="E30" s="49">
        <f>IFERROR(D30/C30,0)</f>
        <v>0.11586638830897704</v>
      </c>
      <c r="F30" s="8">
        <f>VLOOKUP($E$30,FATORES!$I$32:$K$34,3)</f>
        <v>5.0000000000000001E-3</v>
      </c>
      <c r="G30" s="8">
        <f>IFERROR(VLOOKUP($E$30,FATORES!$I$35:$K$36,3),0)</f>
        <v>0</v>
      </c>
      <c r="H30" s="9">
        <f>D30*F30</f>
        <v>2.7749999999999999</v>
      </c>
      <c r="I30" s="9">
        <f t="shared" ref="I30:I38" si="8">IF($P$7="ARIEL",
   IF(AND($E$30&gt;=69.5%, AND($E$32&gt;=69.5%, $E$33&gt;=69.5%, $E$33&gt;=69.5%, $E$35&gt;=69.5%, $E$35&gt;=69.5%, $E$37&gt;=69.5%, $E$38&gt;=69.5%)),
      D30*G30,
      0),
   IF(AND($E$30&gt;=69.5%, $E$31&gt;=69.5%, $E$32&gt;=69.5%, $E$33&gt;=69.5%, $E$33&gt;=69.5%, $E$35&gt;=69.5%, $E$35&gt;=69.5%, $E$37&gt;=69.5%, $E$38&gt;=69.5%),
      D30*G30,
      0)
)</f>
        <v>0</v>
      </c>
      <c r="J30" s="9">
        <f>H30+I30</f>
        <v>2.7749999999999999</v>
      </c>
      <c r="K30" s="76">
        <f>SUMIFS(REALIZADO[META_MOVEL],REALIZADO[COORDENAÇÃO],$P$7)</f>
        <v>59729.999899999995</v>
      </c>
      <c r="L30" s="77">
        <f>SUMIFS(REALIZADO[AT_MOVEL],REALIZADO[COORDENAÇÃO],$P$7)</f>
        <v>5335.72</v>
      </c>
      <c r="M30" s="49">
        <f>IFERROR(L30/K30,0)</f>
        <v>8.9330654761980016E-2</v>
      </c>
      <c r="N30" s="8">
        <f>IF($M$30&gt;=FATORES!$I$37,FATORES!$K$37,0)</f>
        <v>0</v>
      </c>
      <c r="O30" s="14">
        <f>IF(E30&gt;=100%,
IF($P$7="ARIEL",
IF(AND($E$30&gt;=69.5%,$E$32&gt;=69.5%,$E$33&gt;=69.5%,$E$35&gt;=69.5%,$E$37&gt;=69.5%,$E$38&gt;=69.5%),
D30*N30,
0),
IF(AND($E$30&gt;=69.5%,$E$31&gt;=69.5%,$E$32&gt;=69.5%,$E$33&gt;=69.5%,$E$35&gt;=69.5%,$E$37&gt;=69.5%,$E$38&gt;=69.5%),
D30*N30,
0)
),0)</f>
        <v>0</v>
      </c>
      <c r="P30" s="10">
        <f>J30+O30</f>
        <v>2.7749999999999999</v>
      </c>
      <c r="Q30" s="11">
        <f>IF($B$8=2,P30*0.05,0)</f>
        <v>0</v>
      </c>
      <c r="R30" s="11">
        <f>IF($B$8=3,P30*0.15,0)</f>
        <v>0</v>
      </c>
      <c r="S30" s="98">
        <v>0.1</v>
      </c>
      <c r="T30" s="124">
        <f>SUM(P39:S39)</f>
        <v>6.6409500000000001</v>
      </c>
    </row>
    <row r="31" spans="2:20" x14ac:dyDescent="0.35">
      <c r="B31" s="46" t="s">
        <v>13</v>
      </c>
      <c r="C31" s="76">
        <f>SUMIFS(REALIZADO[META_FIXA],REALIZADO[PDV],QUISSAMA!$M$7)</f>
        <v>0</v>
      </c>
      <c r="D31" s="77">
        <f>SUMIFS(REALIZADO[AT_FIXA],REALIZADO[PDV],QUISSAMA!$M$7)</f>
        <v>0</v>
      </c>
      <c r="E31" s="50">
        <f>IFERROR(D31/C31,0)</f>
        <v>0</v>
      </c>
      <c r="F31" s="12">
        <f>VLOOKUP($E$31,FATORES!$I$40:$K$42,3)</f>
        <v>5.0000000000000001E-3</v>
      </c>
      <c r="G31" s="12">
        <f>IFERROR(VLOOKUP($E$31,FATORES!$I$43:$K$44,3),0)</f>
        <v>0</v>
      </c>
      <c r="H31" s="65">
        <f t="shared" ref="H31:H38" si="9">D31*F31</f>
        <v>0</v>
      </c>
      <c r="I31" s="65">
        <f t="shared" si="8"/>
        <v>0</v>
      </c>
      <c r="J31" s="65">
        <f t="shared" ref="J31:J38" si="10">H31+I31</f>
        <v>0</v>
      </c>
      <c r="K31" s="76">
        <f>SUMIFS(REALIZADO[META_FIXA],REALIZADO[COORDENAÇÃO],$P$7)</f>
        <v>0</v>
      </c>
      <c r="L31" s="77">
        <f>SUMIFS(REALIZADO[AT_FIXA],REALIZADO[COORDENAÇÃO],$P$7)</f>
        <v>0</v>
      </c>
      <c r="M31" s="50">
        <f t="shared" ref="M31:M32" si="11">IFERROR(L31/K31,0)</f>
        <v>0</v>
      </c>
      <c r="N31" s="12">
        <f>IF($M$31&gt;=FATORES!$I$45,FATORES!$K$45,0)</f>
        <v>0</v>
      </c>
      <c r="O31" s="14">
        <f t="shared" ref="O31:O38" si="12">IF(E31&gt;=100%,
IF($P$7="ARIEL",
IF(AND($E$30&gt;=69.5%,$E$32&gt;=69.5%,$E$33&gt;=69.5%,$E$35&gt;=69.5%,$E$37&gt;=69.5%,$E$38&gt;=69.5%),
D31*N31,
0),
IF(AND($E$30&gt;=69.5%,$E$31&gt;=69.5%,$E$32&gt;=69.5%,$E$33&gt;=69.5%,$E$35&gt;=69.5%,$E$37&gt;=69.5%,$E$38&gt;=69.5%),
D31*N31,
0)
),0)</f>
        <v>0</v>
      </c>
      <c r="P31" s="13">
        <f t="shared" ref="P31:P38" si="13">J31+O31</f>
        <v>0</v>
      </c>
      <c r="Q31" s="15">
        <f>IF($C$8=2,P31*0.05,0)</f>
        <v>0</v>
      </c>
      <c r="R31" s="15">
        <f>IF($C$8=3,P31*0.15,0)</f>
        <v>0</v>
      </c>
      <c r="S31" s="99"/>
      <c r="T31" s="125"/>
    </row>
    <row r="32" spans="2:20" x14ac:dyDescent="0.35">
      <c r="B32" s="46" t="s">
        <v>231</v>
      </c>
      <c r="C32" s="53">
        <f>SUMIFS(REALIZADO[META_SMARTPHONE],REALIZADO[PDV],QUISSAMA!$M$7)</f>
        <v>52000</v>
      </c>
      <c r="D32" s="78">
        <f>SUMIFS(REALIZADO[AT_SMARTPHONE],REALIZADO[PDV],QUISSAMA!$M$7)</f>
        <v>9383</v>
      </c>
      <c r="E32" s="50">
        <f>IFERROR(D32/C32,0)</f>
        <v>0.18044230769230768</v>
      </c>
      <c r="F32" s="12">
        <f>VLOOKUP($E$32,FATORES!$B$53:$D$54,3)</f>
        <v>2.0000000000000001E-4</v>
      </c>
      <c r="G32" s="12">
        <f>IFERROR(VLOOKUP($E$32,FATORES!$B$55:$D$55,3),0)</f>
        <v>0</v>
      </c>
      <c r="H32" s="65">
        <f t="shared" si="9"/>
        <v>1.8766</v>
      </c>
      <c r="I32" s="65">
        <f t="shared" si="8"/>
        <v>0</v>
      </c>
      <c r="J32" s="65">
        <f t="shared" si="10"/>
        <v>1.8766</v>
      </c>
      <c r="K32" s="53">
        <f>SUMIFS(REALIZADO[META_SMARTPHONE],REALIZADO[COORDENAÇÃO],$P$7)</f>
        <v>741000.00010000006</v>
      </c>
      <c r="L32" s="78">
        <f>SUMIFS(REALIZADO[AT_SMARTPHONE],REALIZADO[COORDENAÇÃO],$P$7)</f>
        <v>81442</v>
      </c>
      <c r="M32" s="50">
        <f t="shared" si="11"/>
        <v>0.109908232103926</v>
      </c>
      <c r="N32" s="12">
        <f>IF($M$32&gt;=FATORES!$B$56,FATORES!$D$56,0)</f>
        <v>0</v>
      </c>
      <c r="O32" s="14">
        <f t="shared" si="12"/>
        <v>0</v>
      </c>
      <c r="P32" s="13">
        <f t="shared" si="13"/>
        <v>1.8766</v>
      </c>
      <c r="Q32" s="15">
        <f>IF($D$8=2,P32*0.05,0)</f>
        <v>0</v>
      </c>
      <c r="R32" s="15">
        <f>IF($D$8=3,P32*0.15,0)</f>
        <v>0</v>
      </c>
      <c r="S32" s="99"/>
      <c r="T32" s="125"/>
    </row>
    <row r="33" spans="2:20" x14ac:dyDescent="0.35">
      <c r="B33" s="47" t="s">
        <v>232</v>
      </c>
      <c r="C33" s="121">
        <f>SUMIFS(REALIZADO[META_ACESSORIO],REALIZADO[PDV],QUISSAMA!$M$7)</f>
        <v>5100.0001000000002</v>
      </c>
      <c r="D33" s="86">
        <f>SUMIFS(REALIZADO[AT_ACESSORIOS_A],REALIZADO[PDV],QUISSAMA!$M$7)</f>
        <v>0</v>
      </c>
      <c r="E33" s="123">
        <f>IFERROR((D33+D34)/C33,0)</f>
        <v>4.8627450026912745E-2</v>
      </c>
      <c r="F33" s="12">
        <f>VLOOKUP($E$33,FATORES!$B$44:$E$46,3)</f>
        <v>5.0000000000000001E-4</v>
      </c>
      <c r="G33" s="12">
        <f>IFERROR(VLOOKUP($E$33,FATORES!$B$47:$E$48,3),0)</f>
        <v>0</v>
      </c>
      <c r="H33" s="65">
        <f t="shared" si="9"/>
        <v>0</v>
      </c>
      <c r="I33" s="65">
        <f t="shared" si="8"/>
        <v>0</v>
      </c>
      <c r="J33" s="65">
        <f t="shared" si="10"/>
        <v>0</v>
      </c>
      <c r="K33" s="121">
        <f>SUMIFS(REALIZADO[META_ACESSORIO],REALIZADO[COORDENAÇÃO],$P$7)</f>
        <v>84200.000200000009</v>
      </c>
      <c r="L33" s="86">
        <f>SUMIFS(REALIZADO[AT_ACESSORIOS_A],REALIZADO[COORDENAÇÃO],$P$7)</f>
        <v>0</v>
      </c>
      <c r="M33" s="97">
        <f>IFERROR((L33+L34)/K33,0)</f>
        <v>0.13485748186494659</v>
      </c>
      <c r="N33" s="12">
        <f>IF($M$33&gt;=FATORES!$B$49,FATORES!$D$49,0)</f>
        <v>0</v>
      </c>
      <c r="O33" s="14">
        <f t="shared" si="12"/>
        <v>0</v>
      </c>
      <c r="P33" s="13">
        <f t="shared" si="13"/>
        <v>0</v>
      </c>
      <c r="Q33" s="15">
        <f>IF($E$8=2,P33*0.05,0)</f>
        <v>0</v>
      </c>
      <c r="R33" s="15">
        <f>IF($E$8=3,P33*0.15,0)</f>
        <v>0</v>
      </c>
      <c r="S33" s="99"/>
      <c r="T33" s="125"/>
    </row>
    <row r="34" spans="2:20" x14ac:dyDescent="0.35">
      <c r="B34" s="47" t="s">
        <v>233</v>
      </c>
      <c r="C34" s="122"/>
      <c r="D34" s="87">
        <f>SUMIFS(REALIZADO[AT_ACESSORIOS_B],REALIZADO[PDV],QUISSAMA!$M$7)</f>
        <v>248</v>
      </c>
      <c r="E34" s="123"/>
      <c r="F34" s="12">
        <f>VLOOKUP($E$33,FATORES!$B$44:$E$46,4)</f>
        <v>2.5000000000000001E-4</v>
      </c>
      <c r="G34" s="12">
        <f>IFERROR(VLOOKUP($E$33,FATORES!$B$47:$E$48,4),0)</f>
        <v>0</v>
      </c>
      <c r="H34" s="65">
        <f t="shared" si="9"/>
        <v>6.2E-2</v>
      </c>
      <c r="I34" s="65">
        <f t="shared" si="8"/>
        <v>0</v>
      </c>
      <c r="J34" s="65">
        <f t="shared" si="10"/>
        <v>6.2E-2</v>
      </c>
      <c r="K34" s="122"/>
      <c r="L34" s="87">
        <f>SUMIFS(REALIZADO[AT_ACESSORIOS_B],REALIZADO[COORDENAÇÃO],$P$7)</f>
        <v>11355</v>
      </c>
      <c r="M34" s="97"/>
      <c r="N34" s="12">
        <f>IF($M$33&gt;=FATORES!$B$49,FATORES!$E$49,0)</f>
        <v>0</v>
      </c>
      <c r="O34" s="14">
        <f t="shared" si="12"/>
        <v>0</v>
      </c>
      <c r="P34" s="13">
        <f t="shared" si="13"/>
        <v>6.2E-2</v>
      </c>
      <c r="Q34" s="15">
        <f>IF($E$8=2,P34*0.05,0)</f>
        <v>0</v>
      </c>
      <c r="R34" s="15">
        <f>IF($E$8=3,P34*0.15,0)</f>
        <v>0</v>
      </c>
      <c r="S34" s="99"/>
      <c r="T34" s="125"/>
    </row>
    <row r="35" spans="2:20" x14ac:dyDescent="0.35">
      <c r="B35" s="46" t="s">
        <v>234</v>
      </c>
      <c r="C35" s="121">
        <f>SUMIFS(REALIZADO[META_ESSENCIAIS],REALIZADO[PDV],QUISSAMA!$M$7)</f>
        <v>4700</v>
      </c>
      <c r="D35" s="86">
        <f>SUMIFS(REALIZADO[AT_ESSENCIAIS_A],REALIZADO[PDV],QUISSAMA!$M$7)</f>
        <v>593</v>
      </c>
      <c r="E35" s="123">
        <f>IFERROR((D35+D36)/C35,0)</f>
        <v>0.24404255319148938</v>
      </c>
      <c r="F35" s="12">
        <f>VLOOKUP($E$35,FATORES!$B$34:$E$36,3)</f>
        <v>5.0000000000000001E-4</v>
      </c>
      <c r="G35" s="12">
        <f>IFERROR(VLOOKUP($E$35,FATORES!$B$37:$E$38,3),0)</f>
        <v>0</v>
      </c>
      <c r="H35" s="65">
        <f t="shared" si="9"/>
        <v>0.29649999999999999</v>
      </c>
      <c r="I35" s="65">
        <f t="shared" si="8"/>
        <v>0</v>
      </c>
      <c r="J35" s="65">
        <f t="shared" si="10"/>
        <v>0.29649999999999999</v>
      </c>
      <c r="K35" s="121">
        <f>SUMIFS(REALIZADO[META_ESSENCIAIS],REALIZADO[COORDENAÇÃO],$P$7)</f>
        <v>58599.999900000003</v>
      </c>
      <c r="L35" s="86">
        <f>SUMIFS(REALIZADO[AT_ESSENCIAIS_A],REALIZADO[COORDENAÇÃO],$P$7)</f>
        <v>4117</v>
      </c>
      <c r="M35" s="97">
        <f>IFERROR((L35+L36)/K35,0)</f>
        <v>0.1419112630408042</v>
      </c>
      <c r="N35" s="12">
        <f>IF($M$35&gt;=FATORES!$B$39,FATORES!$D$39,0)</f>
        <v>0</v>
      </c>
      <c r="O35" s="14">
        <f t="shared" si="12"/>
        <v>0</v>
      </c>
      <c r="P35" s="13">
        <f t="shared" si="13"/>
        <v>0.29649999999999999</v>
      </c>
      <c r="Q35" s="15">
        <f>IF($F$8=2,P35*0.05,0)</f>
        <v>0</v>
      </c>
      <c r="R35" s="15">
        <f>IF($F$8=3,P35*0.15,0)</f>
        <v>0</v>
      </c>
      <c r="S35" s="99"/>
      <c r="T35" s="125"/>
    </row>
    <row r="36" spans="2:20" x14ac:dyDescent="0.35">
      <c r="B36" s="46" t="s">
        <v>235</v>
      </c>
      <c r="C36" s="122"/>
      <c r="D36" s="87">
        <f>SUMIFS(REALIZADO[AT_ESSENCIAIS_B],REALIZADO[PDV],QUISSAMA!$M$7)</f>
        <v>554</v>
      </c>
      <c r="E36" s="123"/>
      <c r="F36" s="12">
        <f>VLOOKUP($E$35,FATORES!$B$34:$E$36,4)</f>
        <v>2.5000000000000001E-4</v>
      </c>
      <c r="G36" s="12">
        <f>IFERROR(VLOOKUP($E$35,FATORES!$B$37:$E$38,4),0)</f>
        <v>0</v>
      </c>
      <c r="H36" s="65">
        <f t="shared" si="9"/>
        <v>0.13850000000000001</v>
      </c>
      <c r="I36" s="65">
        <f t="shared" si="8"/>
        <v>0</v>
      </c>
      <c r="J36" s="65">
        <f t="shared" si="10"/>
        <v>0.13850000000000001</v>
      </c>
      <c r="K36" s="122"/>
      <c r="L36" s="87">
        <f>SUMIFS(REALIZADO[AT_ESSENCIAIS_B],REALIZADO[COORDENAÇÃO],$P$7)</f>
        <v>4199</v>
      </c>
      <c r="M36" s="97"/>
      <c r="N36" s="12">
        <f>IF($M$35&gt;=FATORES!$B$39,FATORES!$E$39,0)</f>
        <v>0</v>
      </c>
      <c r="O36" s="14">
        <f t="shared" si="12"/>
        <v>0</v>
      </c>
      <c r="P36" s="13">
        <f t="shared" si="13"/>
        <v>0.13850000000000001</v>
      </c>
      <c r="Q36" s="15">
        <f>IF($F$8=2,P36*0.05,0)</f>
        <v>0</v>
      </c>
      <c r="R36" s="15">
        <f>IF($F$8=3,P36*0.15,0)</f>
        <v>0</v>
      </c>
      <c r="S36" s="99"/>
      <c r="T36" s="125"/>
    </row>
    <row r="37" spans="2:20" x14ac:dyDescent="0.35">
      <c r="B37" s="46" t="s">
        <v>212</v>
      </c>
      <c r="C37" s="57">
        <f>SUMIFS(REALIZADO[META_SEGUROS],REALIZADO[PDV],QUISSAMA!$M$7)</f>
        <v>400.00010000000003</v>
      </c>
      <c r="D37" s="79">
        <f>SUMIFS(REALIZADO[AT_SEGUROS],REALIZADO[PDV],QUISSAMA!$M$7)</f>
        <v>153.6</v>
      </c>
      <c r="E37" s="83">
        <f>IFERROR(D37/C37,0)</f>
        <v>0.38399990400002393</v>
      </c>
      <c r="F37" s="83">
        <f>VLOOKUP($E$37,FATORES!$O$32:$Q$34,3)</f>
        <v>5.0000000000000001E-3</v>
      </c>
      <c r="G37" s="12">
        <f>IFERROR(VLOOKUP($E$37,FATORES!$O$35:$Q$36,3),0)</f>
        <v>0</v>
      </c>
      <c r="H37" s="65">
        <f t="shared" si="9"/>
        <v>0.76800000000000002</v>
      </c>
      <c r="I37" s="65">
        <f t="shared" si="8"/>
        <v>0</v>
      </c>
      <c r="J37" s="65">
        <f t="shared" si="10"/>
        <v>0.76800000000000002</v>
      </c>
      <c r="K37" s="57">
        <f>SUMIFS(REALIZADO[META_SEGUROS],REALIZADO[COORDENAÇÃO],$P$7)</f>
        <v>5665</v>
      </c>
      <c r="L37" s="79">
        <f>SUMIFS(REALIZADO[AT_SEGUROS],REALIZADO[COORDENAÇÃO],$P$7)</f>
        <v>420.19999999999993</v>
      </c>
      <c r="M37" s="50">
        <f t="shared" ref="M37:M38" si="14">IFERROR(L37/K37,0)</f>
        <v>7.4174757281553386E-2</v>
      </c>
      <c r="N37" s="12">
        <f>IF($M$37&gt;=FATORES!$O$37,FATORES!$Q$37,0)</f>
        <v>0</v>
      </c>
      <c r="O37" s="14">
        <f t="shared" si="12"/>
        <v>0</v>
      </c>
      <c r="P37" s="13">
        <f t="shared" si="13"/>
        <v>0.76800000000000002</v>
      </c>
      <c r="Q37" s="15">
        <f>IF($G$8=2,P37*0.05,0)</f>
        <v>0</v>
      </c>
      <c r="R37" s="15">
        <f>IF($G$8=3,P37*0.15,0)</f>
        <v>0</v>
      </c>
      <c r="S37" s="99"/>
      <c r="T37" s="125"/>
    </row>
    <row r="38" spans="2:20" x14ac:dyDescent="0.35">
      <c r="B38" s="48" t="s">
        <v>14</v>
      </c>
      <c r="C38" s="76">
        <f>SUMIFS(REALIZADO[META_SVA],REALIZADO[PDV],QUISSAMA!$M$7)</f>
        <v>455</v>
      </c>
      <c r="D38" s="77">
        <f>SUMIFS(REALIZADO[AT_SVA],REALIZADO[PDV],QUISSAMA!$M$7)</f>
        <v>144.87</v>
      </c>
      <c r="E38" s="82">
        <f>IFERROR(D38/C38,0)</f>
        <v>0.31839560439560438</v>
      </c>
      <c r="F38" s="16">
        <f>IF($E$38&gt;=0,FATORES!$Q$40)</f>
        <v>5.0000000000000001E-3</v>
      </c>
      <c r="G38" s="16">
        <f>IFERROR(VLOOKUP($E$38,FATORES!$O$43:$Q$44,3),0)</f>
        <v>0</v>
      </c>
      <c r="H38" s="17">
        <f t="shared" si="9"/>
        <v>0.72435000000000005</v>
      </c>
      <c r="I38" s="65">
        <f t="shared" si="8"/>
        <v>0</v>
      </c>
      <c r="J38" s="17">
        <f t="shared" si="10"/>
        <v>0.72435000000000005</v>
      </c>
      <c r="K38" s="76">
        <f>SUMIFS(REALIZADO[META_SVA],REALIZADO[COORDENAÇÃO],$P$7)</f>
        <v>5384.9997999999996</v>
      </c>
      <c r="L38" s="77">
        <f>SUMIFS(REALIZADO[AT_SVA],REALIZADO[COORDENAÇÃO],$P$7)</f>
        <v>461.54999999999995</v>
      </c>
      <c r="M38" s="51">
        <f t="shared" si="14"/>
        <v>8.5710309589983644E-2</v>
      </c>
      <c r="N38" s="16">
        <f>IF($M$38&gt;=FATORES!$O$45,FATORES!$Q$45,0)</f>
        <v>0</v>
      </c>
      <c r="O38" s="14">
        <f t="shared" si="12"/>
        <v>0</v>
      </c>
      <c r="P38" s="18">
        <f t="shared" si="13"/>
        <v>0.72435000000000005</v>
      </c>
      <c r="Q38" s="19">
        <f>IF($H$8=2,P38*0.05,0)</f>
        <v>0</v>
      </c>
      <c r="R38" s="19">
        <f>IF($H$8=3,P38*0.15,0)</f>
        <v>0</v>
      </c>
      <c r="S38" s="100"/>
      <c r="T38" s="126"/>
    </row>
    <row r="39" spans="2:20" x14ac:dyDescent="0.35">
      <c r="B39" s="66"/>
      <c r="C39" s="67"/>
      <c r="D39" s="67"/>
      <c r="E39" s="67"/>
      <c r="F39" s="67"/>
      <c r="G39" s="67"/>
      <c r="H39" s="67"/>
      <c r="I39" s="67"/>
      <c r="J39" s="68"/>
      <c r="K39" s="69"/>
      <c r="L39" s="67"/>
      <c r="M39" s="67"/>
      <c r="N39" s="67"/>
      <c r="O39" s="67"/>
      <c r="P39" s="70">
        <f>SUM(P30:P38)</f>
        <v>6.6409500000000001</v>
      </c>
      <c r="Q39" s="70">
        <f t="shared" ref="Q39:R39" si="15">SUM(Q30:Q38)</f>
        <v>0</v>
      </c>
      <c r="R39" s="70">
        <f t="shared" si="15"/>
        <v>0</v>
      </c>
      <c r="S39" s="71" t="str">
        <f>IF($P$7="ARIEL",IF(MIN(E30,E32,E33,E34,E35,E37,E38)&gt;=100%,SUM(P39:R39)*S30,""),IF(MIN(E30:E38)&gt;=100%,SUM(P39:R39)*S30,""))</f>
        <v/>
      </c>
      <c r="T39" s="72"/>
    </row>
    <row r="41" spans="2:20" ht="18.5" x14ac:dyDescent="0.35">
      <c r="B41" s="107" t="s">
        <v>239</v>
      </c>
      <c r="C41" s="108"/>
      <c r="D41" s="108"/>
      <c r="E41" s="108"/>
      <c r="F41" s="108"/>
      <c r="G41" s="108"/>
      <c r="H41" s="108"/>
      <c r="I41" s="108"/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T41" s="108"/>
    </row>
    <row r="42" spans="2:20" x14ac:dyDescent="0.35">
      <c r="B42" s="109" t="s">
        <v>9</v>
      </c>
      <c r="C42" s="110"/>
      <c r="D42" s="110"/>
      <c r="E42" s="110"/>
      <c r="F42" s="110"/>
      <c r="G42" s="110"/>
      <c r="H42" s="110"/>
      <c r="I42" s="110"/>
      <c r="J42" s="111"/>
      <c r="K42" s="112" t="s">
        <v>54</v>
      </c>
      <c r="L42" s="113"/>
      <c r="M42" s="113"/>
      <c r="N42" s="113"/>
      <c r="O42" s="113"/>
      <c r="P42" s="7"/>
      <c r="Q42" s="7"/>
      <c r="R42" s="7"/>
      <c r="S42" s="7"/>
      <c r="T42" s="64"/>
    </row>
    <row r="43" spans="2:20" ht="14.5" customHeight="1" x14ac:dyDescent="0.35">
      <c r="B43" s="114" t="s">
        <v>214</v>
      </c>
      <c r="C43" s="116" t="s">
        <v>237</v>
      </c>
      <c r="D43" s="117"/>
      <c r="E43" s="104"/>
      <c r="F43" s="118" t="s">
        <v>216</v>
      </c>
      <c r="G43" s="118" t="s">
        <v>217</v>
      </c>
      <c r="H43" s="118" t="s">
        <v>218</v>
      </c>
      <c r="I43" s="118" t="s">
        <v>219</v>
      </c>
      <c r="J43" s="118" t="s">
        <v>220</v>
      </c>
      <c r="K43" s="104" t="s">
        <v>238</v>
      </c>
      <c r="L43" s="105"/>
      <c r="M43" s="105"/>
      <c r="N43" s="106" t="s">
        <v>222</v>
      </c>
      <c r="O43" s="106" t="s">
        <v>223</v>
      </c>
      <c r="P43" s="106" t="s">
        <v>224</v>
      </c>
      <c r="Q43" s="106" t="s">
        <v>225</v>
      </c>
      <c r="R43" s="106" t="s">
        <v>226</v>
      </c>
      <c r="S43" s="106" t="s">
        <v>227</v>
      </c>
      <c r="T43" s="119" t="s">
        <v>228</v>
      </c>
    </row>
    <row r="44" spans="2:20" x14ac:dyDescent="0.35">
      <c r="B44" s="115"/>
      <c r="C44" s="94" t="s">
        <v>229</v>
      </c>
      <c r="D44" s="120" t="s">
        <v>230</v>
      </c>
      <c r="E44" s="120"/>
      <c r="F44" s="118"/>
      <c r="G44" s="118"/>
      <c r="H44" s="118"/>
      <c r="I44" s="118"/>
      <c r="J44" s="118"/>
      <c r="K44" s="52" t="s">
        <v>229</v>
      </c>
      <c r="L44" s="120" t="s">
        <v>230</v>
      </c>
      <c r="M44" s="120"/>
      <c r="N44" s="106"/>
      <c r="O44" s="106"/>
      <c r="P44" s="106"/>
      <c r="Q44" s="106"/>
      <c r="R44" s="106"/>
      <c r="S44" s="106"/>
      <c r="T44" s="119"/>
    </row>
    <row r="45" spans="2:20" x14ac:dyDescent="0.35">
      <c r="B45" s="45" t="s">
        <v>2</v>
      </c>
      <c r="C45" s="53">
        <v>4500</v>
      </c>
      <c r="D45" s="54">
        <v>4546.46</v>
      </c>
      <c r="E45" s="49">
        <f>IFERROR(D45/C45,0)</f>
        <v>1.0103244444444444</v>
      </c>
      <c r="F45" s="8">
        <f>VLOOKUP($E$45,FATORES!$I$32:$K$34,3)</f>
        <v>0.04</v>
      </c>
      <c r="G45" s="8">
        <f>IFERROR(VLOOKUP(E45,FATORES!$I$35:$K$36,3),0)</f>
        <v>0.08</v>
      </c>
      <c r="H45" s="9">
        <f>D45*F45</f>
        <v>181.85840000000002</v>
      </c>
      <c r="I45" s="9">
        <f t="shared" ref="I45:I53" si="16">IF($P$7="ARIEL",
   IF(AND($E$45&gt;=69.5%, AND($E$47&gt;=69.5%, $E$48&gt;=69.5%, $E$48&gt;=69.5%, $E$50&gt;=69.5%, $E$50&gt;=69.5%, $E$52&gt;=69.5%, $E$53&gt;=69.5%)),
      D45*G45,
      0),
   IF(AND($E$45&gt;=69.5%, $E$46&gt;=69.5%, $E$47&gt;=69.5%, $E$48&gt;=69.5%, $E$48&gt;=69.5%, $E$50&gt;=69.5%, $E$50&gt;=69.5%, $E$52&gt;=69.5%, $E$53&gt;=69.5%),
      D45*G45,
      0)
)</f>
        <v>363.71680000000003</v>
      </c>
      <c r="J45" s="9">
        <f>H45+I45</f>
        <v>545.5752</v>
      </c>
      <c r="K45" s="53">
        <v>56655</v>
      </c>
      <c r="L45" s="54">
        <v>56670</v>
      </c>
      <c r="M45" s="49">
        <f>IFERROR(L45/K45,0)</f>
        <v>1.0002647603918453</v>
      </c>
      <c r="N45" s="8">
        <f>IF($M$45&gt;=FATORES!$I$37,FATORES!$K$37,0)</f>
        <v>0.03</v>
      </c>
      <c r="O45" s="14">
        <f>IF(E45&gt;=100%,
IF($P$7="ARIEL",
   IF(AND($E$45&gt;=69.5%, AND($E$47&gt;=69.5%, $E$48&gt;=69.5%, $E$48&gt;=69.5%, $E$50&gt;=69.5%, $E$50&gt;=69.5%, $E$52&gt;=69.5%, $E$53&gt;=69.5%)),
      D45*N45,
      0),
   IF(AND($E$45&gt;=69.5%, $E$46&gt;=69.5%, $E$47&gt;=69.5%, $E$48&gt;=69.5%, $E$48&gt;=69.5%, $E$50&gt;=69.5%, $E$50&gt;=69.5%, $E$52&gt;=69.5%, $E$53&gt;=69.5%),
      D45*N45,
      0)
),0)</f>
        <v>136.3938</v>
      </c>
      <c r="P45" s="10">
        <f>J45+O45</f>
        <v>681.96900000000005</v>
      </c>
      <c r="Q45" s="11">
        <f>IF($B$8=2,P45*0.05,0)</f>
        <v>0</v>
      </c>
      <c r="R45" s="11">
        <f>IF($B$8=3,P45*0.15,0)</f>
        <v>0</v>
      </c>
      <c r="S45" s="98">
        <v>0.1</v>
      </c>
      <c r="T45" s="101">
        <f>SUM($P$54:$S$54)</f>
        <v>1002.798665</v>
      </c>
    </row>
    <row r="46" spans="2:20" x14ac:dyDescent="0.35">
      <c r="B46" s="46" t="s">
        <v>13</v>
      </c>
      <c r="C46" s="55">
        <v>0</v>
      </c>
      <c r="D46" s="56">
        <v>0</v>
      </c>
      <c r="E46" s="50">
        <f>IFERROR(D46/C46,0)</f>
        <v>0</v>
      </c>
      <c r="F46" s="12">
        <f>VLOOKUP($E$46,FATORES!$I$40:$K$42,3)</f>
        <v>5.0000000000000001E-3</v>
      </c>
      <c r="G46" s="12">
        <f>IFERROR(VLOOKUP(E46,FATORES!$I$43:$K$44,3),0)</f>
        <v>0</v>
      </c>
      <c r="H46" s="65">
        <f t="shared" ref="H46:H53" si="17">D46*F46</f>
        <v>0</v>
      </c>
      <c r="I46" s="65">
        <f t="shared" si="16"/>
        <v>0</v>
      </c>
      <c r="J46" s="65">
        <f t="shared" ref="J46:J53" si="18">H46+I46</f>
        <v>0</v>
      </c>
      <c r="K46" s="55">
        <v>0</v>
      </c>
      <c r="L46" s="56">
        <v>0</v>
      </c>
      <c r="M46" s="50">
        <f t="shared" ref="M46:M53" si="19">IFERROR(L46/K46,0)</f>
        <v>0</v>
      </c>
      <c r="N46" s="12">
        <f>IF($M$46&gt;=FATORES!$I$45,FATORES!$K$45,0)</f>
        <v>0</v>
      </c>
      <c r="O46" s="14">
        <f t="shared" ref="O46:O53" si="20">IF(E46&gt;=100%,
IF($P$7="ARIEL",
   IF(AND($E$45&gt;=69.5%, AND($E$47&gt;=69.5%, $E$48&gt;=69.5%, $E$48&gt;=69.5%, $E$50&gt;=69.5%, $E$50&gt;=69.5%, $E$52&gt;=69.5%, $E$53&gt;=69.5%)),
      D46*N46,
      0),
   IF(AND($E$45&gt;=69.5%, $E$46&gt;=69.5%, $E$47&gt;=69.5%, $E$48&gt;=69.5%, $E$48&gt;=69.5%, $E$50&gt;=69.5%, $E$50&gt;=69.5%, $E$52&gt;=69.5%, $E$53&gt;=69.5%),
      D46*N46,
      0)
),0)</f>
        <v>0</v>
      </c>
      <c r="P46" s="13">
        <f t="shared" ref="P46:P53" si="21">J46+O46</f>
        <v>0</v>
      </c>
      <c r="Q46" s="15">
        <f>IF($C$8=2,P46*0.05,0)</f>
        <v>0</v>
      </c>
      <c r="R46" s="15">
        <f>IF($C$8=3,P46*0.15,0)</f>
        <v>0</v>
      </c>
      <c r="S46" s="99"/>
      <c r="T46" s="102"/>
    </row>
    <row r="47" spans="2:20" x14ac:dyDescent="0.35">
      <c r="B47" s="46" t="s">
        <v>231</v>
      </c>
      <c r="C47" s="55">
        <v>46000</v>
      </c>
      <c r="D47" s="56">
        <v>49095</v>
      </c>
      <c r="E47" s="50">
        <f>IFERROR(D47/C47,0)</f>
        <v>1.0672826086956522</v>
      </c>
      <c r="F47" s="12">
        <f>VLOOKUP($E$47,FATORES!$B$53:$D$54,3)</f>
        <v>5.0000000000000001E-4</v>
      </c>
      <c r="G47" s="12">
        <f>IFERROR(VLOOKUP(E47,FATORES!$B$55:$D$55,3),0)</f>
        <v>1E-3</v>
      </c>
      <c r="H47" s="65">
        <f t="shared" si="17"/>
        <v>24.547499999999999</v>
      </c>
      <c r="I47" s="65">
        <f t="shared" si="16"/>
        <v>49.094999999999999</v>
      </c>
      <c r="J47" s="65">
        <f t="shared" si="18"/>
        <v>73.642499999999998</v>
      </c>
      <c r="K47" s="55">
        <v>518382</v>
      </c>
      <c r="L47" s="56">
        <v>642889</v>
      </c>
      <c r="M47" s="50">
        <f t="shared" si="19"/>
        <v>1.2401838798415068</v>
      </c>
      <c r="N47" s="12">
        <f>IF($M$47&gt;=FATORES!$B$56,FATORES!$D$56,0)</f>
        <v>5.0000000000000001E-4</v>
      </c>
      <c r="O47" s="14">
        <f t="shared" si="20"/>
        <v>24.547499999999999</v>
      </c>
      <c r="P47" s="13">
        <f t="shared" si="21"/>
        <v>98.19</v>
      </c>
      <c r="Q47" s="15">
        <f>IF($D$8=2,P47*0.05,0)</f>
        <v>0</v>
      </c>
      <c r="R47" s="15">
        <f>IF($D$8=3,P47*0.15,0)</f>
        <v>0</v>
      </c>
      <c r="S47" s="99"/>
      <c r="T47" s="102"/>
    </row>
    <row r="48" spans="2:20" x14ac:dyDescent="0.35">
      <c r="B48" s="47" t="s">
        <v>232</v>
      </c>
      <c r="C48" s="96">
        <v>2000</v>
      </c>
      <c r="D48" s="56">
        <v>3295</v>
      </c>
      <c r="E48" s="97">
        <f>IFERROR((D48+D49)/C48,0)</f>
        <v>1.6475</v>
      </c>
      <c r="F48" s="12">
        <f>VLOOKUP($E$48,FATORES!$B$44:$E$46,3)</f>
        <v>1.5E-3</v>
      </c>
      <c r="G48" s="12">
        <f>IFERROR(VLOOKUP(E48,FATORES!$B$47:$E$48,3),0)</f>
        <v>7.0000000000000001E-3</v>
      </c>
      <c r="H48" s="65">
        <f t="shared" si="17"/>
        <v>4.9424999999999999</v>
      </c>
      <c r="I48" s="65">
        <f t="shared" si="16"/>
        <v>23.065000000000001</v>
      </c>
      <c r="J48" s="65">
        <f t="shared" si="18"/>
        <v>28.0075</v>
      </c>
      <c r="K48" s="96">
        <v>30500</v>
      </c>
      <c r="L48" s="56">
        <v>0</v>
      </c>
      <c r="M48" s="97">
        <f>IFERROR((L48+L49)/K48,0)</f>
        <v>1.6191147540983606</v>
      </c>
      <c r="N48" s="12">
        <f>IF($M$48&gt;=FATORES!$B$49,FATORES!$D$49,0)</f>
        <v>2.5000000000000001E-3</v>
      </c>
      <c r="O48" s="14">
        <f t="shared" si="20"/>
        <v>8.2375000000000007</v>
      </c>
      <c r="P48" s="13">
        <f t="shared" si="21"/>
        <v>36.245000000000005</v>
      </c>
      <c r="Q48" s="15">
        <f>IF($E$8=2,P48*0.05,0)</f>
        <v>0</v>
      </c>
      <c r="R48" s="15">
        <f>IF($E$8=3,P48*0.15,0)</f>
        <v>0</v>
      </c>
      <c r="S48" s="99"/>
      <c r="T48" s="102"/>
    </row>
    <row r="49" spans="2:20" x14ac:dyDescent="0.35">
      <c r="B49" s="47" t="s">
        <v>233</v>
      </c>
      <c r="C49" s="96"/>
      <c r="D49" s="56">
        <v>0</v>
      </c>
      <c r="E49" s="97"/>
      <c r="F49" s="12">
        <f>VLOOKUP($E$48,FATORES!$B$44:$E$46,4)</f>
        <v>7.5000000000000002E-4</v>
      </c>
      <c r="G49" s="12">
        <f>IFERROR(VLOOKUP(E48,FATORES!$B$47:$E$48,4),0)</f>
        <v>3.5000000000000001E-3</v>
      </c>
      <c r="H49" s="65">
        <f t="shared" si="17"/>
        <v>0</v>
      </c>
      <c r="I49" s="65">
        <f t="shared" si="16"/>
        <v>0</v>
      </c>
      <c r="J49" s="65">
        <f t="shared" si="18"/>
        <v>0</v>
      </c>
      <c r="K49" s="96"/>
      <c r="L49" s="56">
        <v>49383</v>
      </c>
      <c r="M49" s="97"/>
      <c r="N49" s="12">
        <f>IF($M$48&gt;=FATORES!$B$49,FATORES!$E$49,0)</f>
        <v>1.25E-3</v>
      </c>
      <c r="O49" s="14">
        <f t="shared" si="20"/>
        <v>0</v>
      </c>
      <c r="P49" s="13">
        <f t="shared" si="21"/>
        <v>0</v>
      </c>
      <c r="Q49" s="15">
        <f>IF($E$8=2,P49*0.05,0)</f>
        <v>0</v>
      </c>
      <c r="R49" s="15">
        <f>IF($E$8=3,P49*0.15,0)</f>
        <v>0</v>
      </c>
      <c r="S49" s="99"/>
      <c r="T49" s="102"/>
    </row>
    <row r="50" spans="2:20" x14ac:dyDescent="0.35">
      <c r="B50" s="46" t="s">
        <v>234</v>
      </c>
      <c r="C50" s="96">
        <v>4250</v>
      </c>
      <c r="D50" s="56">
        <v>0</v>
      </c>
      <c r="E50" s="97">
        <f>IFERROR((D50+D51)/C50,0)</f>
        <v>1.1115294117647059</v>
      </c>
      <c r="F50" s="12">
        <f>VLOOKUP($E$50,FATORES!$B$34:$E$36,3)</f>
        <v>1.5E-3</v>
      </c>
      <c r="G50" s="12">
        <f>IFERROR(VLOOKUP(E50,FATORES!$B$37:$E$38,3),0)</f>
        <v>6.0000000000000001E-3</v>
      </c>
      <c r="H50" s="65">
        <f t="shared" si="17"/>
        <v>0</v>
      </c>
      <c r="I50" s="65">
        <f t="shared" si="16"/>
        <v>0</v>
      </c>
      <c r="J50" s="65">
        <f t="shared" si="18"/>
        <v>0</v>
      </c>
      <c r="K50" s="96">
        <v>45174</v>
      </c>
      <c r="L50" s="56">
        <v>0</v>
      </c>
      <c r="M50" s="97">
        <f>IFERROR((L50+L51)/K50,0)</f>
        <v>1.2789436401469871</v>
      </c>
      <c r="N50" s="12">
        <f>IF($M$50&gt;=FATORES!$B$39,FATORES!$D$39,0)</f>
        <v>8.0000000000000002E-3</v>
      </c>
      <c r="O50" s="14">
        <f t="shared" si="20"/>
        <v>0</v>
      </c>
      <c r="P50" s="13">
        <f t="shared" si="21"/>
        <v>0</v>
      </c>
      <c r="Q50" s="15">
        <f>IF($F$8=2,P50*0.05,0)</f>
        <v>0</v>
      </c>
      <c r="R50" s="15">
        <f>IF($F$8=3,P50*0.15,0)</f>
        <v>0</v>
      </c>
      <c r="S50" s="99"/>
      <c r="T50" s="102"/>
    </row>
    <row r="51" spans="2:20" x14ac:dyDescent="0.35">
      <c r="B51" s="46" t="s">
        <v>235</v>
      </c>
      <c r="C51" s="96"/>
      <c r="D51" s="56">
        <v>4724</v>
      </c>
      <c r="E51" s="97"/>
      <c r="F51" s="12">
        <f>VLOOKUP($E$50,FATORES!$B$34:$E$36,4)</f>
        <v>7.5000000000000002E-4</v>
      </c>
      <c r="G51" s="12">
        <f>IFERROR(VLOOKUP(E50,FATORES!$B$37:$E$38,4),0)</f>
        <v>3.0000000000000001E-3</v>
      </c>
      <c r="H51" s="65">
        <f t="shared" si="17"/>
        <v>3.5430000000000001</v>
      </c>
      <c r="I51" s="65">
        <f t="shared" si="16"/>
        <v>14.172000000000001</v>
      </c>
      <c r="J51" s="65">
        <f t="shared" si="18"/>
        <v>17.715</v>
      </c>
      <c r="K51" s="96"/>
      <c r="L51" s="56">
        <v>57775</v>
      </c>
      <c r="M51" s="97"/>
      <c r="N51" s="12">
        <f>IF($M$50&gt;=FATORES!$B$39,FATORES!$E$39,0)</f>
        <v>4.0000000000000001E-3</v>
      </c>
      <c r="O51" s="14">
        <f t="shared" si="20"/>
        <v>0</v>
      </c>
      <c r="P51" s="13">
        <f t="shared" si="21"/>
        <v>17.715</v>
      </c>
      <c r="Q51" s="15">
        <f>IF($F$8=2,P51*0.05,0)</f>
        <v>0</v>
      </c>
      <c r="R51" s="15">
        <f>IF($F$8=3,P51*0.15,0)</f>
        <v>0</v>
      </c>
      <c r="S51" s="99"/>
      <c r="T51" s="102"/>
    </row>
    <row r="52" spans="2:20" x14ac:dyDescent="0.35">
      <c r="B52" s="46" t="s">
        <v>212</v>
      </c>
      <c r="C52" s="55">
        <v>405</v>
      </c>
      <c r="D52" s="56">
        <v>406</v>
      </c>
      <c r="E52" s="50">
        <f>IFERROR(D52/C52,0)</f>
        <v>1.0024691358024691</v>
      </c>
      <c r="F52" s="83">
        <f>VLOOKUP($E$52,FATORES!$O$32:$Q$34,3)</f>
        <v>0.04</v>
      </c>
      <c r="G52" s="12">
        <f>IFERROR(VLOOKUP(E52,FATORES!$O$35:$Q$36,3),0)</f>
        <v>0.1</v>
      </c>
      <c r="H52" s="65">
        <f t="shared" si="17"/>
        <v>16.240000000000002</v>
      </c>
      <c r="I52" s="65">
        <f t="shared" si="16"/>
        <v>40.6</v>
      </c>
      <c r="J52" s="65">
        <f t="shared" si="18"/>
        <v>56.84</v>
      </c>
      <c r="K52" s="55">
        <v>5105</v>
      </c>
      <c r="L52" s="56">
        <v>5256.5</v>
      </c>
      <c r="M52" s="50">
        <f t="shared" si="19"/>
        <v>1.0296767874632713</v>
      </c>
      <c r="N52" s="12">
        <f>IF($M$52&gt;=FATORES!$O$37,FATORES!$Q$37,0)</f>
        <v>0.03</v>
      </c>
      <c r="O52" s="14">
        <f t="shared" si="20"/>
        <v>12.18</v>
      </c>
      <c r="P52" s="13">
        <f t="shared" si="21"/>
        <v>69.02000000000001</v>
      </c>
      <c r="Q52" s="15">
        <f>IF($G$8=2,P52*0.05,0)</f>
        <v>0</v>
      </c>
      <c r="R52" s="15">
        <f>IF($G$8=3,P52*0.15,0)</f>
        <v>0</v>
      </c>
      <c r="S52" s="99"/>
      <c r="T52" s="102"/>
    </row>
    <row r="53" spans="2:20" x14ac:dyDescent="0.35">
      <c r="B53" s="48" t="s">
        <v>14</v>
      </c>
      <c r="C53" s="57">
        <v>450</v>
      </c>
      <c r="D53" s="58">
        <v>566.41</v>
      </c>
      <c r="E53" s="51">
        <f>IFERROR(D53/C53,0)</f>
        <v>1.2586888888888887</v>
      </c>
      <c r="F53" s="16">
        <f>IF($E$53&gt;=0,FATORES!$Q$40)</f>
        <v>5.0000000000000001E-3</v>
      </c>
      <c r="G53" s="16">
        <f>IFERROR(VLOOKUP(E53,FATORES!$O$43:$Q$44,3),0)</f>
        <v>5.0000000000000001E-3</v>
      </c>
      <c r="H53" s="17">
        <f t="shared" si="17"/>
        <v>2.8320499999999997</v>
      </c>
      <c r="I53" s="65">
        <f t="shared" si="16"/>
        <v>2.8320499999999997</v>
      </c>
      <c r="J53" s="17">
        <f t="shared" si="18"/>
        <v>5.6640999999999995</v>
      </c>
      <c r="K53" s="57">
        <v>5295</v>
      </c>
      <c r="L53" s="58">
        <v>5833.0969999999998</v>
      </c>
      <c r="M53" s="51">
        <f t="shared" si="19"/>
        <v>1.1016236071765817</v>
      </c>
      <c r="N53" s="16">
        <f>IF($M$53&gt;=FATORES!$O$45,FATORES!$Q$45,0)</f>
        <v>5.0000000000000001E-3</v>
      </c>
      <c r="O53" s="14">
        <f t="shared" si="20"/>
        <v>2.8320499999999997</v>
      </c>
      <c r="P53" s="18">
        <f t="shared" si="21"/>
        <v>8.4961500000000001</v>
      </c>
      <c r="Q53" s="19">
        <f>IF($H$8=2,P53*0.05,0)</f>
        <v>0</v>
      </c>
      <c r="R53" s="19">
        <f>IF($H$8=3,P53*0.15,0)</f>
        <v>0</v>
      </c>
      <c r="S53" s="100"/>
      <c r="T53" s="103"/>
    </row>
    <row r="54" spans="2:20" x14ac:dyDescent="0.35">
      <c r="B54" s="66"/>
      <c r="C54" s="67"/>
      <c r="D54" s="67"/>
      <c r="E54" s="67"/>
      <c r="F54" s="67"/>
      <c r="G54" s="67"/>
      <c r="H54" s="67"/>
      <c r="I54" s="67"/>
      <c r="J54" s="68"/>
      <c r="K54" s="69"/>
      <c r="L54" s="67"/>
      <c r="M54" s="67"/>
      <c r="N54" s="67"/>
      <c r="O54" s="67"/>
      <c r="P54" s="70">
        <f>SUM(P45:P53)</f>
        <v>911.63515000000007</v>
      </c>
      <c r="Q54" s="70">
        <f t="shared" ref="Q54:R54" si="22">SUM(Q45:Q53)</f>
        <v>0</v>
      </c>
      <c r="R54" s="70">
        <f t="shared" si="22"/>
        <v>0</v>
      </c>
      <c r="S54" s="71">
        <f>IF($P$7="ARIEL",IF(MIN(E45,E47,E48,E49,E50,E52,E53)&gt;=99.99%,SUM(P54:R54)*S45,""),IF(MIN(E45:E53)&gt;=99.99%,SUM(P54:R54)*S45,""))</f>
        <v>91.163515000000018</v>
      </c>
      <c r="T54" s="72"/>
    </row>
  </sheetData>
  <sheetProtection algorithmName="SHA-512" hashValue="rzaRQ1HRzxZxb/3920tadmPRJjZCHLOqsa1WQAvMMb96xXkw8PGDgOe6s/a/cNY6I2nGFeFdnOwYea1QQ84dxQ==" saltValue="QDTFidy5Belm45YIyfDXVg==" spinCount="100000" sheet="1" objects="1" scenarios="1"/>
  <protectedRanges>
    <protectedRange sqref="B8:H8 C45:D53 K45:L53" name="Intervalo1"/>
  </protectedRanges>
  <mergeCells count="94">
    <mergeCell ref="I13:I14"/>
    <mergeCell ref="B12:J12"/>
    <mergeCell ref="K12:T12"/>
    <mergeCell ref="B2:T4"/>
    <mergeCell ref="B6:H6"/>
    <mergeCell ref="M6:N6"/>
    <mergeCell ref="M7:N7"/>
    <mergeCell ref="B11:T11"/>
    <mergeCell ref="B13:B14"/>
    <mergeCell ref="C13:E13"/>
    <mergeCell ref="F13:F14"/>
    <mergeCell ref="G13:G14"/>
    <mergeCell ref="H13:H14"/>
    <mergeCell ref="D14:E14"/>
    <mergeCell ref="J13:J14"/>
    <mergeCell ref="K13:M13"/>
    <mergeCell ref="S13:S14"/>
    <mergeCell ref="T13:T14"/>
    <mergeCell ref="L14:M14"/>
    <mergeCell ref="N13:N14"/>
    <mergeCell ref="O13:O14"/>
    <mergeCell ref="P13:P14"/>
    <mergeCell ref="Q13:Q14"/>
    <mergeCell ref="R13:R14"/>
    <mergeCell ref="C20:C21"/>
    <mergeCell ref="E20:E21"/>
    <mergeCell ref="K20:K21"/>
    <mergeCell ref="M20:M21"/>
    <mergeCell ref="B26:T26"/>
    <mergeCell ref="S15:S23"/>
    <mergeCell ref="T15:T23"/>
    <mergeCell ref="C18:C19"/>
    <mergeCell ref="E18:E19"/>
    <mergeCell ref="K18:K19"/>
    <mergeCell ref="M18:M19"/>
    <mergeCell ref="B27:J27"/>
    <mergeCell ref="K27:T27"/>
    <mergeCell ref="B28:B29"/>
    <mergeCell ref="C28:E28"/>
    <mergeCell ref="F28:F29"/>
    <mergeCell ref="G28:G29"/>
    <mergeCell ref="H28:H29"/>
    <mergeCell ref="I28:I29"/>
    <mergeCell ref="J28:J29"/>
    <mergeCell ref="S28:S29"/>
    <mergeCell ref="T28:T29"/>
    <mergeCell ref="D29:E29"/>
    <mergeCell ref="L29:M29"/>
    <mergeCell ref="S30:S38"/>
    <mergeCell ref="T30:T38"/>
    <mergeCell ref="K28:M28"/>
    <mergeCell ref="N28:N29"/>
    <mergeCell ref="O28:O29"/>
    <mergeCell ref="P28:P29"/>
    <mergeCell ref="Q28:Q29"/>
    <mergeCell ref="R28:R29"/>
    <mergeCell ref="C33:C34"/>
    <mergeCell ref="E33:E34"/>
    <mergeCell ref="K33:K34"/>
    <mergeCell ref="M33:M34"/>
    <mergeCell ref="C35:C36"/>
    <mergeCell ref="E35:E36"/>
    <mergeCell ref="K35:K36"/>
    <mergeCell ref="M35:M36"/>
    <mergeCell ref="B41:T41"/>
    <mergeCell ref="B42:J42"/>
    <mergeCell ref="K42:O42"/>
    <mergeCell ref="B43:B44"/>
    <mergeCell ref="C43:E43"/>
    <mergeCell ref="F43:F44"/>
    <mergeCell ref="G43:G44"/>
    <mergeCell ref="H43:H44"/>
    <mergeCell ref="I43:I44"/>
    <mergeCell ref="J43:J44"/>
    <mergeCell ref="S43:S44"/>
    <mergeCell ref="T43:T44"/>
    <mergeCell ref="D44:E44"/>
    <mergeCell ref="L44:M44"/>
    <mergeCell ref="S45:S53"/>
    <mergeCell ref="T45:T53"/>
    <mergeCell ref="K43:M43"/>
    <mergeCell ref="N43:N44"/>
    <mergeCell ref="O43:O44"/>
    <mergeCell ref="P43:P44"/>
    <mergeCell ref="Q43:Q44"/>
    <mergeCell ref="R43:R44"/>
    <mergeCell ref="C48:C49"/>
    <mergeCell ref="E48:E49"/>
    <mergeCell ref="K48:K49"/>
    <mergeCell ref="M48:M49"/>
    <mergeCell ref="C50:C51"/>
    <mergeCell ref="E50:E51"/>
    <mergeCell ref="K50:K51"/>
    <mergeCell ref="M50:M51"/>
  </mergeCells>
  <conditionalFormatting sqref="E15:E18 E20 E22:E23">
    <cfRule type="cellIs" dxfId="594" priority="22" operator="between">
      <formula>0.7</formula>
      <formula>1</formula>
    </cfRule>
    <cfRule type="cellIs" dxfId="593" priority="23" operator="greaterThanOrEqual">
      <formula>1</formula>
    </cfRule>
    <cfRule type="cellIs" dxfId="592" priority="24" operator="lessThan">
      <formula>0.7</formula>
    </cfRule>
  </conditionalFormatting>
  <conditionalFormatting sqref="E30:E33 E35 E37:E38">
    <cfRule type="cellIs" dxfId="591" priority="10" operator="between">
      <formula>0.7</formula>
      <formula>1</formula>
    </cfRule>
    <cfRule type="cellIs" dxfId="590" priority="11" operator="greaterThanOrEqual">
      <formula>1</formula>
    </cfRule>
    <cfRule type="cellIs" dxfId="589" priority="12" operator="lessThan">
      <formula>0.7</formula>
    </cfRule>
  </conditionalFormatting>
  <conditionalFormatting sqref="E45:E48 E50 E52:E53">
    <cfRule type="cellIs" dxfId="588" priority="34" operator="between">
      <formula>0.7</formula>
      <formula>1</formula>
    </cfRule>
    <cfRule type="cellIs" dxfId="587" priority="35" operator="greaterThanOrEqual">
      <formula>1</formula>
    </cfRule>
    <cfRule type="cellIs" dxfId="586" priority="36" operator="lessThan">
      <formula>0.7</formula>
    </cfRule>
  </conditionalFormatting>
  <conditionalFormatting sqref="M15:M18">
    <cfRule type="cellIs" dxfId="585" priority="16" operator="between">
      <formula>0.7</formula>
      <formula>1</formula>
    </cfRule>
    <cfRule type="cellIs" dxfId="584" priority="17" operator="greaterThanOrEqual">
      <formula>1</formula>
    </cfRule>
    <cfRule type="cellIs" dxfId="583" priority="18" operator="lessThan">
      <formula>0.7</formula>
    </cfRule>
  </conditionalFormatting>
  <conditionalFormatting sqref="M20">
    <cfRule type="cellIs" dxfId="582" priority="13" operator="between">
      <formula>0.7</formula>
      <formula>1</formula>
    </cfRule>
    <cfRule type="cellIs" dxfId="581" priority="14" operator="greaterThanOrEqual">
      <formula>1</formula>
    </cfRule>
    <cfRule type="cellIs" dxfId="580" priority="15" operator="lessThan">
      <formula>0.7</formula>
    </cfRule>
  </conditionalFormatting>
  <conditionalFormatting sqref="M22:M23">
    <cfRule type="cellIs" dxfId="579" priority="19" operator="between">
      <formula>0.7</formula>
      <formula>1</formula>
    </cfRule>
    <cfRule type="cellIs" dxfId="578" priority="20" operator="greaterThanOrEqual">
      <formula>1</formula>
    </cfRule>
    <cfRule type="cellIs" dxfId="577" priority="21" operator="lessThan">
      <formula>0.7</formula>
    </cfRule>
  </conditionalFormatting>
  <conditionalFormatting sqref="M30:M33">
    <cfRule type="cellIs" dxfId="576" priority="4" operator="between">
      <formula>0.7</formula>
      <formula>1</formula>
    </cfRule>
    <cfRule type="cellIs" dxfId="575" priority="5" operator="greaterThanOrEqual">
      <formula>1</formula>
    </cfRule>
    <cfRule type="cellIs" dxfId="574" priority="6" operator="lessThan">
      <formula>0.7</formula>
    </cfRule>
  </conditionalFormatting>
  <conditionalFormatting sqref="M35">
    <cfRule type="cellIs" dxfId="573" priority="1" operator="between">
      <formula>0.7</formula>
      <formula>1</formula>
    </cfRule>
    <cfRule type="cellIs" dxfId="572" priority="2" operator="greaterThanOrEqual">
      <formula>1</formula>
    </cfRule>
    <cfRule type="cellIs" dxfId="571" priority="3" operator="lessThan">
      <formula>0.7</formula>
    </cfRule>
  </conditionalFormatting>
  <conditionalFormatting sqref="M37:M38">
    <cfRule type="cellIs" dxfId="570" priority="7" operator="between">
      <formula>0.7</formula>
      <formula>1</formula>
    </cfRule>
    <cfRule type="cellIs" dxfId="569" priority="8" operator="greaterThanOrEqual">
      <formula>1</formula>
    </cfRule>
    <cfRule type="cellIs" dxfId="568" priority="9" operator="lessThan">
      <formula>0.7</formula>
    </cfRule>
  </conditionalFormatting>
  <conditionalFormatting sqref="M45:M48">
    <cfRule type="cellIs" dxfId="567" priority="28" operator="between">
      <formula>0.7</formula>
      <formula>1</formula>
    </cfRule>
    <cfRule type="cellIs" dxfId="566" priority="29" operator="greaterThanOrEqual">
      <formula>1</formula>
    </cfRule>
    <cfRule type="cellIs" dxfId="565" priority="30" operator="lessThan">
      <formula>0.7</formula>
    </cfRule>
  </conditionalFormatting>
  <conditionalFormatting sqref="M50">
    <cfRule type="cellIs" dxfId="564" priority="25" operator="between">
      <formula>0.7</formula>
      <formula>1</formula>
    </cfRule>
    <cfRule type="cellIs" dxfId="563" priority="26" operator="greaterThanOrEqual">
      <formula>1</formula>
    </cfRule>
    <cfRule type="cellIs" dxfId="562" priority="27" operator="lessThan">
      <formula>0.7</formula>
    </cfRule>
  </conditionalFormatting>
  <conditionalFormatting sqref="M52:M53">
    <cfRule type="cellIs" dxfId="561" priority="31" operator="between">
      <formula>0.7</formula>
      <formula>1</formula>
    </cfRule>
    <cfRule type="cellIs" dxfId="560" priority="32" operator="greaterThanOrEqual">
      <formula>1</formula>
    </cfRule>
    <cfRule type="cellIs" dxfId="559" priority="33" operator="lessThan">
      <formula>0.7</formula>
    </cfRule>
  </conditionalFormatting>
  <dataValidations count="1">
    <dataValidation type="list" allowBlank="1" showInputMessage="1" showErrorMessage="1" sqref="B8:H8" xr:uid="{42C15FBF-A2E8-4F18-A37D-D206F9E3E5D6}">
      <formula1>$V$6:$X$6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AEC8D-F7E7-4FF7-811A-73C88DD45D61}">
  <dimension ref="B1:X54"/>
  <sheetViews>
    <sheetView showGridLines="0" topLeftCell="A5" zoomScale="70" zoomScaleNormal="70" workbookViewId="0">
      <selection activeCell="F64" sqref="F64"/>
    </sheetView>
  </sheetViews>
  <sheetFormatPr defaultRowHeight="14.5" x14ac:dyDescent="0.35"/>
  <cols>
    <col min="1" max="1" width="2.1796875" customWidth="1"/>
    <col min="2" max="2" width="16.453125" customWidth="1"/>
    <col min="3" max="3" width="15" bestFit="1" customWidth="1"/>
    <col min="4" max="4" width="14.54296875" customWidth="1"/>
    <col min="5" max="5" width="13.453125" bestFit="1" customWidth="1"/>
    <col min="6" max="6" width="14" customWidth="1"/>
    <col min="7" max="7" width="18.7265625" customWidth="1"/>
    <col min="8" max="8" width="15" customWidth="1"/>
    <col min="9" max="9" width="20" customWidth="1"/>
    <col min="10" max="10" width="21.1796875" customWidth="1"/>
    <col min="11" max="12" width="16.453125" customWidth="1"/>
    <col min="13" max="13" width="9.7265625" customWidth="1"/>
    <col min="14" max="14" width="20.54296875" customWidth="1"/>
    <col min="15" max="15" width="21" customWidth="1"/>
    <col min="16" max="16" width="15.26953125" customWidth="1"/>
    <col min="17" max="17" width="13" bestFit="1" customWidth="1"/>
    <col min="18" max="18" width="10.453125" bestFit="1" customWidth="1"/>
    <col min="19" max="19" width="12.7265625" bestFit="1" customWidth="1"/>
    <col min="20" max="20" width="14.453125" customWidth="1"/>
  </cols>
  <sheetData>
    <row r="1" spans="2:24" x14ac:dyDescent="0.35">
      <c r="B1" s="59"/>
    </row>
    <row r="2" spans="2:24" x14ac:dyDescent="0.35">
      <c r="B2" s="143" t="s">
        <v>207</v>
      </c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5"/>
    </row>
    <row r="3" spans="2:24" x14ac:dyDescent="0.35">
      <c r="B3" s="146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8"/>
    </row>
    <row r="4" spans="2:24" x14ac:dyDescent="0.35">
      <c r="B4" s="149"/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1"/>
    </row>
    <row r="5" spans="2:24" x14ac:dyDescent="0.35">
      <c r="B5" s="60"/>
      <c r="T5" s="61"/>
    </row>
    <row r="6" spans="2:24" ht="14.5" customHeight="1" x14ac:dyDescent="0.35">
      <c r="B6" s="152" t="s">
        <v>208</v>
      </c>
      <c r="C6" s="153"/>
      <c r="D6" s="153"/>
      <c r="E6" s="153"/>
      <c r="F6" s="153"/>
      <c r="G6" s="153"/>
      <c r="H6" s="154"/>
      <c r="M6" s="155" t="s">
        <v>54</v>
      </c>
      <c r="N6" s="156"/>
      <c r="P6" s="74" t="s">
        <v>23</v>
      </c>
      <c r="T6" s="61"/>
      <c r="V6" s="1">
        <v>0</v>
      </c>
      <c r="W6" s="1">
        <v>2</v>
      </c>
      <c r="X6" s="1">
        <v>3</v>
      </c>
    </row>
    <row r="7" spans="2:24" ht="14.5" customHeight="1" x14ac:dyDescent="0.35">
      <c r="B7" s="62" t="s">
        <v>209</v>
      </c>
      <c r="C7" s="2" t="s">
        <v>13</v>
      </c>
      <c r="D7" s="2" t="s">
        <v>210</v>
      </c>
      <c r="E7" s="2" t="s">
        <v>16</v>
      </c>
      <c r="F7" s="2" t="s">
        <v>211</v>
      </c>
      <c r="G7" s="2" t="s">
        <v>212</v>
      </c>
      <c r="H7" s="3" t="s">
        <v>14</v>
      </c>
      <c r="M7" s="157" t="s">
        <v>34</v>
      </c>
      <c r="N7" s="158"/>
      <c r="P7" s="75" t="s">
        <v>28</v>
      </c>
      <c r="T7" s="61"/>
    </row>
    <row r="8" spans="2:24" ht="14.5" customHeight="1" x14ac:dyDescent="0.35">
      <c r="B8" s="63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5">
        <v>0</v>
      </c>
      <c r="T8" s="61"/>
    </row>
    <row r="9" spans="2:24" x14ac:dyDescent="0.35">
      <c r="B9" s="84"/>
      <c r="C9" s="85"/>
      <c r="D9" s="85"/>
      <c r="E9" s="85"/>
      <c r="F9" s="85"/>
      <c r="G9" s="85"/>
      <c r="H9" s="85"/>
    </row>
    <row r="10" spans="2:24" x14ac:dyDescent="0.35">
      <c r="B10" s="84"/>
      <c r="C10" s="85"/>
      <c r="D10" s="85"/>
      <c r="E10" s="85"/>
      <c r="F10" s="85"/>
      <c r="G10" s="85"/>
      <c r="H10" s="85"/>
    </row>
    <row r="11" spans="2:24" ht="18.5" x14ac:dyDescent="0.35">
      <c r="B11" s="159" t="s">
        <v>213</v>
      </c>
      <c r="C11" s="160"/>
      <c r="D11" s="160"/>
      <c r="E11" s="160"/>
      <c r="F11" s="160"/>
      <c r="G11" s="160"/>
      <c r="H11" s="160"/>
      <c r="I11" s="160"/>
      <c r="J11" s="160"/>
      <c r="K11" s="160"/>
      <c r="L11" s="160"/>
      <c r="M11" s="160"/>
      <c r="N11" s="160"/>
      <c r="O11" s="160"/>
      <c r="P11" s="160"/>
      <c r="Q11" s="160"/>
      <c r="R11" s="160"/>
      <c r="S11" s="160"/>
      <c r="T11" s="160"/>
    </row>
    <row r="12" spans="2:24" x14ac:dyDescent="0.35">
      <c r="B12" s="129" t="s">
        <v>9</v>
      </c>
      <c r="C12" s="130"/>
      <c r="D12" s="130"/>
      <c r="E12" s="130"/>
      <c r="F12" s="130"/>
      <c r="G12" s="130"/>
      <c r="H12" s="130"/>
      <c r="I12" s="130"/>
      <c r="J12" s="131"/>
      <c r="K12" s="132" t="s">
        <v>54</v>
      </c>
      <c r="L12" s="130"/>
      <c r="M12" s="130"/>
      <c r="N12" s="130"/>
      <c r="O12" s="130"/>
      <c r="P12" s="130"/>
      <c r="Q12" s="130"/>
      <c r="R12" s="130"/>
      <c r="S12" s="130"/>
      <c r="T12" s="133"/>
    </row>
    <row r="13" spans="2:24" ht="14.5" customHeight="1" x14ac:dyDescent="0.35">
      <c r="B13" s="115" t="s">
        <v>214</v>
      </c>
      <c r="C13" s="116" t="s">
        <v>215</v>
      </c>
      <c r="D13" s="117"/>
      <c r="E13" s="104"/>
      <c r="F13" s="135" t="s">
        <v>216</v>
      </c>
      <c r="G13" s="135" t="s">
        <v>217</v>
      </c>
      <c r="H13" s="135" t="s">
        <v>218</v>
      </c>
      <c r="I13" s="135" t="s">
        <v>219</v>
      </c>
      <c r="J13" s="135" t="s">
        <v>220</v>
      </c>
      <c r="K13" s="116" t="s">
        <v>221</v>
      </c>
      <c r="L13" s="117"/>
      <c r="M13" s="104"/>
      <c r="N13" s="127" t="s">
        <v>222</v>
      </c>
      <c r="O13" s="127" t="s">
        <v>223</v>
      </c>
      <c r="P13" s="127" t="s">
        <v>224</v>
      </c>
      <c r="Q13" s="127" t="s">
        <v>225</v>
      </c>
      <c r="R13" s="127" t="s">
        <v>226</v>
      </c>
      <c r="S13" s="127" t="s">
        <v>227</v>
      </c>
      <c r="T13" s="137" t="s">
        <v>228</v>
      </c>
    </row>
    <row r="14" spans="2:24" x14ac:dyDescent="0.35">
      <c r="B14" s="134"/>
      <c r="C14" s="94" t="s">
        <v>229</v>
      </c>
      <c r="D14" s="139" t="s">
        <v>230</v>
      </c>
      <c r="E14" s="140"/>
      <c r="F14" s="136"/>
      <c r="G14" s="136"/>
      <c r="H14" s="136"/>
      <c r="I14" s="136"/>
      <c r="J14" s="136"/>
      <c r="K14" s="52" t="s">
        <v>229</v>
      </c>
      <c r="L14" s="139" t="s">
        <v>230</v>
      </c>
      <c r="M14" s="140"/>
      <c r="N14" s="128"/>
      <c r="O14" s="128"/>
      <c r="P14" s="128"/>
      <c r="Q14" s="128"/>
      <c r="R14" s="128"/>
      <c r="S14" s="128"/>
      <c r="T14" s="138"/>
    </row>
    <row r="15" spans="2:24" x14ac:dyDescent="0.35">
      <c r="B15" s="45" t="s">
        <v>2</v>
      </c>
      <c r="C15" s="76">
        <f>SUMIFS(REALIZADO[META_MOVEL],REALIZADO[PDV],'ST PADUA'!$M$7)</f>
        <v>7950</v>
      </c>
      <c r="D15" s="77">
        <f>SUMIFS(PROJEÇÃO[PROJ_MOVEL],PROJEÇÃO[PDV],'ST PADUA'!$M$7)</f>
        <v>4414.3333000000002</v>
      </c>
      <c r="E15" s="49">
        <f>IFERROR(D15/C15,0)</f>
        <v>0.55526205031446541</v>
      </c>
      <c r="F15" s="8">
        <f>VLOOKUP($E$15,FATORES!$I$32:$K$34,3)</f>
        <v>5.0000000000000001E-3</v>
      </c>
      <c r="G15" s="8">
        <f>IFERROR(VLOOKUP($E$15,FATORES!$I$35:$K$36,3),0)</f>
        <v>0</v>
      </c>
      <c r="H15" s="9">
        <f>D15*F15</f>
        <v>22.071666500000003</v>
      </c>
      <c r="I15" s="9">
        <f t="shared" ref="I15:I23" si="0">IF($P$7="ARIEL",
   IF(AND($E$15&gt;=69.5%, AND($E$17&gt;=69.5%, $E$18&gt;=69.5%, $E$18&gt;=69.5%, $E$20&gt;=69.5%, $E$20&gt;=69.5%, $E$22&gt;=69.5%, $E$23&gt;=69.5%)),
      D15*G15,
      0),
   IF(AND($E$15&gt;=69.5%, $E$16&gt;=69.5%, $E$17&gt;=69.5%, $E$18&gt;=69.5%, $E$18&gt;=69.5%, $E$20&gt;=69.5%, $E$20&gt;=69.5%, $E$22&gt;=69.5%, $E$23&gt;=69.5%),
      D15*G15,
      0)
)</f>
        <v>0</v>
      </c>
      <c r="J15" s="9">
        <f>H15+I15</f>
        <v>22.071666500000003</v>
      </c>
      <c r="K15" s="76">
        <f>SUMIFS(REALIZADO[META_MOVEL],REALIZADO[COORDENAÇÃO],$P$7)</f>
        <v>59729.999899999995</v>
      </c>
      <c r="L15" s="77">
        <f>SUMIFS(PROJEÇÃO[PROJ_MOVEL],PROJEÇÃO[COORDENAÇÃO],$P$7)</f>
        <v>52523.219899999989</v>
      </c>
      <c r="M15" s="49">
        <f>IFERROR(L15/K15,0)</f>
        <v>0.87934404801497401</v>
      </c>
      <c r="N15" s="8">
        <f>IF($M$15&gt;=FATORES!$I$37,FATORES!$K$37,0)</f>
        <v>0</v>
      </c>
      <c r="O15" s="14">
        <f>IF(E15&gt;=100%,
   IF($P$7="ARIEL",
      IF(AND($E$15&gt;=69.5%,$E$17&gt;=69.5%,$E$18&gt;=69.5%,$E$20&gt;=69.5%,$E$22&gt;=69.5%,$E$23&gt;=69.5%),
         D15*N15,
         0
      ),
      IF(AND($E$15&gt;=69.5%,$E$16&gt;=69.5%,$E$17&gt;=69.5%,$E$18&gt;=69.5%,$E$20&gt;=69.5%,$E$22&gt;=69.5%,$E$23&gt;=69.5%),
         D15*N15,
         0
      )
   ),
0)</f>
        <v>0</v>
      </c>
      <c r="P15" s="10">
        <f>J15+O15</f>
        <v>22.071666500000003</v>
      </c>
      <c r="Q15" s="11">
        <f>IF($B$8=2,P15*0.05,0)</f>
        <v>0</v>
      </c>
      <c r="R15" s="11">
        <f>IF($B$8=3,P15*0.15,0)</f>
        <v>0</v>
      </c>
      <c r="S15" s="98">
        <v>0.1</v>
      </c>
      <c r="T15" s="124">
        <f>SUM(P24:S24)</f>
        <v>116.53143215000001</v>
      </c>
    </row>
    <row r="16" spans="2:24" x14ac:dyDescent="0.35">
      <c r="B16" s="46" t="s">
        <v>13</v>
      </c>
      <c r="C16" s="76">
        <f>SUMIFS(REALIZADO[META_FIXA],REALIZADO[PDV],'ST PADUA'!$M$7)</f>
        <v>0</v>
      </c>
      <c r="D16" s="77">
        <f>SUMIFS(PROJEÇÃO[PROJ_FIXA],PROJEÇÃO[PDV],'ST PADUA'!$M$7)</f>
        <v>0</v>
      </c>
      <c r="E16" s="50">
        <f>IFERROR(D16/C16,0)</f>
        <v>0</v>
      </c>
      <c r="F16" s="12">
        <f>VLOOKUP($E$16,FATORES!$I$40:$K$42,3)</f>
        <v>5.0000000000000001E-3</v>
      </c>
      <c r="G16" s="12">
        <f>IFERROR(VLOOKUP($E$16,FATORES!$I$43:$K$44,3),0)</f>
        <v>0</v>
      </c>
      <c r="H16" s="65">
        <f t="shared" ref="H16:H23" si="1">D16*F16</f>
        <v>0</v>
      </c>
      <c r="I16" s="65">
        <f t="shared" si="0"/>
        <v>0</v>
      </c>
      <c r="J16" s="65">
        <f t="shared" ref="J16:J23" si="2">H16+I16</f>
        <v>0</v>
      </c>
      <c r="K16" s="76">
        <f>SUMIFS(REALIZADO[META_FIXA],REALIZADO[COORDENAÇÃO],$P$7)</f>
        <v>0</v>
      </c>
      <c r="L16" s="77">
        <f>SUMIFS(PROJEÇÃO[PROJ_FIXA],PROJEÇÃO[COORDENAÇÃO],$P$7)</f>
        <v>0</v>
      </c>
      <c r="M16" s="50">
        <f t="shared" ref="M16:M17" si="3">IFERROR(L16/K16,0)</f>
        <v>0</v>
      </c>
      <c r="N16" s="12">
        <f>IF($M$16&gt;=FATORES!$I$45,FATORES!$K$45,0)</f>
        <v>0</v>
      </c>
      <c r="O16" s="14">
        <f t="shared" ref="O16:O23" si="4">IF(E16&gt;=100%,
   IF($P$7="ARIEL",
      IF(AND($E$15&gt;=69.5%,$E$17&gt;=69.5%,$E$18&gt;=69.5%,$E$20&gt;=69.5%,$E$22&gt;=69.5%,$E$23&gt;=69.5%),
         D16*N16,
         0
      ),
      IF(AND($E$15&gt;=69.5%,$E$16&gt;=69.5%,$E$17&gt;=69.5%,$E$18&gt;=69.5%,$E$20&gt;=69.5%,$E$22&gt;=69.5%,$E$23&gt;=69.5%),
         D16*N16,
         0
      )
   ),
0)</f>
        <v>0</v>
      </c>
      <c r="P16" s="13">
        <f t="shared" ref="P16:P23" si="5">J16+O16</f>
        <v>0</v>
      </c>
      <c r="Q16" s="15">
        <f>IF($C$8=2,P16*0.05,0)</f>
        <v>0</v>
      </c>
      <c r="R16" s="15">
        <f>IF($C$8=3,P16*0.15,0)</f>
        <v>0</v>
      </c>
      <c r="S16" s="99"/>
      <c r="T16" s="125"/>
    </row>
    <row r="17" spans="2:20" x14ac:dyDescent="0.35">
      <c r="B17" s="46" t="s">
        <v>231</v>
      </c>
      <c r="C17" s="53">
        <f>SUMIFS(REALIZADO[META_SMARTPHONE],REALIZADO[PDV],'ST PADUA'!$M$7)</f>
        <v>81000</v>
      </c>
      <c r="D17" s="78">
        <f>SUMIFS(PROJEÇÃO[PROJ_APARELHO],PROJEÇÃO[PDV],'ST PADUA'!$M$7)</f>
        <v>95817</v>
      </c>
      <c r="E17" s="50">
        <f>IFERROR(D17/C17,0)</f>
        <v>1.1829259259259259</v>
      </c>
      <c r="F17" s="12">
        <f>VLOOKUP($E$17,FATORES!$B$53:$D$54,3)</f>
        <v>5.0000000000000001E-4</v>
      </c>
      <c r="G17" s="12">
        <f>IFERROR(VLOOKUP($E$17,FATORES!$B$55:$D$55,3),0)</f>
        <v>1E-3</v>
      </c>
      <c r="H17" s="65">
        <f t="shared" si="1"/>
        <v>47.908500000000004</v>
      </c>
      <c r="I17" s="65">
        <f t="shared" si="0"/>
        <v>0</v>
      </c>
      <c r="J17" s="65">
        <f t="shared" si="2"/>
        <v>47.908500000000004</v>
      </c>
      <c r="K17" s="53">
        <f>SUMIFS(REALIZADO[META_SMARTPHONE],REALIZADO[COORDENAÇÃO],$P$7)</f>
        <v>741000.00010000006</v>
      </c>
      <c r="L17" s="78">
        <f>SUMIFS(PROJEÇÃO[PROJ_APARELHO],PROJEÇÃO[COORDENAÇÃO],$P$7)</f>
        <v>619809.5554999999</v>
      </c>
      <c r="M17" s="50">
        <f t="shared" si="3"/>
        <v>0.8364501422622872</v>
      </c>
      <c r="N17" s="12">
        <f>IF($M$17&gt;=FATORES!$B$56,FATORES!$D$56,0)</f>
        <v>0</v>
      </c>
      <c r="O17" s="14">
        <f t="shared" si="4"/>
        <v>0</v>
      </c>
      <c r="P17" s="13">
        <f t="shared" si="5"/>
        <v>47.908500000000004</v>
      </c>
      <c r="Q17" s="15">
        <f>IF($D$8=2,P17*0.05,0)</f>
        <v>0</v>
      </c>
      <c r="R17" s="15">
        <f>IF($D$8=3,P17*0.15,0)</f>
        <v>0</v>
      </c>
      <c r="S17" s="99"/>
      <c r="T17" s="125"/>
    </row>
    <row r="18" spans="2:20" x14ac:dyDescent="0.35">
      <c r="B18" s="47" t="s">
        <v>232</v>
      </c>
      <c r="C18" s="121">
        <f>SUMIFS(REALIZADO[META_ACESSORIO],REALIZADO[PDV],'ST PADUA'!$M$7)</f>
        <v>10600</v>
      </c>
      <c r="D18" s="86">
        <f>SUMIFS(PROJEÇÃO[PROJ_ELETRO_A],PROJEÇÃO[PDV],'ST PADUA'!$M$7)</f>
        <v>420.11110000000002</v>
      </c>
      <c r="E18" s="123">
        <f>IFERROR((D18+D19)/C18,0)</f>
        <v>0.61799790566037738</v>
      </c>
      <c r="F18" s="12">
        <f>VLOOKUP($E$18,FATORES!$B$44:$E$46,3)</f>
        <v>5.0000000000000001E-4</v>
      </c>
      <c r="G18" s="12">
        <f>IFERROR(VLOOKUP($E$18,FATORES!$B$47:$E$48,3),0)</f>
        <v>0</v>
      </c>
      <c r="H18" s="65">
        <f t="shared" si="1"/>
        <v>0.21005555000000001</v>
      </c>
      <c r="I18" s="65">
        <f t="shared" si="0"/>
        <v>0</v>
      </c>
      <c r="J18" s="65">
        <f t="shared" si="2"/>
        <v>0.21005555000000001</v>
      </c>
      <c r="K18" s="121">
        <f>SUMIFS(REALIZADO[META_ACESSORIO],REALIZADO[COORDENAÇÃO],$P$7)</f>
        <v>84200.000200000009</v>
      </c>
      <c r="L18" s="86">
        <f>SUMIFS(PROJEÇÃO[PROJ_ELETRO_A],PROJEÇÃO[COORDENAÇÃO],$P$7)</f>
        <v>2058.3333000000002</v>
      </c>
      <c r="M18" s="97">
        <f>IFERROR((L18+L19)/K18,0)</f>
        <v>1.2364040611961895</v>
      </c>
      <c r="N18" s="12">
        <f>IF($M$18&gt;=FATORES!$B$49,FATORES!$D$49,0)</f>
        <v>2.5000000000000001E-3</v>
      </c>
      <c r="O18" s="14">
        <f t="shared" si="4"/>
        <v>0</v>
      </c>
      <c r="P18" s="13">
        <f t="shared" si="5"/>
        <v>0.21005555000000001</v>
      </c>
      <c r="Q18" s="15">
        <f>IF($E$8=2,P18*0.05,0)</f>
        <v>0</v>
      </c>
      <c r="R18" s="15">
        <f>IF($E$8=3,P18*0.15,0)</f>
        <v>0</v>
      </c>
      <c r="S18" s="99"/>
      <c r="T18" s="125"/>
    </row>
    <row r="19" spans="2:20" x14ac:dyDescent="0.35">
      <c r="B19" s="47" t="s">
        <v>233</v>
      </c>
      <c r="C19" s="122"/>
      <c r="D19" s="87">
        <f>SUMIFS(PROJEÇÃO[PROJ_ELETRO_B],PROJEÇÃO[PDV],'ST PADUA'!$M$7)</f>
        <v>6130.6666999999998</v>
      </c>
      <c r="E19" s="123"/>
      <c r="F19" s="12">
        <f>VLOOKUP($E$18,FATORES!$B$44:$E$46,4)</f>
        <v>2.5000000000000001E-4</v>
      </c>
      <c r="G19" s="12">
        <f>IFERROR(VLOOKUP($E$18,FATORES!$B$47:$E$48,4),0)</f>
        <v>0</v>
      </c>
      <c r="H19" s="65">
        <f t="shared" si="1"/>
        <v>1.532666675</v>
      </c>
      <c r="I19" s="65">
        <f t="shared" si="0"/>
        <v>0</v>
      </c>
      <c r="J19" s="65">
        <f t="shared" si="2"/>
        <v>1.532666675</v>
      </c>
      <c r="K19" s="122"/>
      <c r="L19" s="87">
        <f>SUMIFS(PROJEÇÃO[PROJ_ELETRO_B],PROJEÇÃO[COORDENAÇÃO],$P$7)</f>
        <v>102046.88889999999</v>
      </c>
      <c r="M19" s="97"/>
      <c r="N19" s="12">
        <f>IF($M$18&gt;=FATORES!$B$49,FATORES!$E$49,0)</f>
        <v>1.25E-3</v>
      </c>
      <c r="O19" s="14">
        <f t="shared" si="4"/>
        <v>0</v>
      </c>
      <c r="P19" s="13">
        <f t="shared" si="5"/>
        <v>1.532666675</v>
      </c>
      <c r="Q19" s="15">
        <f>IF($E$8=2,P19*0.05,0)</f>
        <v>0</v>
      </c>
      <c r="R19" s="15">
        <f>IF($E$8=3,P19*0.15,0)</f>
        <v>0</v>
      </c>
      <c r="S19" s="99"/>
      <c r="T19" s="125"/>
    </row>
    <row r="20" spans="2:20" x14ac:dyDescent="0.35">
      <c r="B20" s="46" t="s">
        <v>234</v>
      </c>
      <c r="C20" s="121">
        <f>SUMIFS(REALIZADO[META_ESSENCIAIS],REALIZADO[PDV],'ST PADUA'!$M$7)</f>
        <v>8500</v>
      </c>
      <c r="D20" s="86">
        <f>SUMIFS(PROJEÇÃO[PROJ_ESSEN_A],PROJEÇÃO[PDV],'ST PADUA'!$M$7)</f>
        <v>3071.6666999999998</v>
      </c>
      <c r="E20" s="123">
        <f>IFERROR((D20+D21)/C20,0)</f>
        <v>0.92342484705882344</v>
      </c>
      <c r="F20" s="12">
        <f>VLOOKUP($E$20,FATORES!$B$34:$E$36,3)</f>
        <v>1.5E-3</v>
      </c>
      <c r="G20" s="12">
        <f>IFERROR(VLOOKUP($E$20,FATORES!$B$37:$E$38,3),0)</f>
        <v>0</v>
      </c>
      <c r="H20" s="65">
        <f t="shared" si="1"/>
        <v>4.6075000499999996</v>
      </c>
      <c r="I20" s="65">
        <f t="shared" si="0"/>
        <v>0</v>
      </c>
      <c r="J20" s="65">
        <f t="shared" si="2"/>
        <v>4.6075000499999996</v>
      </c>
      <c r="K20" s="121">
        <f>SUMIFS(REALIZADO[META_ESSENCIAIS],REALIZADO[COORDENAÇÃO],$P$7)</f>
        <v>58599.999900000003</v>
      </c>
      <c r="L20" s="86">
        <f>SUMIFS(PROJEÇÃO[PROJ_ESSEN_A],PROJEÇÃO[COORDENAÇÃO],$P$7)</f>
        <v>30216.333300000002</v>
      </c>
      <c r="M20" s="97">
        <f>IFERROR((L20+L21)/K20,0)</f>
        <v>1.094031099136572</v>
      </c>
      <c r="N20" s="12">
        <f>IF($M$20&gt;=FATORES!$B$39,FATORES!$D$39,0)</f>
        <v>8.0000000000000002E-3</v>
      </c>
      <c r="O20" s="14">
        <f t="shared" si="4"/>
        <v>0</v>
      </c>
      <c r="P20" s="13">
        <f t="shared" si="5"/>
        <v>4.6075000499999996</v>
      </c>
      <c r="Q20" s="15">
        <f>IF($F$8=2,P20*0.05,0)</f>
        <v>0</v>
      </c>
      <c r="R20" s="15">
        <f>IF($F$8=3,P20*0.15,0)</f>
        <v>0</v>
      </c>
      <c r="S20" s="99"/>
      <c r="T20" s="125"/>
    </row>
    <row r="21" spans="2:20" x14ac:dyDescent="0.35">
      <c r="B21" s="46" t="s">
        <v>235</v>
      </c>
      <c r="C21" s="122"/>
      <c r="D21" s="87">
        <f>SUMIFS(PROJEÇÃO[PROJ_ESSEN_B],PROJEÇÃO[PDV],'ST PADUA'!$M$7)</f>
        <v>4777.4444999999996</v>
      </c>
      <c r="E21" s="123"/>
      <c r="F21" s="12">
        <f>VLOOKUP($E$20,FATORES!$B$34:$E$36,4)</f>
        <v>7.5000000000000002E-4</v>
      </c>
      <c r="G21" s="12">
        <f>IFERROR(VLOOKUP($E$20,FATORES!$B$37:$E$38,4),0)</f>
        <v>0</v>
      </c>
      <c r="H21" s="65">
        <f t="shared" si="1"/>
        <v>3.5830833749999997</v>
      </c>
      <c r="I21" s="65">
        <f t="shared" si="0"/>
        <v>0</v>
      </c>
      <c r="J21" s="65">
        <f t="shared" si="2"/>
        <v>3.5830833749999997</v>
      </c>
      <c r="K21" s="122"/>
      <c r="L21" s="87">
        <f>SUMIFS(PROJEÇÃO[PROJ_ESSEN_B],PROJEÇÃO[COORDENAÇÃO],$P$7)</f>
        <v>33893.88900000001</v>
      </c>
      <c r="M21" s="97"/>
      <c r="N21" s="12">
        <f>IF($M$20&gt;=FATORES!$B$39,FATORES!$E$39,0)</f>
        <v>4.0000000000000001E-3</v>
      </c>
      <c r="O21" s="14">
        <f t="shared" si="4"/>
        <v>0</v>
      </c>
      <c r="P21" s="13">
        <f t="shared" si="5"/>
        <v>3.5830833749999997</v>
      </c>
      <c r="Q21" s="15">
        <f>IF($F$8=2,P21*0.05,0)</f>
        <v>0</v>
      </c>
      <c r="R21" s="15">
        <f>IF($F$8=3,P21*0.15,0)</f>
        <v>0</v>
      </c>
      <c r="S21" s="99"/>
      <c r="T21" s="125"/>
    </row>
    <row r="22" spans="2:20" x14ac:dyDescent="0.35">
      <c r="B22" s="46" t="s">
        <v>212</v>
      </c>
      <c r="C22" s="57">
        <f>SUMIFS(REALIZADO[META_SEGUROS],REALIZADO[PDV],'ST PADUA'!$M$7)</f>
        <v>800</v>
      </c>
      <c r="D22" s="79">
        <f>SUMIFS(PROJEÇÃO[PROJ_SEGURO],PROJEÇÃO[PDV],'ST PADUA'!$M$7)</f>
        <v>838.32220000000007</v>
      </c>
      <c r="E22" s="83">
        <f>IFERROR(D22/C22,0)</f>
        <v>1.04790275</v>
      </c>
      <c r="F22" s="83">
        <f>VLOOKUP($E$22,FATORES!$O$32:$Q$34,3)</f>
        <v>0.04</v>
      </c>
      <c r="G22" s="12">
        <f>IFERROR(VLOOKUP($E$22,FATORES!$O$35:$Q$36,3),0)</f>
        <v>0.1</v>
      </c>
      <c r="H22" s="65">
        <f t="shared" si="1"/>
        <v>33.532888</v>
      </c>
      <c r="I22" s="65">
        <f t="shared" si="0"/>
        <v>0</v>
      </c>
      <c r="J22" s="65">
        <f t="shared" si="2"/>
        <v>33.532888</v>
      </c>
      <c r="K22" s="57">
        <f>SUMIFS(REALIZADO[META_SEGUROS],REALIZADO[COORDENAÇÃO],$P$7)</f>
        <v>5665</v>
      </c>
      <c r="L22" s="79">
        <f>SUMIFS(PROJEÇÃO[PROJ_SEGURO],PROJEÇÃO[COORDENAÇÃO],$P$7)</f>
        <v>5467.5668999999998</v>
      </c>
      <c r="M22" s="50">
        <f t="shared" ref="M22:M23" si="6">IFERROR(L22/K22,0)</f>
        <v>0.96514861429832299</v>
      </c>
      <c r="N22" s="12">
        <f>IF($M$22&gt;=FATORES!$O$37,FATORES!$Q$37,0)</f>
        <v>0</v>
      </c>
      <c r="O22" s="14">
        <f t="shared" si="4"/>
        <v>0</v>
      </c>
      <c r="P22" s="13">
        <f t="shared" si="5"/>
        <v>33.532888</v>
      </c>
      <c r="Q22" s="15">
        <f>IF($G$8=2,P22*0.05,0)</f>
        <v>0</v>
      </c>
      <c r="R22" s="15">
        <f>IF($G$8=3,P22*0.15,0)</f>
        <v>0</v>
      </c>
      <c r="S22" s="99"/>
      <c r="T22" s="125"/>
    </row>
    <row r="23" spans="2:20" x14ac:dyDescent="0.35">
      <c r="B23" s="48" t="s">
        <v>14</v>
      </c>
      <c r="C23" s="76">
        <f>SUMIFS(REALIZADO[META_SVA],REALIZADO[PDV],'ST PADUA'!$M$7)</f>
        <v>750</v>
      </c>
      <c r="D23" s="77">
        <f>SUMIFS(PROJEÇÃO[PROJ_SVA],PROJEÇÃO[PDV],'ST PADUA'!$M$7)</f>
        <v>617.01440000000002</v>
      </c>
      <c r="E23" s="82">
        <f>IFERROR(D23/C23,0)</f>
        <v>0.82268586666666665</v>
      </c>
      <c r="F23" s="16">
        <f>IF($E$23&gt;=0,FATORES!$Q$40)</f>
        <v>5.0000000000000001E-3</v>
      </c>
      <c r="G23" s="16">
        <f>IFERROR(VLOOKUP($E$23,FATORES!$O$43:$Q$44,3),0)</f>
        <v>0</v>
      </c>
      <c r="H23" s="17">
        <f t="shared" si="1"/>
        <v>3.0850720000000003</v>
      </c>
      <c r="I23" s="65">
        <f t="shared" si="0"/>
        <v>0</v>
      </c>
      <c r="J23" s="17">
        <f t="shared" si="2"/>
        <v>3.0850720000000003</v>
      </c>
      <c r="K23" s="76">
        <f>SUMIFS(REALIZADO[META_SVA],REALIZADO[COORDENAÇÃO],$P$7)</f>
        <v>5384.9997999999996</v>
      </c>
      <c r="L23" s="77">
        <f>SUMIFS(PROJEÇÃO[PROJ_SVA],PROJEÇÃO[COORDENAÇÃO],$P$7)</f>
        <v>5513.6099000000004</v>
      </c>
      <c r="M23" s="51">
        <f t="shared" si="6"/>
        <v>1.0238830278136688</v>
      </c>
      <c r="N23" s="16">
        <f>IF($M$23&gt;=FATORES!$O$45,FATORES!$Q$45,0)</f>
        <v>5.0000000000000001E-3</v>
      </c>
      <c r="O23" s="14">
        <f t="shared" si="4"/>
        <v>0</v>
      </c>
      <c r="P23" s="18">
        <f t="shared" si="5"/>
        <v>3.0850720000000003</v>
      </c>
      <c r="Q23" s="19">
        <f>IF($H$8=2,P23*0.05,0)</f>
        <v>0</v>
      </c>
      <c r="R23" s="19">
        <f>IF($H$8=3,P23*0.15,0)</f>
        <v>0</v>
      </c>
      <c r="S23" s="100"/>
      <c r="T23" s="126"/>
    </row>
    <row r="24" spans="2:20" x14ac:dyDescent="0.35">
      <c r="B24" s="66"/>
      <c r="C24" s="67"/>
      <c r="D24" s="67"/>
      <c r="E24" s="67"/>
      <c r="F24" s="67"/>
      <c r="G24" s="67"/>
      <c r="H24" s="67"/>
      <c r="I24" s="67"/>
      <c r="J24" s="68"/>
      <c r="K24" s="69"/>
      <c r="L24" s="67"/>
      <c r="M24" s="67"/>
      <c r="N24" s="67"/>
      <c r="O24" s="67"/>
      <c r="P24" s="70">
        <f>SUM(P15:P23)</f>
        <v>116.53143215000001</v>
      </c>
      <c r="Q24" s="70">
        <f t="shared" ref="Q24:R24" si="7">SUM(Q15:Q23)</f>
        <v>0</v>
      </c>
      <c r="R24" s="70">
        <f t="shared" si="7"/>
        <v>0</v>
      </c>
      <c r="S24" s="71" t="str">
        <f>IF($P$7="ARIEL",IF(MIN(E15,E17,E18,E19,E20,E22,E23)&gt;=100%,SUM(P24:R24)*S15,""),IF(MIN(E15:E23)&gt;=100%,SUM(P24:R24)*S15,""))</f>
        <v/>
      </c>
      <c r="T24" s="72"/>
    </row>
    <row r="25" spans="2:20" ht="16.149999999999999" customHeight="1" x14ac:dyDescent="0.35">
      <c r="B25" s="80"/>
      <c r="C25" s="6"/>
      <c r="D25" s="6"/>
      <c r="E25" s="6"/>
      <c r="F25" s="6"/>
      <c r="G25" s="6"/>
      <c r="H25" s="6"/>
      <c r="T25" s="61"/>
    </row>
    <row r="26" spans="2:20" ht="18.5" x14ac:dyDescent="0.35">
      <c r="B26" s="141" t="s">
        <v>236</v>
      </c>
      <c r="C26" s="142"/>
      <c r="D26" s="142"/>
      <c r="E26" s="142"/>
      <c r="F26" s="142"/>
      <c r="G26" s="142"/>
      <c r="H26" s="142"/>
      <c r="I26" s="142"/>
      <c r="J26" s="142"/>
      <c r="K26" s="142"/>
      <c r="L26" s="142"/>
      <c r="M26" s="142"/>
      <c r="N26" s="142"/>
      <c r="O26" s="142"/>
      <c r="P26" s="142"/>
      <c r="Q26" s="142"/>
      <c r="R26" s="142"/>
      <c r="S26" s="142"/>
      <c r="T26" s="142"/>
    </row>
    <row r="27" spans="2:20" x14ac:dyDescent="0.35">
      <c r="B27" s="129" t="s">
        <v>9</v>
      </c>
      <c r="C27" s="130"/>
      <c r="D27" s="130"/>
      <c r="E27" s="130"/>
      <c r="F27" s="130"/>
      <c r="G27" s="130"/>
      <c r="H27" s="130"/>
      <c r="I27" s="130"/>
      <c r="J27" s="131"/>
      <c r="K27" s="132" t="s">
        <v>54</v>
      </c>
      <c r="L27" s="130"/>
      <c r="M27" s="130"/>
      <c r="N27" s="130"/>
      <c r="O27" s="130"/>
      <c r="P27" s="130"/>
      <c r="Q27" s="130"/>
      <c r="R27" s="130"/>
      <c r="S27" s="130"/>
      <c r="T27" s="133"/>
    </row>
    <row r="28" spans="2:20" ht="14.5" customHeight="1" x14ac:dyDescent="0.35">
      <c r="B28" s="115" t="s">
        <v>214</v>
      </c>
      <c r="C28" s="116" t="s">
        <v>237</v>
      </c>
      <c r="D28" s="117"/>
      <c r="E28" s="104"/>
      <c r="F28" s="135" t="s">
        <v>216</v>
      </c>
      <c r="G28" s="135" t="s">
        <v>217</v>
      </c>
      <c r="H28" s="135" t="s">
        <v>218</v>
      </c>
      <c r="I28" s="135" t="s">
        <v>219</v>
      </c>
      <c r="J28" s="135" t="s">
        <v>220</v>
      </c>
      <c r="K28" s="116" t="s">
        <v>238</v>
      </c>
      <c r="L28" s="117"/>
      <c r="M28" s="104"/>
      <c r="N28" s="127" t="s">
        <v>222</v>
      </c>
      <c r="O28" s="127" t="s">
        <v>223</v>
      </c>
      <c r="P28" s="127" t="s">
        <v>224</v>
      </c>
      <c r="Q28" s="127" t="s">
        <v>225</v>
      </c>
      <c r="R28" s="127" t="s">
        <v>226</v>
      </c>
      <c r="S28" s="127" t="s">
        <v>227</v>
      </c>
      <c r="T28" s="137" t="s">
        <v>228</v>
      </c>
    </row>
    <row r="29" spans="2:20" ht="14.5" customHeight="1" x14ac:dyDescent="0.35">
      <c r="B29" s="134"/>
      <c r="C29" s="94" t="s">
        <v>229</v>
      </c>
      <c r="D29" s="139" t="s">
        <v>230</v>
      </c>
      <c r="E29" s="140"/>
      <c r="F29" s="136"/>
      <c r="G29" s="136"/>
      <c r="H29" s="136"/>
      <c r="I29" s="136"/>
      <c r="J29" s="136"/>
      <c r="K29" s="52" t="s">
        <v>229</v>
      </c>
      <c r="L29" s="139" t="s">
        <v>230</v>
      </c>
      <c r="M29" s="140"/>
      <c r="N29" s="128"/>
      <c r="O29" s="128"/>
      <c r="P29" s="128"/>
      <c r="Q29" s="128"/>
      <c r="R29" s="128"/>
      <c r="S29" s="128"/>
      <c r="T29" s="138"/>
    </row>
    <row r="30" spans="2:20" x14ac:dyDescent="0.35">
      <c r="B30" s="45" t="s">
        <v>2</v>
      </c>
      <c r="C30" s="76">
        <f>SUMIFS(REALIZADO[META_MOVEL],REALIZADO[PDV],'ST PADUA'!$M$7)</f>
        <v>7950</v>
      </c>
      <c r="D30" s="77">
        <f>SUMIFS(REALIZADO[AT_MOVEL],REALIZADO[PDV],'ST PADUA'!$M$7)</f>
        <v>556</v>
      </c>
      <c r="E30" s="49">
        <f>IFERROR(D30/C30,0)</f>
        <v>6.9937106918238998E-2</v>
      </c>
      <c r="F30" s="8">
        <f>VLOOKUP($E$30,FATORES!$I$32:$K$34,3)</f>
        <v>5.0000000000000001E-3</v>
      </c>
      <c r="G30" s="8">
        <f>IFERROR(VLOOKUP($E$30,FATORES!$I$35:$K$36,3),0)</f>
        <v>0</v>
      </c>
      <c r="H30" s="9">
        <f>D30*F30</f>
        <v>2.7800000000000002</v>
      </c>
      <c r="I30" s="9">
        <f t="shared" ref="I30:I38" si="8">IF($P$7="ARIEL",
   IF(AND($E$30&gt;=69.5%, AND($E$32&gt;=69.5%, $E$33&gt;=69.5%, $E$33&gt;=69.5%, $E$35&gt;=69.5%, $E$35&gt;=69.5%, $E$37&gt;=69.5%, $E$38&gt;=69.5%)),
      D30*G30,
      0),
   IF(AND($E$30&gt;=69.5%, $E$31&gt;=69.5%, $E$32&gt;=69.5%, $E$33&gt;=69.5%, $E$33&gt;=69.5%, $E$35&gt;=69.5%, $E$35&gt;=69.5%, $E$37&gt;=69.5%, $E$38&gt;=69.5%),
      D30*G30,
      0)
)</f>
        <v>0</v>
      </c>
      <c r="J30" s="9">
        <f>H30+I30</f>
        <v>2.7800000000000002</v>
      </c>
      <c r="K30" s="76">
        <f>SUMIFS(REALIZADO[META_MOVEL],REALIZADO[COORDENAÇÃO],$P$7)</f>
        <v>59729.999899999995</v>
      </c>
      <c r="L30" s="77">
        <f>SUMIFS(REALIZADO[AT_MOVEL],REALIZADO[COORDENAÇÃO],$P$7)</f>
        <v>5335.72</v>
      </c>
      <c r="M30" s="49">
        <f>IFERROR(L30/K30,0)</f>
        <v>8.9330654761980016E-2</v>
      </c>
      <c r="N30" s="8">
        <f>IF($M$30&gt;=FATORES!$I$37,FATORES!$K$37,0)</f>
        <v>0</v>
      </c>
      <c r="O30" s="14">
        <f>IF(E30&gt;=100%,
IF($P$7="ARIEL",
IF(AND($E$30&gt;=69.5%,$E$32&gt;=69.5%,$E$33&gt;=69.5%,$E$35&gt;=69.5%,$E$37&gt;=69.5%,$E$38&gt;=69.5%),
D30*N30,
0),
IF(AND($E$30&gt;=69.5%,$E$31&gt;=69.5%,$E$32&gt;=69.5%,$E$33&gt;=69.5%,$E$35&gt;=69.5%,$E$37&gt;=69.5%,$E$38&gt;=69.5%),
D30*N30,
0)
),0)</f>
        <v>0</v>
      </c>
      <c r="P30" s="10">
        <f>J30+O30</f>
        <v>2.7800000000000002</v>
      </c>
      <c r="Q30" s="11">
        <f>IF($B$8=2,P30*0.05,0)</f>
        <v>0</v>
      </c>
      <c r="R30" s="11">
        <f>IF($B$8=3,P30*0.15,0)</f>
        <v>0</v>
      </c>
      <c r="S30" s="98">
        <v>0.1</v>
      </c>
      <c r="T30" s="124">
        <f>SUM(P39:S39)</f>
        <v>5.8403999999999998</v>
      </c>
    </row>
    <row r="31" spans="2:20" x14ac:dyDescent="0.35">
      <c r="B31" s="46" t="s">
        <v>13</v>
      </c>
      <c r="C31" s="76">
        <f>SUMIFS(REALIZADO[META_FIXA],REALIZADO[PDV],'ST PADUA'!$M$7)</f>
        <v>0</v>
      </c>
      <c r="D31" s="77">
        <f>SUMIFS(REALIZADO[AT_FIXA],REALIZADO[PDV],'ST PADUA'!$M$7)</f>
        <v>0</v>
      </c>
      <c r="E31" s="50">
        <f>IFERROR(D31/C31,0)</f>
        <v>0</v>
      </c>
      <c r="F31" s="12">
        <f>VLOOKUP($E$31,FATORES!$I$40:$K$42,3)</f>
        <v>5.0000000000000001E-3</v>
      </c>
      <c r="G31" s="12">
        <f>IFERROR(VLOOKUP($E$31,FATORES!$I$43:$K$44,3),0)</f>
        <v>0</v>
      </c>
      <c r="H31" s="65">
        <f t="shared" ref="H31:H38" si="9">D31*F31</f>
        <v>0</v>
      </c>
      <c r="I31" s="65">
        <f t="shared" si="8"/>
        <v>0</v>
      </c>
      <c r="J31" s="65">
        <f t="shared" ref="J31:J38" si="10">H31+I31</f>
        <v>0</v>
      </c>
      <c r="K31" s="76">
        <f>SUMIFS(REALIZADO[META_FIXA],REALIZADO[COORDENAÇÃO],$P$7)</f>
        <v>0</v>
      </c>
      <c r="L31" s="77">
        <f>SUMIFS(REALIZADO[AT_FIXA],REALIZADO[COORDENAÇÃO],$P$7)</f>
        <v>0</v>
      </c>
      <c r="M31" s="50">
        <f t="shared" ref="M31:M32" si="11">IFERROR(L31/K31,0)</f>
        <v>0</v>
      </c>
      <c r="N31" s="12">
        <f>IF($M$31&gt;=FATORES!$I$45,FATORES!$K$45,0)</f>
        <v>0</v>
      </c>
      <c r="O31" s="14">
        <f t="shared" ref="O31:O38" si="12">IF(E31&gt;=100%,
IF($P$7="ARIEL",
IF(AND($E$30&gt;=69.5%,$E$32&gt;=69.5%,$E$33&gt;=69.5%,$E$35&gt;=69.5%,$E$37&gt;=69.5%,$E$38&gt;=69.5%),
D31*N31,
0),
IF(AND($E$30&gt;=69.5%,$E$31&gt;=69.5%,$E$32&gt;=69.5%,$E$33&gt;=69.5%,$E$35&gt;=69.5%,$E$37&gt;=69.5%,$E$38&gt;=69.5%),
D31*N31,
0)
),0)</f>
        <v>0</v>
      </c>
      <c r="P31" s="13">
        <f t="shared" ref="P31:P38" si="13">J31+O31</f>
        <v>0</v>
      </c>
      <c r="Q31" s="15">
        <f>IF($C$8=2,P31*0.05,0)</f>
        <v>0</v>
      </c>
      <c r="R31" s="15">
        <f>IF($C$8=3,P31*0.15,0)</f>
        <v>0</v>
      </c>
      <c r="S31" s="99"/>
      <c r="T31" s="125"/>
    </row>
    <row r="32" spans="2:20" x14ac:dyDescent="0.35">
      <c r="B32" s="46" t="s">
        <v>231</v>
      </c>
      <c r="C32" s="53">
        <f>SUMIFS(REALIZADO[META_SMARTPHONE],REALIZADO[PDV],'ST PADUA'!$M$7)</f>
        <v>81000</v>
      </c>
      <c r="D32" s="78">
        <f>SUMIFS(REALIZADO[AT_SMARTPHONE],REALIZADO[PDV],'ST PADUA'!$M$7)</f>
        <v>11997</v>
      </c>
      <c r="E32" s="50">
        <f>IFERROR(D32/C32,0)</f>
        <v>0.14811111111111111</v>
      </c>
      <c r="F32" s="12">
        <f>VLOOKUP($E$32,FATORES!$B$53:$D$54,3)</f>
        <v>2.0000000000000001E-4</v>
      </c>
      <c r="G32" s="12">
        <f>IFERROR(VLOOKUP($E$32,FATORES!$B$55:$D$55,3),0)</f>
        <v>0</v>
      </c>
      <c r="H32" s="65">
        <f t="shared" si="9"/>
        <v>2.3994</v>
      </c>
      <c r="I32" s="65">
        <f t="shared" si="8"/>
        <v>0</v>
      </c>
      <c r="J32" s="65">
        <f t="shared" si="10"/>
        <v>2.3994</v>
      </c>
      <c r="K32" s="53">
        <f>SUMIFS(REALIZADO[META_SMARTPHONE],REALIZADO[COORDENAÇÃO],$P$7)</f>
        <v>741000.00010000006</v>
      </c>
      <c r="L32" s="78">
        <f>SUMIFS(REALIZADO[AT_SMARTPHONE],REALIZADO[COORDENAÇÃO],$P$7)</f>
        <v>81442</v>
      </c>
      <c r="M32" s="50">
        <f t="shared" si="11"/>
        <v>0.109908232103926</v>
      </c>
      <c r="N32" s="12">
        <f>IF($M$32&gt;=FATORES!$B$56,FATORES!$D$56,0)</f>
        <v>0</v>
      </c>
      <c r="O32" s="14">
        <f t="shared" si="12"/>
        <v>0</v>
      </c>
      <c r="P32" s="13">
        <f t="shared" si="13"/>
        <v>2.3994</v>
      </c>
      <c r="Q32" s="15">
        <f>IF($D$8=2,P32*0.05,0)</f>
        <v>0</v>
      </c>
      <c r="R32" s="15">
        <f>IF($D$8=3,P32*0.15,0)</f>
        <v>0</v>
      </c>
      <c r="S32" s="99"/>
      <c r="T32" s="125"/>
    </row>
    <row r="33" spans="2:20" x14ac:dyDescent="0.35">
      <c r="B33" s="47" t="s">
        <v>232</v>
      </c>
      <c r="C33" s="121">
        <f>SUMIFS(REALIZADO[META_ACESSORIO],REALIZADO[PDV],'ST PADUA'!$M$7)</f>
        <v>10600</v>
      </c>
      <c r="D33" s="86">
        <f>SUMIFS(REALIZADO[AT_ACESSORIOS_A],REALIZADO[PDV],'ST PADUA'!$M$7)</f>
        <v>0</v>
      </c>
      <c r="E33" s="123">
        <f>IFERROR((D33+D34)/C33,0)</f>
        <v>3.5660377358490564E-2</v>
      </c>
      <c r="F33" s="12">
        <f>VLOOKUP($E$33,FATORES!$B$44:$E$46,3)</f>
        <v>5.0000000000000001E-4</v>
      </c>
      <c r="G33" s="12">
        <f>IFERROR(VLOOKUP($E$33,FATORES!$B$47:$E$48,3),0)</f>
        <v>0</v>
      </c>
      <c r="H33" s="65">
        <f t="shared" si="9"/>
        <v>0</v>
      </c>
      <c r="I33" s="65">
        <f t="shared" si="8"/>
        <v>0</v>
      </c>
      <c r="J33" s="65">
        <f t="shared" si="10"/>
        <v>0</v>
      </c>
      <c r="K33" s="121">
        <f>SUMIFS(REALIZADO[META_ACESSORIO],REALIZADO[COORDENAÇÃO],$P$7)</f>
        <v>84200.000200000009</v>
      </c>
      <c r="L33" s="86">
        <f>SUMIFS(REALIZADO[AT_ACESSORIOS_A],REALIZADO[COORDENAÇÃO],$P$7)</f>
        <v>0</v>
      </c>
      <c r="M33" s="97">
        <f>IFERROR((L33+L34)/K33,0)</f>
        <v>0.13485748186494659</v>
      </c>
      <c r="N33" s="12">
        <f>IF($M$33&gt;=FATORES!$B$49,FATORES!$D$49,0)</f>
        <v>0</v>
      </c>
      <c r="O33" s="14">
        <f t="shared" si="12"/>
        <v>0</v>
      </c>
      <c r="P33" s="13">
        <f t="shared" si="13"/>
        <v>0</v>
      </c>
      <c r="Q33" s="15">
        <f>IF($E$8=2,P33*0.05,0)</f>
        <v>0</v>
      </c>
      <c r="R33" s="15">
        <f>IF($E$8=3,P33*0.15,0)</f>
        <v>0</v>
      </c>
      <c r="S33" s="99"/>
      <c r="T33" s="125"/>
    </row>
    <row r="34" spans="2:20" x14ac:dyDescent="0.35">
      <c r="B34" s="47" t="s">
        <v>233</v>
      </c>
      <c r="C34" s="122"/>
      <c r="D34" s="87">
        <f>SUMIFS(REALIZADO[AT_ACESSORIOS_B],REALIZADO[PDV],'ST PADUA'!$M$7)</f>
        <v>378</v>
      </c>
      <c r="E34" s="123"/>
      <c r="F34" s="12">
        <f>VLOOKUP($E$33,FATORES!$B$44:$E$46,4)</f>
        <v>2.5000000000000001E-4</v>
      </c>
      <c r="G34" s="12">
        <f>IFERROR(VLOOKUP($E$33,FATORES!$B$47:$E$48,4),0)</f>
        <v>0</v>
      </c>
      <c r="H34" s="65">
        <f t="shared" si="9"/>
        <v>9.4500000000000001E-2</v>
      </c>
      <c r="I34" s="65">
        <f t="shared" si="8"/>
        <v>0</v>
      </c>
      <c r="J34" s="65">
        <f t="shared" si="10"/>
        <v>9.4500000000000001E-2</v>
      </c>
      <c r="K34" s="122"/>
      <c r="L34" s="87">
        <f>SUMIFS(REALIZADO[AT_ACESSORIOS_B],REALIZADO[COORDENAÇÃO],$P$7)</f>
        <v>11355</v>
      </c>
      <c r="M34" s="97"/>
      <c r="N34" s="12">
        <f>IF($M$33&gt;=FATORES!$B$49,FATORES!$E$49,0)</f>
        <v>0</v>
      </c>
      <c r="O34" s="14">
        <f t="shared" si="12"/>
        <v>0</v>
      </c>
      <c r="P34" s="13">
        <f t="shared" si="13"/>
        <v>9.4500000000000001E-2</v>
      </c>
      <c r="Q34" s="15">
        <f>IF($E$8=2,P34*0.05,0)</f>
        <v>0</v>
      </c>
      <c r="R34" s="15">
        <f>IF($E$8=3,P34*0.15,0)</f>
        <v>0</v>
      </c>
      <c r="S34" s="99"/>
      <c r="T34" s="125"/>
    </row>
    <row r="35" spans="2:20" x14ac:dyDescent="0.35">
      <c r="B35" s="46" t="s">
        <v>234</v>
      </c>
      <c r="C35" s="121">
        <f>SUMIFS(REALIZADO[META_ESSENCIAIS],REALIZADO[PDV],'ST PADUA'!$M$7)</f>
        <v>8500</v>
      </c>
      <c r="D35" s="86">
        <f>SUMIFS(REALIZADO[AT_ESSENCIAIS_A],REALIZADO[PDV],'ST PADUA'!$M$7)</f>
        <v>367</v>
      </c>
      <c r="E35" s="123">
        <f>IFERROR((D35+D36)/C35,0)</f>
        <v>0.10152941176470588</v>
      </c>
      <c r="F35" s="12">
        <f>VLOOKUP($E$35,FATORES!$B$34:$E$36,3)</f>
        <v>5.0000000000000001E-4</v>
      </c>
      <c r="G35" s="12">
        <f>IFERROR(VLOOKUP($E$35,FATORES!$B$37:$E$38,3),0)</f>
        <v>0</v>
      </c>
      <c r="H35" s="65">
        <f t="shared" si="9"/>
        <v>0.1835</v>
      </c>
      <c r="I35" s="65">
        <f t="shared" si="8"/>
        <v>0</v>
      </c>
      <c r="J35" s="65">
        <f t="shared" si="10"/>
        <v>0.1835</v>
      </c>
      <c r="K35" s="121">
        <f>SUMIFS(REALIZADO[META_ESSENCIAIS],REALIZADO[COORDENAÇÃO],$P$7)</f>
        <v>58599.999900000003</v>
      </c>
      <c r="L35" s="86">
        <f>SUMIFS(REALIZADO[AT_ESSENCIAIS_A],REALIZADO[COORDENAÇÃO],$P$7)</f>
        <v>4117</v>
      </c>
      <c r="M35" s="97">
        <f>IFERROR((L35+L36)/K35,0)</f>
        <v>0.1419112630408042</v>
      </c>
      <c r="N35" s="12">
        <f>IF($M$35&gt;=FATORES!$B$39,FATORES!$D$39,0)</f>
        <v>0</v>
      </c>
      <c r="O35" s="14">
        <f t="shared" si="12"/>
        <v>0</v>
      </c>
      <c r="P35" s="13">
        <f t="shared" si="13"/>
        <v>0.1835</v>
      </c>
      <c r="Q35" s="15">
        <f>IF($F$8=2,P35*0.05,0)</f>
        <v>0</v>
      </c>
      <c r="R35" s="15">
        <f>IF($F$8=3,P35*0.15,0)</f>
        <v>0</v>
      </c>
      <c r="S35" s="99"/>
      <c r="T35" s="125"/>
    </row>
    <row r="36" spans="2:20" x14ac:dyDescent="0.35">
      <c r="B36" s="46" t="s">
        <v>235</v>
      </c>
      <c r="C36" s="122"/>
      <c r="D36" s="87">
        <f>SUMIFS(REALIZADO[AT_ESSENCIAIS_B],REALIZADO[PDV],'ST PADUA'!$M$7)</f>
        <v>496</v>
      </c>
      <c r="E36" s="123"/>
      <c r="F36" s="12">
        <f>VLOOKUP($E$35,FATORES!$B$34:$E$36,4)</f>
        <v>2.5000000000000001E-4</v>
      </c>
      <c r="G36" s="12">
        <f>IFERROR(VLOOKUP($E$35,FATORES!$B$37:$E$38,4),0)</f>
        <v>0</v>
      </c>
      <c r="H36" s="65">
        <f t="shared" si="9"/>
        <v>0.124</v>
      </c>
      <c r="I36" s="65">
        <f t="shared" si="8"/>
        <v>0</v>
      </c>
      <c r="J36" s="65">
        <f t="shared" si="10"/>
        <v>0.124</v>
      </c>
      <c r="K36" s="122"/>
      <c r="L36" s="87">
        <f>SUMIFS(REALIZADO[AT_ESSENCIAIS_B],REALIZADO[COORDENAÇÃO],$P$7)</f>
        <v>4199</v>
      </c>
      <c r="M36" s="97"/>
      <c r="N36" s="12">
        <f>IF($M$35&gt;=FATORES!$B$39,FATORES!$E$39,0)</f>
        <v>0</v>
      </c>
      <c r="O36" s="14">
        <f t="shared" si="12"/>
        <v>0</v>
      </c>
      <c r="P36" s="13">
        <f t="shared" si="13"/>
        <v>0.124</v>
      </c>
      <c r="Q36" s="15">
        <f>IF($F$8=2,P36*0.05,0)</f>
        <v>0</v>
      </c>
      <c r="R36" s="15">
        <f>IF($F$8=3,P36*0.15,0)</f>
        <v>0</v>
      </c>
      <c r="S36" s="99"/>
      <c r="T36" s="125"/>
    </row>
    <row r="37" spans="2:20" x14ac:dyDescent="0.35">
      <c r="B37" s="46" t="s">
        <v>212</v>
      </c>
      <c r="C37" s="57">
        <f>SUMIFS(REALIZADO[META_SEGUROS],REALIZADO[PDV],'ST PADUA'!$M$7)</f>
        <v>800</v>
      </c>
      <c r="D37" s="79">
        <f>SUMIFS(REALIZADO[AT_SEGUROS],REALIZADO[PDV],'ST PADUA'!$M$7)</f>
        <v>51.8</v>
      </c>
      <c r="E37" s="83">
        <f>IFERROR(D37/C37,0)</f>
        <v>6.4750000000000002E-2</v>
      </c>
      <c r="F37" s="83">
        <f>VLOOKUP($E$37,FATORES!$O$32:$Q$34,3)</f>
        <v>5.0000000000000001E-3</v>
      </c>
      <c r="G37" s="12">
        <f>IFERROR(VLOOKUP($E$37,FATORES!$O$35:$Q$36,3),0)</f>
        <v>0</v>
      </c>
      <c r="H37" s="65">
        <f t="shared" si="9"/>
        <v>0.25900000000000001</v>
      </c>
      <c r="I37" s="65">
        <f t="shared" si="8"/>
        <v>0</v>
      </c>
      <c r="J37" s="65">
        <f t="shared" si="10"/>
        <v>0.25900000000000001</v>
      </c>
      <c r="K37" s="57">
        <f>SUMIFS(REALIZADO[META_SEGUROS],REALIZADO[COORDENAÇÃO],$P$7)</f>
        <v>5665</v>
      </c>
      <c r="L37" s="79">
        <f>SUMIFS(REALIZADO[AT_SEGUROS],REALIZADO[COORDENAÇÃO],$P$7)</f>
        <v>420.19999999999993</v>
      </c>
      <c r="M37" s="50">
        <f t="shared" ref="M37:M38" si="14">IFERROR(L37/K37,0)</f>
        <v>7.4174757281553386E-2</v>
      </c>
      <c r="N37" s="12">
        <f>IF($M$37&gt;=FATORES!$O$37,FATORES!$Q$37,0)</f>
        <v>0</v>
      </c>
      <c r="O37" s="14">
        <f t="shared" si="12"/>
        <v>0</v>
      </c>
      <c r="P37" s="13">
        <f t="shared" si="13"/>
        <v>0.25900000000000001</v>
      </c>
      <c r="Q37" s="15">
        <f>IF($G$8=2,P37*0.05,0)</f>
        <v>0</v>
      </c>
      <c r="R37" s="15">
        <f>IF($G$8=3,P37*0.15,0)</f>
        <v>0</v>
      </c>
      <c r="S37" s="99"/>
      <c r="T37" s="125"/>
    </row>
    <row r="38" spans="2:20" x14ac:dyDescent="0.35">
      <c r="B38" s="48" t="s">
        <v>14</v>
      </c>
      <c r="C38" s="76">
        <f>SUMIFS(REALIZADO[META_SVA],REALIZADO[PDV],'ST PADUA'!$M$7)</f>
        <v>750</v>
      </c>
      <c r="D38" s="77">
        <f>SUMIFS(REALIZADO[AT_SVA],REALIZADO[PDV],'ST PADUA'!$M$7)</f>
        <v>0</v>
      </c>
      <c r="E38" s="82">
        <f>IFERROR(D38/C38,0)</f>
        <v>0</v>
      </c>
      <c r="F38" s="16">
        <f>IF($E$38&gt;=0,FATORES!$Q$40)</f>
        <v>5.0000000000000001E-3</v>
      </c>
      <c r="G38" s="16">
        <f>IFERROR(VLOOKUP($E$38,FATORES!$O$43:$Q$44,3),0)</f>
        <v>0</v>
      </c>
      <c r="H38" s="17">
        <f t="shared" si="9"/>
        <v>0</v>
      </c>
      <c r="I38" s="65">
        <f t="shared" si="8"/>
        <v>0</v>
      </c>
      <c r="J38" s="17">
        <f t="shared" si="10"/>
        <v>0</v>
      </c>
      <c r="K38" s="76">
        <f>SUMIFS(REALIZADO[META_SVA],REALIZADO[COORDENAÇÃO],$P$7)</f>
        <v>5384.9997999999996</v>
      </c>
      <c r="L38" s="77">
        <f>SUMIFS(REALIZADO[AT_SVA],REALIZADO[COORDENAÇÃO],$P$7)</f>
        <v>461.54999999999995</v>
      </c>
      <c r="M38" s="51">
        <f t="shared" si="14"/>
        <v>8.5710309589983644E-2</v>
      </c>
      <c r="N38" s="16">
        <f>IF($M$38&gt;=FATORES!$O$45,FATORES!$Q$45,0)</f>
        <v>0</v>
      </c>
      <c r="O38" s="14">
        <f t="shared" si="12"/>
        <v>0</v>
      </c>
      <c r="P38" s="18">
        <f t="shared" si="13"/>
        <v>0</v>
      </c>
      <c r="Q38" s="19">
        <f>IF($H$8=2,P38*0.05,0)</f>
        <v>0</v>
      </c>
      <c r="R38" s="19">
        <f>IF($H$8=3,P38*0.15,0)</f>
        <v>0</v>
      </c>
      <c r="S38" s="100"/>
      <c r="T38" s="126"/>
    </row>
    <row r="39" spans="2:20" x14ac:dyDescent="0.35">
      <c r="B39" s="66"/>
      <c r="C39" s="67"/>
      <c r="D39" s="67"/>
      <c r="E39" s="67"/>
      <c r="F39" s="67"/>
      <c r="G39" s="67"/>
      <c r="H39" s="67"/>
      <c r="I39" s="67"/>
      <c r="J39" s="68"/>
      <c r="K39" s="69"/>
      <c r="L39" s="67"/>
      <c r="M39" s="67"/>
      <c r="N39" s="67"/>
      <c r="O39" s="67"/>
      <c r="P39" s="70">
        <f>SUM(P30:P38)</f>
        <v>5.8403999999999998</v>
      </c>
      <c r="Q39" s="70">
        <f t="shared" ref="Q39:R39" si="15">SUM(Q30:Q38)</f>
        <v>0</v>
      </c>
      <c r="R39" s="70">
        <f t="shared" si="15"/>
        <v>0</v>
      </c>
      <c r="S39" s="71" t="str">
        <f>IF($P$7="ARIEL",IF(MIN(E30,E32,E33,E34,E35,E37,E38)&gt;=100%,SUM(P39:R39)*S30,""),IF(MIN(E30:E38)&gt;=100%,SUM(P39:R39)*S30,""))</f>
        <v/>
      </c>
      <c r="T39" s="72"/>
    </row>
    <row r="41" spans="2:20" ht="18.5" x14ac:dyDescent="0.35">
      <c r="B41" s="107" t="s">
        <v>239</v>
      </c>
      <c r="C41" s="108"/>
      <c r="D41" s="108"/>
      <c r="E41" s="108"/>
      <c r="F41" s="108"/>
      <c r="G41" s="108"/>
      <c r="H41" s="108"/>
      <c r="I41" s="108"/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T41" s="108"/>
    </row>
    <row r="42" spans="2:20" x14ac:dyDescent="0.35">
      <c r="B42" s="109" t="s">
        <v>9</v>
      </c>
      <c r="C42" s="110"/>
      <c r="D42" s="110"/>
      <c r="E42" s="110"/>
      <c r="F42" s="110"/>
      <c r="G42" s="110"/>
      <c r="H42" s="110"/>
      <c r="I42" s="110"/>
      <c r="J42" s="111"/>
      <c r="K42" s="112" t="s">
        <v>54</v>
      </c>
      <c r="L42" s="113"/>
      <c r="M42" s="113"/>
      <c r="N42" s="113"/>
      <c r="O42" s="113"/>
      <c r="P42" s="7"/>
      <c r="Q42" s="7"/>
      <c r="R42" s="7"/>
      <c r="S42" s="7"/>
      <c r="T42" s="64"/>
    </row>
    <row r="43" spans="2:20" ht="14.5" customHeight="1" x14ac:dyDescent="0.35">
      <c r="B43" s="114" t="s">
        <v>214</v>
      </c>
      <c r="C43" s="116" t="s">
        <v>237</v>
      </c>
      <c r="D43" s="117"/>
      <c r="E43" s="104"/>
      <c r="F43" s="118" t="s">
        <v>216</v>
      </c>
      <c r="G43" s="118" t="s">
        <v>217</v>
      </c>
      <c r="H43" s="118" t="s">
        <v>218</v>
      </c>
      <c r="I43" s="118" t="s">
        <v>219</v>
      </c>
      <c r="J43" s="118" t="s">
        <v>220</v>
      </c>
      <c r="K43" s="104" t="s">
        <v>238</v>
      </c>
      <c r="L43" s="105"/>
      <c r="M43" s="105"/>
      <c r="N43" s="106" t="s">
        <v>222</v>
      </c>
      <c r="O43" s="106" t="s">
        <v>223</v>
      </c>
      <c r="P43" s="106" t="s">
        <v>224</v>
      </c>
      <c r="Q43" s="106" t="s">
        <v>225</v>
      </c>
      <c r="R43" s="106" t="s">
        <v>226</v>
      </c>
      <c r="S43" s="106" t="s">
        <v>227</v>
      </c>
      <c r="T43" s="119" t="s">
        <v>228</v>
      </c>
    </row>
    <row r="44" spans="2:20" x14ac:dyDescent="0.35">
      <c r="B44" s="115"/>
      <c r="C44" s="94" t="s">
        <v>229</v>
      </c>
      <c r="D44" s="120" t="s">
        <v>230</v>
      </c>
      <c r="E44" s="120"/>
      <c r="F44" s="118"/>
      <c r="G44" s="118"/>
      <c r="H44" s="118"/>
      <c r="I44" s="118"/>
      <c r="J44" s="118"/>
      <c r="K44" s="52" t="s">
        <v>229</v>
      </c>
      <c r="L44" s="120" t="s">
        <v>230</v>
      </c>
      <c r="M44" s="120"/>
      <c r="N44" s="106"/>
      <c r="O44" s="106"/>
      <c r="P44" s="106"/>
      <c r="Q44" s="106"/>
      <c r="R44" s="106"/>
      <c r="S44" s="106"/>
      <c r="T44" s="119"/>
    </row>
    <row r="45" spans="2:20" x14ac:dyDescent="0.35">
      <c r="B45" s="45" t="s">
        <v>2</v>
      </c>
      <c r="C45" s="53">
        <f>SUMIFS(REALIZADO[META_MOVEL],REALIZADO[PDV],'ST PADUA'!$M$7)</f>
        <v>7950</v>
      </c>
      <c r="D45" s="54">
        <v>7249</v>
      </c>
      <c r="E45" s="49">
        <f>IFERROR(D45/C45,0)</f>
        <v>0.91182389937106922</v>
      </c>
      <c r="F45" s="8">
        <f>VLOOKUP($E$45,FATORES!$I$32:$K$34,3)</f>
        <v>0.04</v>
      </c>
      <c r="G45" s="8">
        <f>IFERROR(VLOOKUP(E45,FATORES!$I$35:$K$36,3),0)</f>
        <v>0</v>
      </c>
      <c r="H45" s="9">
        <f>D45*F45</f>
        <v>289.95999999999998</v>
      </c>
      <c r="I45" s="9">
        <f t="shared" ref="I45:I53" si="16">IF($P$7="ARIEL",
   IF(AND($E$45&gt;=69.5%, AND($E$47&gt;=69.5%, $E$48&gt;=69.5%, $E$48&gt;=69.5%, $E$50&gt;=69.5%, $E$50&gt;=69.5%, $E$52&gt;=69.5%, $E$53&gt;=69.5%)),
      D45*G45,
      0),
   IF(AND($E$45&gt;=69.5%, $E$46&gt;=69.5%, $E$47&gt;=69.5%, $E$48&gt;=69.5%, $E$48&gt;=69.5%, $E$50&gt;=69.5%, $E$50&gt;=69.5%, $E$52&gt;=69.5%, $E$53&gt;=69.5%),
      D45*G45,
      0)
)</f>
        <v>0</v>
      </c>
      <c r="J45" s="9">
        <f>H45+I45</f>
        <v>289.95999999999998</v>
      </c>
      <c r="K45" s="53">
        <v>7990</v>
      </c>
      <c r="L45" s="54"/>
      <c r="M45" s="49">
        <f>IFERROR(L45/K45,0)</f>
        <v>0</v>
      </c>
      <c r="N45" s="8">
        <f>IF($M$45&gt;=FATORES!$I$37,FATORES!$K$37,0)</f>
        <v>0</v>
      </c>
      <c r="O45" s="14">
        <f>IF(E45&gt;=100%,
IF($P$7="ARIEL",
   IF(AND($E$45&gt;=69.5%, AND($E$47&gt;=69.5%, $E$48&gt;=69.5%, $E$48&gt;=69.5%, $E$50&gt;=69.5%, $E$50&gt;=69.5%, $E$52&gt;=69.5%, $E$53&gt;=69.5%)),
      D45*N45,
      0),
   IF(AND($E$45&gt;=69.5%, $E$46&gt;=69.5%, $E$47&gt;=69.5%, $E$48&gt;=69.5%, $E$48&gt;=69.5%, $E$50&gt;=69.5%, $E$50&gt;=69.5%, $E$52&gt;=69.5%, $E$53&gt;=69.5%),
      D45*N45,
      0)
),0)</f>
        <v>0</v>
      </c>
      <c r="P45" s="10">
        <f>J45+O45</f>
        <v>289.95999999999998</v>
      </c>
      <c r="Q45" s="11">
        <f>IF($B$8=2,P45*0.05,0)</f>
        <v>0</v>
      </c>
      <c r="R45" s="11">
        <f>IF($B$8=3,P45*0.15,0)</f>
        <v>0</v>
      </c>
      <c r="S45" s="98">
        <v>0.1</v>
      </c>
      <c r="T45" s="101">
        <f>SUM($P$54:$S$54)</f>
        <v>352.16099999999994</v>
      </c>
    </row>
    <row r="46" spans="2:20" x14ac:dyDescent="0.35">
      <c r="B46" s="46" t="s">
        <v>13</v>
      </c>
      <c r="C46" s="55">
        <f>SUMIFS(REALIZADO[META_FIXA],REALIZADO[PDV],'ST PADUA'!$M$7)</f>
        <v>0</v>
      </c>
      <c r="D46" s="56">
        <f>SUMIFS(REALIZADO[AT_FIXA],REALIZADO[PDV],'ST PADUA'!$M$7)</f>
        <v>0</v>
      </c>
      <c r="E46" s="50">
        <f>IFERROR(D46/C46,0)</f>
        <v>0</v>
      </c>
      <c r="F46" s="12">
        <f>VLOOKUP($E$46,FATORES!$I$40:$K$42,3)</f>
        <v>5.0000000000000001E-3</v>
      </c>
      <c r="G46" s="12">
        <f>IFERROR(VLOOKUP(E46,FATORES!$I$43:$K$44,3),0)</f>
        <v>0</v>
      </c>
      <c r="H46" s="65">
        <f t="shared" ref="H46:H53" si="17">D46*F46</f>
        <v>0</v>
      </c>
      <c r="I46" s="65">
        <f t="shared" si="16"/>
        <v>0</v>
      </c>
      <c r="J46" s="65">
        <f t="shared" ref="J46:J53" si="18">H46+I46</f>
        <v>0</v>
      </c>
      <c r="K46" s="55"/>
      <c r="L46" s="56"/>
      <c r="M46" s="50">
        <f t="shared" ref="M46:M53" si="19">IFERROR(L46/K46,0)</f>
        <v>0</v>
      </c>
      <c r="N46" s="12">
        <f>IF($M$46&gt;=FATORES!$I$45,FATORES!$K$45,0)</f>
        <v>0</v>
      </c>
      <c r="O46" s="14">
        <f t="shared" ref="O46:O53" si="20">IF(E46&gt;=100%,
IF($P$7="ARIEL",
   IF(AND($E$45&gt;=69.5%, AND($E$47&gt;=69.5%, $E$48&gt;=69.5%, $E$48&gt;=69.5%, $E$50&gt;=69.5%, $E$50&gt;=69.5%, $E$52&gt;=69.5%, $E$53&gt;=69.5%)),
      D46*N46,
      0),
   IF(AND($E$45&gt;=69.5%, $E$46&gt;=69.5%, $E$47&gt;=69.5%, $E$48&gt;=69.5%, $E$48&gt;=69.5%, $E$50&gt;=69.5%, $E$50&gt;=69.5%, $E$52&gt;=69.5%, $E$53&gt;=69.5%),
      D46*N46,
      0)
),0)</f>
        <v>0</v>
      </c>
      <c r="P46" s="13">
        <f t="shared" ref="P46:P53" si="21">J46+O46</f>
        <v>0</v>
      </c>
      <c r="Q46" s="15">
        <f>IF($C$8=2,P46*0.05,0)</f>
        <v>0</v>
      </c>
      <c r="R46" s="15">
        <f>IF($C$8=3,P46*0.15,0)</f>
        <v>0</v>
      </c>
      <c r="S46" s="99"/>
      <c r="T46" s="102"/>
    </row>
    <row r="47" spans="2:20" x14ac:dyDescent="0.35">
      <c r="B47" s="46" t="s">
        <v>231</v>
      </c>
      <c r="C47" s="55">
        <f>SUMIFS(REALIZADO[META_SMARTPHONE],REALIZADO[PDV],'ST PADUA'!$M$7)</f>
        <v>81000</v>
      </c>
      <c r="D47" s="56">
        <v>88295</v>
      </c>
      <c r="E47" s="50">
        <f>IFERROR(D47/C47,0)</f>
        <v>1.0900617283950618</v>
      </c>
      <c r="F47" s="12">
        <f>VLOOKUP($E$47,FATORES!$B$53:$D$54,3)</f>
        <v>5.0000000000000001E-4</v>
      </c>
      <c r="G47" s="12">
        <f>IFERROR(VLOOKUP(E47,FATORES!$B$55:$D$55,3),0)</f>
        <v>1E-3</v>
      </c>
      <c r="H47" s="65">
        <f t="shared" si="17"/>
        <v>44.147500000000001</v>
      </c>
      <c r="I47" s="65">
        <f t="shared" si="16"/>
        <v>0</v>
      </c>
      <c r="J47" s="65">
        <f t="shared" si="18"/>
        <v>44.147500000000001</v>
      </c>
      <c r="K47" s="55">
        <v>80000</v>
      </c>
      <c r="L47" s="56"/>
      <c r="M47" s="50">
        <f t="shared" si="19"/>
        <v>0</v>
      </c>
      <c r="N47" s="12">
        <f>IF($M$47&gt;=FATORES!$B$56,FATORES!$D$56,0)</f>
        <v>0</v>
      </c>
      <c r="O47" s="14">
        <f t="shared" si="20"/>
        <v>0</v>
      </c>
      <c r="P47" s="13">
        <f t="shared" si="21"/>
        <v>44.147500000000001</v>
      </c>
      <c r="Q47" s="15">
        <f>IF($D$8=2,P47*0.05,0)</f>
        <v>0</v>
      </c>
      <c r="R47" s="15">
        <f>IF($D$8=3,P47*0.15,0)</f>
        <v>0</v>
      </c>
      <c r="S47" s="99"/>
      <c r="T47" s="102"/>
    </row>
    <row r="48" spans="2:20" x14ac:dyDescent="0.35">
      <c r="B48" s="47" t="s">
        <v>232</v>
      </c>
      <c r="C48" s="96">
        <f>SUMIFS(REALIZADO[META_ACESSORIO],REALIZADO[PDV],'ST PADUA'!$M$7)</f>
        <v>10600</v>
      </c>
      <c r="D48" s="56"/>
      <c r="E48" s="97">
        <f>IFERROR((D48+D49)/C48,0)</f>
        <v>1.0867924528301887</v>
      </c>
      <c r="F48" s="12">
        <f>VLOOKUP($E$48,FATORES!$B$44:$E$46,3)</f>
        <v>1.5E-3</v>
      </c>
      <c r="G48" s="12">
        <f>IFERROR(VLOOKUP(E48,FATORES!$B$47:$E$48,3),0)</f>
        <v>6.0000000000000001E-3</v>
      </c>
      <c r="H48" s="65">
        <f t="shared" si="17"/>
        <v>0</v>
      </c>
      <c r="I48" s="65">
        <f t="shared" si="16"/>
        <v>0</v>
      </c>
      <c r="J48" s="65">
        <f t="shared" si="18"/>
        <v>0</v>
      </c>
      <c r="K48" s="96">
        <v>10100</v>
      </c>
      <c r="L48" s="56"/>
      <c r="M48" s="97">
        <f>IFERROR((L48+L49)/K48,0)</f>
        <v>0</v>
      </c>
      <c r="N48" s="12">
        <f>IF($M$48&gt;=FATORES!$B$49,FATORES!$D$49,0)</f>
        <v>0</v>
      </c>
      <c r="O48" s="14">
        <f t="shared" si="20"/>
        <v>0</v>
      </c>
      <c r="P48" s="13">
        <f t="shared" si="21"/>
        <v>0</v>
      </c>
      <c r="Q48" s="15">
        <f>IF($E$8=2,P48*0.05,0)</f>
        <v>0</v>
      </c>
      <c r="R48" s="15">
        <f>IF($E$8=3,P48*0.15,0)</f>
        <v>0</v>
      </c>
      <c r="S48" s="99"/>
      <c r="T48" s="102"/>
    </row>
    <row r="49" spans="2:20" x14ac:dyDescent="0.35">
      <c r="B49" s="47" t="s">
        <v>233</v>
      </c>
      <c r="C49" s="96"/>
      <c r="D49" s="56">
        <v>11520</v>
      </c>
      <c r="E49" s="97"/>
      <c r="F49" s="12">
        <f>VLOOKUP($E$48,FATORES!$B$44:$E$46,4)</f>
        <v>7.5000000000000002E-4</v>
      </c>
      <c r="G49" s="12">
        <f>IFERROR(VLOOKUP(E48,FATORES!$B$47:$E$48,4),0)</f>
        <v>3.0000000000000001E-3</v>
      </c>
      <c r="H49" s="65">
        <f t="shared" si="17"/>
        <v>8.64</v>
      </c>
      <c r="I49" s="65">
        <f t="shared" si="16"/>
        <v>0</v>
      </c>
      <c r="J49" s="65">
        <f t="shared" si="18"/>
        <v>8.64</v>
      </c>
      <c r="K49" s="96"/>
      <c r="L49" s="56"/>
      <c r="M49" s="97"/>
      <c r="N49" s="12">
        <f>IF($M$48&gt;=FATORES!$B$49,FATORES!$E$49,0)</f>
        <v>0</v>
      </c>
      <c r="O49" s="14">
        <f t="shared" si="20"/>
        <v>0</v>
      </c>
      <c r="P49" s="13">
        <f t="shared" si="21"/>
        <v>8.64</v>
      </c>
      <c r="Q49" s="15">
        <f>IF($E$8=2,P49*0.05,0)</f>
        <v>0</v>
      </c>
      <c r="R49" s="15">
        <f>IF($E$8=3,P49*0.15,0)</f>
        <v>0</v>
      </c>
      <c r="S49" s="99"/>
      <c r="T49" s="102"/>
    </row>
    <row r="50" spans="2:20" x14ac:dyDescent="0.35">
      <c r="B50" s="46" t="s">
        <v>234</v>
      </c>
      <c r="C50" s="96">
        <f>SUMIFS(REALIZADO[META_ESSENCIAIS],REALIZADO[PDV],'ST PADUA'!$M$7)</f>
        <v>8500</v>
      </c>
      <c r="D50" s="56"/>
      <c r="E50" s="97">
        <f>IFERROR((D50+D51)/C50,0)</f>
        <v>0.94094117647058828</v>
      </c>
      <c r="F50" s="12">
        <f>VLOOKUP($E$50,FATORES!$B$34:$E$36,3)</f>
        <v>1.5E-3</v>
      </c>
      <c r="G50" s="12">
        <f>IFERROR(VLOOKUP(E50,FATORES!$B$37:$E$38,3),0)</f>
        <v>0</v>
      </c>
      <c r="H50" s="65">
        <f t="shared" si="17"/>
        <v>0</v>
      </c>
      <c r="I50" s="65">
        <f t="shared" si="16"/>
        <v>0</v>
      </c>
      <c r="J50" s="65">
        <f t="shared" si="18"/>
        <v>0</v>
      </c>
      <c r="K50" s="96">
        <v>8550</v>
      </c>
      <c r="L50" s="56"/>
      <c r="M50" s="97">
        <f>IFERROR((L50+L51)/K50,0)</f>
        <v>0</v>
      </c>
      <c r="N50" s="12">
        <f>IF($M$50&gt;=FATORES!$B$39,FATORES!$D$39,0)</f>
        <v>0</v>
      </c>
      <c r="O50" s="14">
        <f t="shared" si="20"/>
        <v>0</v>
      </c>
      <c r="P50" s="13">
        <f t="shared" si="21"/>
        <v>0</v>
      </c>
      <c r="Q50" s="15">
        <f>IF($F$8=2,P50*0.05,0)</f>
        <v>0</v>
      </c>
      <c r="R50" s="15">
        <f>IF($F$8=3,P50*0.15,0)</f>
        <v>0</v>
      </c>
      <c r="S50" s="99"/>
      <c r="T50" s="102"/>
    </row>
    <row r="51" spans="2:20" x14ac:dyDescent="0.35">
      <c r="B51" s="46" t="s">
        <v>235</v>
      </c>
      <c r="C51" s="96"/>
      <c r="D51" s="56">
        <v>7998</v>
      </c>
      <c r="E51" s="97"/>
      <c r="F51" s="12">
        <f>VLOOKUP($E$50,FATORES!$B$34:$E$36,4)</f>
        <v>7.5000000000000002E-4</v>
      </c>
      <c r="G51" s="12">
        <f>IFERROR(VLOOKUP(E50,FATORES!$B$37:$E$38,4),0)</f>
        <v>0</v>
      </c>
      <c r="H51" s="65">
        <f t="shared" si="17"/>
        <v>5.9984999999999999</v>
      </c>
      <c r="I51" s="65">
        <f t="shared" si="16"/>
        <v>0</v>
      </c>
      <c r="J51" s="65">
        <f t="shared" si="18"/>
        <v>5.9984999999999999</v>
      </c>
      <c r="K51" s="96"/>
      <c r="L51" s="56"/>
      <c r="M51" s="97"/>
      <c r="N51" s="12">
        <f>IF($M$50&gt;=FATORES!$B$39,FATORES!$E$39,0)</f>
        <v>0</v>
      </c>
      <c r="O51" s="14">
        <f t="shared" si="20"/>
        <v>0</v>
      </c>
      <c r="P51" s="13">
        <f t="shared" si="21"/>
        <v>5.9984999999999999</v>
      </c>
      <c r="Q51" s="15">
        <f>IF($F$8=2,P51*0.05,0)</f>
        <v>0</v>
      </c>
      <c r="R51" s="15">
        <f>IF($F$8=3,P51*0.15,0)</f>
        <v>0</v>
      </c>
      <c r="S51" s="99"/>
      <c r="T51" s="102"/>
    </row>
    <row r="52" spans="2:20" x14ac:dyDescent="0.35">
      <c r="B52" s="46" t="s">
        <v>212</v>
      </c>
      <c r="C52" s="55">
        <f>SUMIFS(REALIZADO[META_SEGUROS],REALIZADO[PDV],'ST PADUA'!$M$7)</f>
        <v>800</v>
      </c>
      <c r="D52" s="56"/>
      <c r="E52" s="50">
        <f>IFERROR(D52/C52,0)</f>
        <v>0</v>
      </c>
      <c r="F52" s="83">
        <f>VLOOKUP($E$52,FATORES!$O$32:$Q$34,3)</f>
        <v>5.0000000000000001E-3</v>
      </c>
      <c r="G52" s="12">
        <f>IFERROR(VLOOKUP(E52,FATORES!$O$35:$Q$36,3),0)</f>
        <v>0</v>
      </c>
      <c r="H52" s="65">
        <f t="shared" si="17"/>
        <v>0</v>
      </c>
      <c r="I52" s="65">
        <f t="shared" si="16"/>
        <v>0</v>
      </c>
      <c r="J52" s="65">
        <f t="shared" si="18"/>
        <v>0</v>
      </c>
      <c r="K52" s="55">
        <v>800</v>
      </c>
      <c r="L52" s="56"/>
      <c r="M52" s="50">
        <f t="shared" si="19"/>
        <v>0</v>
      </c>
      <c r="N52" s="12">
        <f>IF($M$52&gt;=FATORES!$O$37,FATORES!$Q$37,0)</f>
        <v>0</v>
      </c>
      <c r="O52" s="14">
        <f t="shared" si="20"/>
        <v>0</v>
      </c>
      <c r="P52" s="13">
        <f t="shared" si="21"/>
        <v>0</v>
      </c>
      <c r="Q52" s="15">
        <f>IF($G$8=2,P52*0.05,0)</f>
        <v>0</v>
      </c>
      <c r="R52" s="15">
        <f>IF($G$8=3,P52*0.15,0)</f>
        <v>0</v>
      </c>
      <c r="S52" s="99"/>
      <c r="T52" s="102"/>
    </row>
    <row r="53" spans="2:20" x14ac:dyDescent="0.35">
      <c r="B53" s="48" t="s">
        <v>14</v>
      </c>
      <c r="C53" s="57">
        <f>SUMIFS(REALIZADO[META_SVA],REALIZADO[PDV],'ST PADUA'!$M$7)</f>
        <v>750</v>
      </c>
      <c r="D53" s="58">
        <v>683</v>
      </c>
      <c r="E53" s="51">
        <f>IFERROR(D53/C53,0)</f>
        <v>0.91066666666666662</v>
      </c>
      <c r="F53" s="16">
        <f>IF($E$53&gt;=0,FATORES!$Q$40)</f>
        <v>5.0000000000000001E-3</v>
      </c>
      <c r="G53" s="16">
        <f>IFERROR(VLOOKUP(E53,FATORES!$O$43:$Q$44,3),0)</f>
        <v>0</v>
      </c>
      <c r="H53" s="17">
        <f t="shared" si="17"/>
        <v>3.415</v>
      </c>
      <c r="I53" s="65">
        <f t="shared" si="16"/>
        <v>0</v>
      </c>
      <c r="J53" s="17">
        <f t="shared" si="18"/>
        <v>3.415</v>
      </c>
      <c r="K53" s="57">
        <v>750</v>
      </c>
      <c r="L53" s="58"/>
      <c r="M53" s="51">
        <f t="shared" si="19"/>
        <v>0</v>
      </c>
      <c r="N53" s="16">
        <f>IF($M$53&gt;=FATORES!$O$45,FATORES!$Q$45,0)</f>
        <v>0</v>
      </c>
      <c r="O53" s="14">
        <f t="shared" si="20"/>
        <v>0</v>
      </c>
      <c r="P53" s="18">
        <f t="shared" si="21"/>
        <v>3.415</v>
      </c>
      <c r="Q53" s="19">
        <f>IF($H$8=2,P53*0.05,0)</f>
        <v>0</v>
      </c>
      <c r="R53" s="19">
        <f>IF($H$8=3,P53*0.15,0)</f>
        <v>0</v>
      </c>
      <c r="S53" s="100"/>
      <c r="T53" s="103"/>
    </row>
    <row r="54" spans="2:20" x14ac:dyDescent="0.35">
      <c r="B54" s="66"/>
      <c r="C54" s="67"/>
      <c r="D54" s="67"/>
      <c r="E54" s="67"/>
      <c r="F54" s="67"/>
      <c r="G54" s="67"/>
      <c r="H54" s="67"/>
      <c r="I54" s="67"/>
      <c r="J54" s="68"/>
      <c r="K54" s="69"/>
      <c r="L54" s="67"/>
      <c r="M54" s="67"/>
      <c r="N54" s="67"/>
      <c r="O54" s="67"/>
      <c r="P54" s="70">
        <f>SUM(P45:P53)</f>
        <v>352.16099999999994</v>
      </c>
      <c r="Q54" s="70">
        <f t="shared" ref="Q54:R54" si="22">SUM(Q45:Q53)</f>
        <v>0</v>
      </c>
      <c r="R54" s="70">
        <f t="shared" si="22"/>
        <v>0</v>
      </c>
      <c r="S54" s="71" t="str">
        <f>IF($P$7="ARIEL",IF(MIN(E45,E47,E48,E49,E50,E52,E53)&gt;=99.99%,SUM(P54:R54)*S45,""),IF(MIN(E45:E53)&gt;99.99%,SUM(P54:R54)*S45,""))</f>
        <v/>
      </c>
      <c r="T54" s="72"/>
    </row>
  </sheetData>
  <sheetProtection algorithmName="SHA-512" hashValue="frzvxJGrnDxyih0CeZO0EK7wck/47f2/MZAEie3aLaFqiGmUd8wI2C9jeHVcg/Xc3x/JntkBpmdCj2UB3L8+Zw==" saltValue="qkhbYMIm41FyLCbEOY47xw==" spinCount="100000" sheet="1" objects="1" scenarios="1"/>
  <protectedRanges>
    <protectedRange sqref="B8:H8 C45:D53 K45:L53" name="Intervalo1"/>
  </protectedRanges>
  <mergeCells count="94">
    <mergeCell ref="I13:I14"/>
    <mergeCell ref="B12:J12"/>
    <mergeCell ref="K12:T12"/>
    <mergeCell ref="B2:T4"/>
    <mergeCell ref="B6:H6"/>
    <mergeCell ref="M6:N6"/>
    <mergeCell ref="M7:N7"/>
    <mergeCell ref="B11:T11"/>
    <mergeCell ref="B13:B14"/>
    <mergeCell ref="C13:E13"/>
    <mergeCell ref="F13:F14"/>
    <mergeCell ref="G13:G14"/>
    <mergeCell ref="H13:H14"/>
    <mergeCell ref="D14:E14"/>
    <mergeCell ref="J13:J14"/>
    <mergeCell ref="K13:M13"/>
    <mergeCell ref="S13:S14"/>
    <mergeCell ref="T13:T14"/>
    <mergeCell ref="L14:M14"/>
    <mergeCell ref="N13:N14"/>
    <mergeCell ref="O13:O14"/>
    <mergeCell ref="P13:P14"/>
    <mergeCell ref="Q13:Q14"/>
    <mergeCell ref="R13:R14"/>
    <mergeCell ref="C20:C21"/>
    <mergeCell ref="E20:E21"/>
    <mergeCell ref="K20:K21"/>
    <mergeCell ref="M20:M21"/>
    <mergeCell ref="B26:T26"/>
    <mergeCell ref="S15:S23"/>
    <mergeCell ref="T15:T23"/>
    <mergeCell ref="C18:C19"/>
    <mergeCell ref="E18:E19"/>
    <mergeCell ref="K18:K19"/>
    <mergeCell ref="M18:M19"/>
    <mergeCell ref="B27:J27"/>
    <mergeCell ref="K27:T27"/>
    <mergeCell ref="B28:B29"/>
    <mergeCell ref="C28:E28"/>
    <mergeCell ref="F28:F29"/>
    <mergeCell ref="G28:G29"/>
    <mergeCell ref="H28:H29"/>
    <mergeCell ref="I28:I29"/>
    <mergeCell ref="J28:J29"/>
    <mergeCell ref="S28:S29"/>
    <mergeCell ref="T28:T29"/>
    <mergeCell ref="D29:E29"/>
    <mergeCell ref="L29:M29"/>
    <mergeCell ref="S30:S38"/>
    <mergeCell ref="T30:T38"/>
    <mergeCell ref="K28:M28"/>
    <mergeCell ref="N28:N29"/>
    <mergeCell ref="O28:O29"/>
    <mergeCell ref="P28:P29"/>
    <mergeCell ref="Q28:Q29"/>
    <mergeCell ref="R28:R29"/>
    <mergeCell ref="C33:C34"/>
    <mergeCell ref="E33:E34"/>
    <mergeCell ref="K33:K34"/>
    <mergeCell ref="M33:M34"/>
    <mergeCell ref="C35:C36"/>
    <mergeCell ref="E35:E36"/>
    <mergeCell ref="K35:K36"/>
    <mergeCell ref="M35:M36"/>
    <mergeCell ref="B41:T41"/>
    <mergeCell ref="B42:J42"/>
    <mergeCell ref="K42:O42"/>
    <mergeCell ref="B43:B44"/>
    <mergeCell ref="C43:E43"/>
    <mergeCell ref="F43:F44"/>
    <mergeCell ref="G43:G44"/>
    <mergeCell ref="H43:H44"/>
    <mergeCell ref="I43:I44"/>
    <mergeCell ref="J43:J44"/>
    <mergeCell ref="S43:S44"/>
    <mergeCell ref="T43:T44"/>
    <mergeCell ref="D44:E44"/>
    <mergeCell ref="L44:M44"/>
    <mergeCell ref="S45:S53"/>
    <mergeCell ref="T45:T53"/>
    <mergeCell ref="K43:M43"/>
    <mergeCell ref="N43:N44"/>
    <mergeCell ref="O43:O44"/>
    <mergeCell ref="P43:P44"/>
    <mergeCell ref="Q43:Q44"/>
    <mergeCell ref="R43:R44"/>
    <mergeCell ref="C48:C49"/>
    <mergeCell ref="E48:E49"/>
    <mergeCell ref="K48:K49"/>
    <mergeCell ref="M48:M49"/>
    <mergeCell ref="C50:C51"/>
    <mergeCell ref="E50:E51"/>
    <mergeCell ref="K50:K51"/>
    <mergeCell ref="M50:M51"/>
  </mergeCells>
  <conditionalFormatting sqref="E15:E18 E20 E22:E23">
    <cfRule type="cellIs" dxfId="558" priority="22" operator="between">
      <formula>0.7</formula>
      <formula>1</formula>
    </cfRule>
    <cfRule type="cellIs" dxfId="557" priority="23" operator="greaterThanOrEqual">
      <formula>1</formula>
    </cfRule>
    <cfRule type="cellIs" dxfId="556" priority="24" operator="lessThan">
      <formula>0.7</formula>
    </cfRule>
  </conditionalFormatting>
  <conditionalFormatting sqref="E30:E33 E35 E37:E38">
    <cfRule type="cellIs" dxfId="555" priority="10" operator="between">
      <formula>0.7</formula>
      <formula>1</formula>
    </cfRule>
    <cfRule type="cellIs" dxfId="554" priority="11" operator="greaterThanOrEqual">
      <formula>1</formula>
    </cfRule>
    <cfRule type="cellIs" dxfId="553" priority="12" operator="lessThan">
      <formula>0.7</formula>
    </cfRule>
  </conditionalFormatting>
  <conditionalFormatting sqref="E45:E48 E50 E52:E53">
    <cfRule type="cellIs" dxfId="552" priority="34" operator="between">
      <formula>0.7</formula>
      <formula>1</formula>
    </cfRule>
    <cfRule type="cellIs" dxfId="551" priority="35" operator="greaterThanOrEqual">
      <formula>1</formula>
    </cfRule>
    <cfRule type="cellIs" dxfId="550" priority="36" operator="lessThan">
      <formula>0.7</formula>
    </cfRule>
  </conditionalFormatting>
  <conditionalFormatting sqref="M15:M18">
    <cfRule type="cellIs" dxfId="549" priority="16" operator="between">
      <formula>0.7</formula>
      <formula>1</formula>
    </cfRule>
    <cfRule type="cellIs" dxfId="548" priority="17" operator="greaterThanOrEqual">
      <formula>1</formula>
    </cfRule>
    <cfRule type="cellIs" dxfId="547" priority="18" operator="lessThan">
      <formula>0.7</formula>
    </cfRule>
  </conditionalFormatting>
  <conditionalFormatting sqref="M20">
    <cfRule type="cellIs" dxfId="546" priority="13" operator="between">
      <formula>0.7</formula>
      <formula>1</formula>
    </cfRule>
    <cfRule type="cellIs" dxfId="545" priority="14" operator="greaterThanOrEqual">
      <formula>1</formula>
    </cfRule>
    <cfRule type="cellIs" dxfId="544" priority="15" operator="lessThan">
      <formula>0.7</formula>
    </cfRule>
  </conditionalFormatting>
  <conditionalFormatting sqref="M22:M23">
    <cfRule type="cellIs" dxfId="543" priority="19" operator="between">
      <formula>0.7</formula>
      <formula>1</formula>
    </cfRule>
    <cfRule type="cellIs" dxfId="542" priority="20" operator="greaterThanOrEqual">
      <formula>1</formula>
    </cfRule>
    <cfRule type="cellIs" dxfId="541" priority="21" operator="lessThan">
      <formula>0.7</formula>
    </cfRule>
  </conditionalFormatting>
  <conditionalFormatting sqref="M30:M33">
    <cfRule type="cellIs" dxfId="540" priority="4" operator="between">
      <formula>0.7</formula>
      <formula>1</formula>
    </cfRule>
    <cfRule type="cellIs" dxfId="539" priority="5" operator="greaterThanOrEqual">
      <formula>1</formula>
    </cfRule>
    <cfRule type="cellIs" dxfId="538" priority="6" operator="lessThan">
      <formula>0.7</formula>
    </cfRule>
  </conditionalFormatting>
  <conditionalFormatting sqref="M35">
    <cfRule type="cellIs" dxfId="537" priority="1" operator="between">
      <formula>0.7</formula>
      <formula>1</formula>
    </cfRule>
    <cfRule type="cellIs" dxfId="536" priority="2" operator="greaterThanOrEqual">
      <formula>1</formula>
    </cfRule>
    <cfRule type="cellIs" dxfId="535" priority="3" operator="lessThan">
      <formula>0.7</formula>
    </cfRule>
  </conditionalFormatting>
  <conditionalFormatting sqref="M37:M38">
    <cfRule type="cellIs" dxfId="534" priority="7" operator="between">
      <formula>0.7</formula>
      <formula>1</formula>
    </cfRule>
    <cfRule type="cellIs" dxfId="533" priority="8" operator="greaterThanOrEqual">
      <formula>1</formula>
    </cfRule>
    <cfRule type="cellIs" dxfId="532" priority="9" operator="lessThan">
      <formula>0.7</formula>
    </cfRule>
  </conditionalFormatting>
  <conditionalFormatting sqref="M45:M48">
    <cfRule type="cellIs" dxfId="531" priority="28" operator="between">
      <formula>0.7</formula>
      <formula>1</formula>
    </cfRule>
    <cfRule type="cellIs" dxfId="530" priority="29" operator="greaterThanOrEqual">
      <formula>1</formula>
    </cfRule>
    <cfRule type="cellIs" dxfId="529" priority="30" operator="lessThan">
      <formula>0.7</formula>
    </cfRule>
  </conditionalFormatting>
  <conditionalFormatting sqref="M50">
    <cfRule type="cellIs" dxfId="528" priority="25" operator="between">
      <formula>0.7</formula>
      <formula>1</formula>
    </cfRule>
    <cfRule type="cellIs" dxfId="527" priority="26" operator="greaterThanOrEqual">
      <formula>1</formula>
    </cfRule>
    <cfRule type="cellIs" dxfId="526" priority="27" operator="lessThan">
      <formula>0.7</formula>
    </cfRule>
  </conditionalFormatting>
  <conditionalFormatting sqref="M52:M53">
    <cfRule type="cellIs" dxfId="525" priority="31" operator="between">
      <formula>0.7</formula>
      <formula>1</formula>
    </cfRule>
    <cfRule type="cellIs" dxfId="524" priority="32" operator="greaterThanOrEqual">
      <formula>1</formula>
    </cfRule>
    <cfRule type="cellIs" dxfId="523" priority="33" operator="lessThan">
      <formula>0.7</formula>
    </cfRule>
  </conditionalFormatting>
  <dataValidations count="1">
    <dataValidation type="list" allowBlank="1" showInputMessage="1" showErrorMessage="1" sqref="B8:H8" xr:uid="{06EFB4F0-BF4B-4DAA-A086-A7F95350C3A4}">
      <formula1>$V$6:$X$6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197B4-7BB6-402B-9706-BD5DE86423BF}">
  <dimension ref="B1:X54"/>
  <sheetViews>
    <sheetView showGridLines="0" zoomScale="70" zoomScaleNormal="70" workbookViewId="0">
      <selection activeCell="N53" sqref="N53"/>
    </sheetView>
  </sheetViews>
  <sheetFormatPr defaultRowHeight="14.5" x14ac:dyDescent="0.35"/>
  <cols>
    <col min="1" max="1" width="2.1796875" customWidth="1"/>
    <col min="2" max="2" width="16.453125" customWidth="1"/>
    <col min="3" max="3" width="15" bestFit="1" customWidth="1"/>
    <col min="4" max="4" width="14.54296875" customWidth="1"/>
    <col min="5" max="5" width="13.453125" bestFit="1" customWidth="1"/>
    <col min="6" max="6" width="14" customWidth="1"/>
    <col min="7" max="7" width="18.7265625" customWidth="1"/>
    <col min="8" max="8" width="15" customWidth="1"/>
    <col min="9" max="9" width="20" customWidth="1"/>
    <col min="10" max="10" width="21.1796875" customWidth="1"/>
    <col min="11" max="12" width="16.453125" customWidth="1"/>
    <col min="13" max="13" width="9.7265625" customWidth="1"/>
    <col min="14" max="14" width="20.54296875" customWidth="1"/>
    <col min="15" max="15" width="21" customWidth="1"/>
    <col min="16" max="16" width="15.26953125" customWidth="1"/>
    <col min="17" max="17" width="13" bestFit="1" customWidth="1"/>
    <col min="18" max="18" width="10.453125" bestFit="1" customWidth="1"/>
    <col min="19" max="19" width="12.7265625" bestFit="1" customWidth="1"/>
    <col min="20" max="20" width="14.453125" customWidth="1"/>
  </cols>
  <sheetData>
    <row r="1" spans="2:24" x14ac:dyDescent="0.35">
      <c r="B1" s="59"/>
    </row>
    <row r="2" spans="2:24" x14ac:dyDescent="0.35">
      <c r="B2" s="143" t="s">
        <v>207</v>
      </c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5"/>
    </row>
    <row r="3" spans="2:24" x14ac:dyDescent="0.35">
      <c r="B3" s="146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8"/>
    </row>
    <row r="4" spans="2:24" x14ac:dyDescent="0.35">
      <c r="B4" s="149"/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1"/>
    </row>
    <row r="5" spans="2:24" x14ac:dyDescent="0.35">
      <c r="B5" s="60"/>
      <c r="T5" s="61"/>
    </row>
    <row r="6" spans="2:24" ht="14.5" customHeight="1" x14ac:dyDescent="0.35">
      <c r="B6" s="152" t="s">
        <v>208</v>
      </c>
      <c r="C6" s="153"/>
      <c r="D6" s="153"/>
      <c r="E6" s="153"/>
      <c r="F6" s="153"/>
      <c r="G6" s="153"/>
      <c r="H6" s="154"/>
      <c r="M6" s="155" t="s">
        <v>54</v>
      </c>
      <c r="N6" s="156"/>
      <c r="P6" s="74" t="s">
        <v>23</v>
      </c>
      <c r="T6" s="61"/>
      <c r="V6" s="1">
        <v>0</v>
      </c>
      <c r="W6" s="1">
        <v>2</v>
      </c>
      <c r="X6" s="1">
        <v>3</v>
      </c>
    </row>
    <row r="7" spans="2:24" ht="14.5" customHeight="1" x14ac:dyDescent="0.35">
      <c r="B7" s="62" t="s">
        <v>209</v>
      </c>
      <c r="C7" s="2" t="s">
        <v>13</v>
      </c>
      <c r="D7" s="2" t="s">
        <v>210</v>
      </c>
      <c r="E7" s="2" t="s">
        <v>16</v>
      </c>
      <c r="F7" s="2" t="s">
        <v>211</v>
      </c>
      <c r="G7" s="2" t="s">
        <v>212</v>
      </c>
      <c r="H7" s="3" t="s">
        <v>14</v>
      </c>
      <c r="M7" s="157" t="s">
        <v>35</v>
      </c>
      <c r="N7" s="158"/>
      <c r="P7" s="75" t="s">
        <v>28</v>
      </c>
      <c r="T7" s="61"/>
    </row>
    <row r="8" spans="2:24" ht="14.5" customHeight="1" x14ac:dyDescent="0.35">
      <c r="B8" s="63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5">
        <v>0</v>
      </c>
      <c r="T8" s="61"/>
    </row>
    <row r="9" spans="2:24" x14ac:dyDescent="0.35">
      <c r="B9" s="84"/>
      <c r="C9" s="85"/>
      <c r="D9" s="85"/>
      <c r="E9" s="85"/>
      <c r="F9" s="85"/>
      <c r="G9" s="85"/>
      <c r="H9" s="85"/>
    </row>
    <row r="10" spans="2:24" x14ac:dyDescent="0.35">
      <c r="B10" s="84"/>
      <c r="C10" s="85"/>
      <c r="D10" s="85"/>
      <c r="E10" s="85"/>
      <c r="F10" s="85"/>
      <c r="G10" s="85"/>
      <c r="H10" s="85"/>
    </row>
    <row r="11" spans="2:24" ht="18.5" x14ac:dyDescent="0.35">
      <c r="B11" s="159" t="s">
        <v>213</v>
      </c>
      <c r="C11" s="160"/>
      <c r="D11" s="160"/>
      <c r="E11" s="160"/>
      <c r="F11" s="160"/>
      <c r="G11" s="160"/>
      <c r="H11" s="160"/>
      <c r="I11" s="160"/>
      <c r="J11" s="160"/>
      <c r="K11" s="160"/>
      <c r="L11" s="160"/>
      <c r="M11" s="160"/>
      <c r="N11" s="160"/>
      <c r="O11" s="160"/>
      <c r="P11" s="160"/>
      <c r="Q11" s="160"/>
      <c r="R11" s="160"/>
      <c r="S11" s="160"/>
      <c r="T11" s="160"/>
    </row>
    <row r="12" spans="2:24" x14ac:dyDescent="0.35">
      <c r="B12" s="129" t="s">
        <v>9</v>
      </c>
      <c r="C12" s="130"/>
      <c r="D12" s="130"/>
      <c r="E12" s="130"/>
      <c r="F12" s="130"/>
      <c r="G12" s="130"/>
      <c r="H12" s="130"/>
      <c r="I12" s="130"/>
      <c r="J12" s="131"/>
      <c r="K12" s="132" t="s">
        <v>54</v>
      </c>
      <c r="L12" s="130"/>
      <c r="M12" s="130"/>
      <c r="N12" s="130"/>
      <c r="O12" s="130"/>
      <c r="P12" s="130"/>
      <c r="Q12" s="130"/>
      <c r="R12" s="130"/>
      <c r="S12" s="130"/>
      <c r="T12" s="133"/>
    </row>
    <row r="13" spans="2:24" ht="14.5" customHeight="1" x14ac:dyDescent="0.35">
      <c r="B13" s="115" t="s">
        <v>214</v>
      </c>
      <c r="C13" s="116" t="s">
        <v>215</v>
      </c>
      <c r="D13" s="117"/>
      <c r="E13" s="104"/>
      <c r="F13" s="135" t="s">
        <v>216</v>
      </c>
      <c r="G13" s="135" t="s">
        <v>217</v>
      </c>
      <c r="H13" s="135" t="s">
        <v>218</v>
      </c>
      <c r="I13" s="135" t="s">
        <v>219</v>
      </c>
      <c r="J13" s="135" t="s">
        <v>220</v>
      </c>
      <c r="K13" s="116" t="s">
        <v>221</v>
      </c>
      <c r="L13" s="117"/>
      <c r="M13" s="104"/>
      <c r="N13" s="127" t="s">
        <v>222</v>
      </c>
      <c r="O13" s="127" t="s">
        <v>223</v>
      </c>
      <c r="P13" s="127" t="s">
        <v>224</v>
      </c>
      <c r="Q13" s="127" t="s">
        <v>225</v>
      </c>
      <c r="R13" s="127" t="s">
        <v>226</v>
      </c>
      <c r="S13" s="127" t="s">
        <v>227</v>
      </c>
      <c r="T13" s="137" t="s">
        <v>228</v>
      </c>
    </row>
    <row r="14" spans="2:24" x14ac:dyDescent="0.35">
      <c r="B14" s="134"/>
      <c r="C14" s="94" t="s">
        <v>229</v>
      </c>
      <c r="D14" s="139" t="s">
        <v>230</v>
      </c>
      <c r="E14" s="140"/>
      <c r="F14" s="136"/>
      <c r="G14" s="136"/>
      <c r="H14" s="136"/>
      <c r="I14" s="136"/>
      <c r="J14" s="136"/>
      <c r="K14" s="52" t="s">
        <v>229</v>
      </c>
      <c r="L14" s="139" t="s">
        <v>230</v>
      </c>
      <c r="M14" s="140"/>
      <c r="N14" s="128"/>
      <c r="O14" s="128"/>
      <c r="P14" s="128"/>
      <c r="Q14" s="128"/>
      <c r="R14" s="128"/>
      <c r="S14" s="128"/>
      <c r="T14" s="138"/>
    </row>
    <row r="15" spans="2:24" x14ac:dyDescent="0.35">
      <c r="B15" s="45" t="s">
        <v>2</v>
      </c>
      <c r="C15" s="76">
        <f>SUMIFS(REALIZADO[META_MOVEL],REALIZADO[PDV],'SAO FIDELIS'!$M$7)</f>
        <v>7500</v>
      </c>
      <c r="D15" s="77">
        <f>SUMIFS(PROJEÇÃO[PROJ_MOVEL],PROJEÇÃO[PDV],'SAO FIDELIS'!$M$7)</f>
        <v>6959.1088</v>
      </c>
      <c r="E15" s="49">
        <f>IFERROR(D15/C15,0)</f>
        <v>0.92788117333333331</v>
      </c>
      <c r="F15" s="8">
        <f>VLOOKUP($E$15,FATORES!$I$32:$K$34,3)</f>
        <v>0.04</v>
      </c>
      <c r="G15" s="8">
        <f>IFERROR(VLOOKUP($E$15,FATORES!$I$35:$K$36,3),0)</f>
        <v>0</v>
      </c>
      <c r="H15" s="9">
        <f>D15*F15</f>
        <v>278.364352</v>
      </c>
      <c r="I15" s="9">
        <f t="shared" ref="I15:I23" si="0">IF($P$7="ARIEL",
   IF(AND($E$15&gt;=69.5%, AND($E$17&gt;=69.5%, $E$18&gt;=69.5%, $E$18&gt;=69.5%, $E$20&gt;=69.5%, $E$20&gt;=69.5%, $E$22&gt;=69.5%, $E$23&gt;=69.5%)),
      D15*G15,
      0),
   IF(AND($E$15&gt;=69.5%, $E$16&gt;=69.5%, $E$17&gt;=69.5%, $E$18&gt;=69.5%, $E$18&gt;=69.5%, $E$20&gt;=69.5%, $E$20&gt;=69.5%, $E$22&gt;=69.5%, $E$23&gt;=69.5%),
      D15*G15,
      0)
)</f>
        <v>0</v>
      </c>
      <c r="J15" s="9">
        <f>H15+I15</f>
        <v>278.364352</v>
      </c>
      <c r="K15" s="76">
        <f>SUMIFS(REALIZADO[META_MOVEL],REALIZADO[COORDENAÇÃO],$P$7)</f>
        <v>59729.999899999995</v>
      </c>
      <c r="L15" s="77">
        <f>SUMIFS(PROJEÇÃO[PROJ_MOVEL],PROJEÇÃO[COORDENAÇÃO],$P$7)</f>
        <v>52523.219899999989</v>
      </c>
      <c r="M15" s="49">
        <f>IFERROR(L15/K15,0)</f>
        <v>0.87934404801497401</v>
      </c>
      <c r="N15" s="8">
        <f>IF($M$15&gt;=FATORES!$I$37,FATORES!$K$37,0)</f>
        <v>0</v>
      </c>
      <c r="O15" s="14">
        <f>IF(E15&gt;=100%,
   IF($P$7="ARIEL",
      IF(AND($E$15&gt;=69.5%,$E$17&gt;=69.5%,$E$18&gt;=69.5%,$E$20&gt;=69.5%,$E$22&gt;=69.5%,$E$23&gt;=69.5%),
         D15*N15,
         0
      ),
      IF(AND($E$15&gt;=69.5%,$E$16&gt;=69.5%,$E$17&gt;=69.5%,$E$18&gt;=69.5%,$E$20&gt;=69.5%,$E$22&gt;=69.5%,$E$23&gt;=69.5%),
         D15*N15,
         0
      )
   ),
0)</f>
        <v>0</v>
      </c>
      <c r="P15" s="10">
        <f>J15+O15</f>
        <v>278.364352</v>
      </c>
      <c r="Q15" s="11">
        <f>IF($B$8=2,P15*0.05,0)</f>
        <v>0</v>
      </c>
      <c r="R15" s="11">
        <f>IF($B$8=3,P15*0.15,0)</f>
        <v>0</v>
      </c>
      <c r="S15" s="98">
        <v>0.1</v>
      </c>
      <c r="T15" s="124">
        <f>SUM(P24:S24)</f>
        <v>305.42689617499997</v>
      </c>
    </row>
    <row r="16" spans="2:24" x14ac:dyDescent="0.35">
      <c r="B16" s="46" t="s">
        <v>13</v>
      </c>
      <c r="C16" s="76">
        <f>SUMIFS(REALIZADO[META_FIXA],REALIZADO[PDV],'SAO FIDELIS'!$M$7)</f>
        <v>0</v>
      </c>
      <c r="D16" s="77">
        <f>SUMIFS(PROJEÇÃO[PROJ_FIXA],PROJEÇÃO[PDV],'SAO FIDELIS'!$M$7)</f>
        <v>0</v>
      </c>
      <c r="E16" s="50">
        <f>IFERROR(D16/C16,0)</f>
        <v>0</v>
      </c>
      <c r="F16" s="12">
        <f>VLOOKUP($E$16,FATORES!$I$40:$K$42,3)</f>
        <v>5.0000000000000001E-3</v>
      </c>
      <c r="G16" s="12">
        <f>IFERROR(VLOOKUP($E$16,FATORES!$I$43:$K$44,3),0)</f>
        <v>0</v>
      </c>
      <c r="H16" s="65">
        <f t="shared" ref="H16:H23" si="1">D16*F16</f>
        <v>0</v>
      </c>
      <c r="I16" s="65">
        <f t="shared" si="0"/>
        <v>0</v>
      </c>
      <c r="J16" s="65">
        <f t="shared" ref="J16:J23" si="2">H16+I16</f>
        <v>0</v>
      </c>
      <c r="K16" s="76">
        <f>SUMIFS(REALIZADO[META_FIXA],REALIZADO[COORDENAÇÃO],$P$7)</f>
        <v>0</v>
      </c>
      <c r="L16" s="77">
        <f>SUMIFS(PROJEÇÃO[PROJ_FIXA],PROJEÇÃO[COORDENAÇÃO],$P$7)</f>
        <v>0</v>
      </c>
      <c r="M16" s="50">
        <f t="shared" ref="M16:M17" si="3">IFERROR(L16/K16,0)</f>
        <v>0</v>
      </c>
      <c r="N16" s="12">
        <f>IF($M$16&gt;=FATORES!$I$45,FATORES!$K$45,0)</f>
        <v>0</v>
      </c>
      <c r="O16" s="14">
        <f t="shared" ref="O16:O23" si="4">IF(E16&gt;=100%,
   IF($P$7="ARIEL",
      IF(AND($E$15&gt;=69.5%,$E$17&gt;=69.5%,$E$18&gt;=69.5%,$E$20&gt;=69.5%,$E$22&gt;=69.5%,$E$23&gt;=69.5%),
         D16*N16,
         0
      ),
      IF(AND($E$15&gt;=69.5%,$E$16&gt;=69.5%,$E$17&gt;=69.5%,$E$18&gt;=69.5%,$E$20&gt;=69.5%,$E$22&gt;=69.5%,$E$23&gt;=69.5%),
         D16*N16,
         0
      )
   ),
0)</f>
        <v>0</v>
      </c>
      <c r="P16" s="13">
        <f t="shared" ref="P16:P23" si="5">J16+O16</f>
        <v>0</v>
      </c>
      <c r="Q16" s="15">
        <f>IF($C$8=2,P16*0.05,0)</f>
        <v>0</v>
      </c>
      <c r="R16" s="15">
        <f>IF($C$8=3,P16*0.15,0)</f>
        <v>0</v>
      </c>
      <c r="S16" s="99"/>
      <c r="T16" s="125"/>
    </row>
    <row r="17" spans="2:20" x14ac:dyDescent="0.35">
      <c r="B17" s="46" t="s">
        <v>231</v>
      </c>
      <c r="C17" s="53">
        <f>SUMIFS(REALIZADO[META_SMARTPHONE],REALIZADO[PDV],'SAO FIDELIS'!$M$7)</f>
        <v>82000</v>
      </c>
      <c r="D17" s="78">
        <f>SUMIFS(PROJEÇÃO[PROJ_APARELHO],PROJEÇÃO[PDV],'SAO FIDELIS'!$M$7)</f>
        <v>41572</v>
      </c>
      <c r="E17" s="50">
        <f>IFERROR(D17/C17,0)</f>
        <v>0.50697560975609757</v>
      </c>
      <c r="F17" s="12">
        <f>VLOOKUP($E$17,FATORES!$B$53:$D$54,3)</f>
        <v>2.0000000000000001E-4</v>
      </c>
      <c r="G17" s="12">
        <f>IFERROR(VLOOKUP($E$17,FATORES!$B$55:$D$55,3),0)</f>
        <v>0</v>
      </c>
      <c r="H17" s="65">
        <f t="shared" si="1"/>
        <v>8.3144000000000009</v>
      </c>
      <c r="I17" s="65">
        <f t="shared" si="0"/>
        <v>0</v>
      </c>
      <c r="J17" s="65">
        <f t="shared" si="2"/>
        <v>8.3144000000000009</v>
      </c>
      <c r="K17" s="53">
        <f>SUMIFS(REALIZADO[META_SMARTPHONE],REALIZADO[COORDENAÇÃO],$P$7)</f>
        <v>741000.00010000006</v>
      </c>
      <c r="L17" s="78">
        <f>SUMIFS(PROJEÇÃO[PROJ_APARELHO],PROJEÇÃO[COORDENAÇÃO],$P$7)</f>
        <v>619809.5554999999</v>
      </c>
      <c r="M17" s="50">
        <f t="shared" si="3"/>
        <v>0.8364501422622872</v>
      </c>
      <c r="N17" s="12">
        <f>IF($M$17&gt;=FATORES!$B$56,FATORES!$D$56,0)</f>
        <v>0</v>
      </c>
      <c r="O17" s="14">
        <f t="shared" si="4"/>
        <v>0</v>
      </c>
      <c r="P17" s="13">
        <f t="shared" si="5"/>
        <v>8.3144000000000009</v>
      </c>
      <c r="Q17" s="15">
        <f>IF($D$8=2,P17*0.05,0)</f>
        <v>0</v>
      </c>
      <c r="R17" s="15">
        <f>IF($D$8=3,P17*0.15,0)</f>
        <v>0</v>
      </c>
      <c r="S17" s="99"/>
      <c r="T17" s="125"/>
    </row>
    <row r="18" spans="2:20" x14ac:dyDescent="0.35">
      <c r="B18" s="47" t="s">
        <v>232</v>
      </c>
      <c r="C18" s="121">
        <f>SUMIFS(REALIZADO[META_ACESSORIO],REALIZADO[PDV],'SAO FIDELIS'!$M$7)</f>
        <v>8500</v>
      </c>
      <c r="D18" s="86">
        <f>SUMIFS(PROJEÇÃO[PROJ_ELETRO_A],PROJEÇÃO[PDV],'SAO FIDELIS'!$M$7)</f>
        <v>0</v>
      </c>
      <c r="E18" s="123">
        <f>IFERROR((D18+D19)/C18,0)</f>
        <v>1.2902614470588234</v>
      </c>
      <c r="F18" s="12">
        <f>VLOOKUP($E$18,FATORES!$B$44:$E$46,3)</f>
        <v>1.5E-3</v>
      </c>
      <c r="G18" s="12">
        <f>IFERROR(VLOOKUP($E$18,FATORES!$B$47:$E$48,3),0)</f>
        <v>6.0000000000000001E-3</v>
      </c>
      <c r="H18" s="65">
        <f t="shared" si="1"/>
        <v>0</v>
      </c>
      <c r="I18" s="65">
        <f t="shared" si="0"/>
        <v>0</v>
      </c>
      <c r="J18" s="65">
        <f t="shared" si="2"/>
        <v>0</v>
      </c>
      <c r="K18" s="121">
        <f>SUMIFS(REALIZADO[META_ACESSORIO],REALIZADO[COORDENAÇÃO],$P$7)</f>
        <v>84200.000200000009</v>
      </c>
      <c r="L18" s="86">
        <f>SUMIFS(PROJEÇÃO[PROJ_ELETRO_A],PROJEÇÃO[COORDENAÇÃO],$P$7)</f>
        <v>2058.3333000000002</v>
      </c>
      <c r="M18" s="97">
        <f>IFERROR((L18+L19)/K18,0)</f>
        <v>1.2364040611961895</v>
      </c>
      <c r="N18" s="12">
        <f>IF($M$18&gt;=FATORES!$B$49,FATORES!$D$49,0)</f>
        <v>2.5000000000000001E-3</v>
      </c>
      <c r="O18" s="14">
        <f t="shared" si="4"/>
        <v>0</v>
      </c>
      <c r="P18" s="13">
        <f t="shared" si="5"/>
        <v>0</v>
      </c>
      <c r="Q18" s="15">
        <f>IF($E$8=2,P18*0.05,0)</f>
        <v>0</v>
      </c>
      <c r="R18" s="15">
        <f>IF($E$8=3,P18*0.15,0)</f>
        <v>0</v>
      </c>
      <c r="S18" s="99"/>
      <c r="T18" s="125"/>
    </row>
    <row r="19" spans="2:20" x14ac:dyDescent="0.35">
      <c r="B19" s="47" t="s">
        <v>233</v>
      </c>
      <c r="C19" s="122"/>
      <c r="D19" s="87">
        <f>SUMIFS(PROJEÇÃO[PROJ_ELETRO_B],PROJEÇÃO[PDV],'SAO FIDELIS'!$M$7)</f>
        <v>10967.222299999999</v>
      </c>
      <c r="E19" s="123"/>
      <c r="F19" s="12">
        <f>VLOOKUP($E$18,FATORES!$B$44:$E$46,4)</f>
        <v>7.5000000000000002E-4</v>
      </c>
      <c r="G19" s="12">
        <f>IFERROR(VLOOKUP($E$18,FATORES!$B$47:$E$48,4),0)</f>
        <v>3.0000000000000001E-3</v>
      </c>
      <c r="H19" s="65">
        <f t="shared" si="1"/>
        <v>8.2254167250000005</v>
      </c>
      <c r="I19" s="65">
        <f t="shared" si="0"/>
        <v>0</v>
      </c>
      <c r="J19" s="65">
        <f t="shared" si="2"/>
        <v>8.2254167250000005</v>
      </c>
      <c r="K19" s="122"/>
      <c r="L19" s="87">
        <f>SUMIFS(PROJEÇÃO[PROJ_ELETRO_B],PROJEÇÃO[COORDENAÇÃO],$P$7)</f>
        <v>102046.88889999999</v>
      </c>
      <c r="M19" s="97"/>
      <c r="N19" s="12">
        <f>IF($M$18&gt;=FATORES!$B$49,FATORES!$E$49,0)</f>
        <v>1.25E-3</v>
      </c>
      <c r="O19" s="14">
        <f t="shared" si="4"/>
        <v>0</v>
      </c>
      <c r="P19" s="13">
        <f t="shared" si="5"/>
        <v>8.2254167250000005</v>
      </c>
      <c r="Q19" s="15">
        <f>IF($E$8=2,P19*0.05,0)</f>
        <v>0</v>
      </c>
      <c r="R19" s="15">
        <f>IF($E$8=3,P19*0.15,0)</f>
        <v>0</v>
      </c>
      <c r="S19" s="99"/>
      <c r="T19" s="125"/>
    </row>
    <row r="20" spans="2:20" x14ac:dyDescent="0.35">
      <c r="B20" s="46" t="s">
        <v>234</v>
      </c>
      <c r="C20" s="121">
        <f>SUMIFS(REALIZADO[META_ESSENCIAIS],REALIZADO[PDV],'SAO FIDELIS'!$M$7)</f>
        <v>6400</v>
      </c>
      <c r="D20" s="86">
        <f>SUMIFS(PROJEÇÃO[PROJ_ESSEN_A],PROJEÇÃO[PDV],'SAO FIDELIS'!$M$7)</f>
        <v>1916.8888999999999</v>
      </c>
      <c r="E20" s="123">
        <f>IFERROR((D20+D21)/C20,0)</f>
        <v>0.85499999999999998</v>
      </c>
      <c r="F20" s="12">
        <f>VLOOKUP($E$20,FATORES!$B$34:$E$36,3)</f>
        <v>1E-3</v>
      </c>
      <c r="G20" s="12">
        <f>IFERROR(VLOOKUP($E$20,FATORES!$B$37:$E$38,3),0)</f>
        <v>0</v>
      </c>
      <c r="H20" s="65">
        <f t="shared" si="1"/>
        <v>1.9168889</v>
      </c>
      <c r="I20" s="65">
        <f t="shared" si="0"/>
        <v>0</v>
      </c>
      <c r="J20" s="65">
        <f t="shared" si="2"/>
        <v>1.9168889</v>
      </c>
      <c r="K20" s="121">
        <f>SUMIFS(REALIZADO[META_ESSENCIAIS],REALIZADO[COORDENAÇÃO],$P$7)</f>
        <v>58599.999900000003</v>
      </c>
      <c r="L20" s="86">
        <f>SUMIFS(PROJEÇÃO[PROJ_ESSEN_A],PROJEÇÃO[COORDENAÇÃO],$P$7)</f>
        <v>30216.333300000002</v>
      </c>
      <c r="M20" s="97">
        <f>IFERROR((L20+L21)/K20,0)</f>
        <v>1.094031099136572</v>
      </c>
      <c r="N20" s="12">
        <f>IF($M$20&gt;=FATORES!$B$39,FATORES!$D$39,0)</f>
        <v>8.0000000000000002E-3</v>
      </c>
      <c r="O20" s="14">
        <f t="shared" si="4"/>
        <v>0</v>
      </c>
      <c r="P20" s="13">
        <f t="shared" si="5"/>
        <v>1.9168889</v>
      </c>
      <c r="Q20" s="15">
        <f>IF($F$8=2,P20*0.05,0)</f>
        <v>0</v>
      </c>
      <c r="R20" s="15">
        <f>IF($F$8=3,P20*0.15,0)</f>
        <v>0</v>
      </c>
      <c r="S20" s="99"/>
      <c r="T20" s="125"/>
    </row>
    <row r="21" spans="2:20" x14ac:dyDescent="0.35">
      <c r="B21" s="46" t="s">
        <v>235</v>
      </c>
      <c r="C21" s="122"/>
      <c r="D21" s="87">
        <f>SUMIFS(PROJEÇÃO[PROJ_ESSEN_B],PROJEÇÃO[PDV],'SAO FIDELIS'!$M$7)</f>
        <v>3555.1111000000001</v>
      </c>
      <c r="E21" s="123"/>
      <c r="F21" s="12">
        <f>VLOOKUP($E$20,FATORES!$B$34:$E$36,4)</f>
        <v>5.0000000000000001E-4</v>
      </c>
      <c r="G21" s="12">
        <f>IFERROR(VLOOKUP($E$20,FATORES!$B$37:$E$38,4),0)</f>
        <v>0</v>
      </c>
      <c r="H21" s="65">
        <f t="shared" si="1"/>
        <v>1.77755555</v>
      </c>
      <c r="I21" s="65">
        <f t="shared" si="0"/>
        <v>0</v>
      </c>
      <c r="J21" s="65">
        <f t="shared" si="2"/>
        <v>1.77755555</v>
      </c>
      <c r="K21" s="122"/>
      <c r="L21" s="87">
        <f>SUMIFS(PROJEÇÃO[PROJ_ESSEN_B],PROJEÇÃO[COORDENAÇÃO],$P$7)</f>
        <v>33893.88900000001</v>
      </c>
      <c r="M21" s="97"/>
      <c r="N21" s="12">
        <f>IF($M$20&gt;=FATORES!$B$39,FATORES!$E$39,0)</f>
        <v>4.0000000000000001E-3</v>
      </c>
      <c r="O21" s="14">
        <f t="shared" si="4"/>
        <v>0</v>
      </c>
      <c r="P21" s="13">
        <f t="shared" si="5"/>
        <v>1.77755555</v>
      </c>
      <c r="Q21" s="15">
        <f>IF($F$8=2,P21*0.05,0)</f>
        <v>0</v>
      </c>
      <c r="R21" s="15">
        <f>IF($F$8=3,P21*0.15,0)</f>
        <v>0</v>
      </c>
      <c r="S21" s="99"/>
      <c r="T21" s="125"/>
    </row>
    <row r="22" spans="2:20" x14ac:dyDescent="0.35">
      <c r="B22" s="46" t="s">
        <v>212</v>
      </c>
      <c r="C22" s="57">
        <f>SUMIFS(REALIZADO[META_SEGUROS],REALIZADO[PDV],'SAO FIDELIS'!$M$7)</f>
        <v>660</v>
      </c>
      <c r="D22" s="79">
        <f>SUMIFS(PROJEÇÃO[PROJ_SEGURO],PROJEÇÃO[PDV],'SAO FIDELIS'!$M$7)</f>
        <v>283.73329999999999</v>
      </c>
      <c r="E22" s="83">
        <f>IFERROR(D22/C22,0)</f>
        <v>0.42989893939393936</v>
      </c>
      <c r="F22" s="83">
        <f>VLOOKUP($E$22,FATORES!$O$32:$Q$34,3)</f>
        <v>5.0000000000000001E-3</v>
      </c>
      <c r="G22" s="12">
        <f>IFERROR(VLOOKUP($E$22,FATORES!$O$35:$Q$36,3),0)</f>
        <v>0</v>
      </c>
      <c r="H22" s="65">
        <f t="shared" si="1"/>
        <v>1.4186665000000001</v>
      </c>
      <c r="I22" s="65">
        <f t="shared" si="0"/>
        <v>0</v>
      </c>
      <c r="J22" s="65">
        <f t="shared" si="2"/>
        <v>1.4186665000000001</v>
      </c>
      <c r="K22" s="57">
        <f>SUMIFS(REALIZADO[META_SEGUROS],REALIZADO[COORDENAÇÃO],$P$7)</f>
        <v>5665</v>
      </c>
      <c r="L22" s="79">
        <f>SUMIFS(PROJEÇÃO[PROJ_SEGURO],PROJEÇÃO[COORDENAÇÃO],$P$7)</f>
        <v>5467.5668999999998</v>
      </c>
      <c r="M22" s="50">
        <f t="shared" ref="M22:M23" si="6">IFERROR(L22/K22,0)</f>
        <v>0.96514861429832299</v>
      </c>
      <c r="N22" s="12">
        <f>IF($M$22&gt;=FATORES!$O$37,FATORES!$Q$37,0)</f>
        <v>0</v>
      </c>
      <c r="O22" s="14">
        <f t="shared" si="4"/>
        <v>0</v>
      </c>
      <c r="P22" s="13">
        <f t="shared" si="5"/>
        <v>1.4186665000000001</v>
      </c>
      <c r="Q22" s="15">
        <f>IF($G$8=2,P22*0.05,0)</f>
        <v>0</v>
      </c>
      <c r="R22" s="15">
        <f>IF($G$8=3,P22*0.15,0)</f>
        <v>0</v>
      </c>
      <c r="S22" s="99"/>
      <c r="T22" s="125"/>
    </row>
    <row r="23" spans="2:20" x14ac:dyDescent="0.35">
      <c r="B23" s="48" t="s">
        <v>14</v>
      </c>
      <c r="C23" s="76">
        <f>SUMIFS(REALIZADO[META_SVA],REALIZADO[PDV],'SAO FIDELIS'!$M$7)</f>
        <v>700</v>
      </c>
      <c r="D23" s="77">
        <f>SUMIFS(PROJEÇÃO[PROJ_SVA],PROJEÇÃO[PDV],'SAO FIDELIS'!$M$7)</f>
        <v>1081.9232999999999</v>
      </c>
      <c r="E23" s="82">
        <f>IFERROR(D23/C23,0)</f>
        <v>1.5456047142857141</v>
      </c>
      <c r="F23" s="16">
        <f>IF($E$23&gt;=0,FATORES!$Q$40)</f>
        <v>5.0000000000000001E-3</v>
      </c>
      <c r="G23" s="16">
        <f>IFERROR(VLOOKUP($E$23,FATORES!$O$43:$Q$44,3),0)</f>
        <v>5.0000000000000001E-3</v>
      </c>
      <c r="H23" s="17">
        <f t="shared" si="1"/>
        <v>5.4096164999999994</v>
      </c>
      <c r="I23" s="65">
        <f t="shared" si="0"/>
        <v>0</v>
      </c>
      <c r="J23" s="17">
        <f t="shared" si="2"/>
        <v>5.4096164999999994</v>
      </c>
      <c r="K23" s="76">
        <f>SUMIFS(REALIZADO[META_SVA],REALIZADO[COORDENAÇÃO],$P$7)</f>
        <v>5384.9997999999996</v>
      </c>
      <c r="L23" s="77">
        <f>SUMIFS(PROJEÇÃO[PROJ_SVA],PROJEÇÃO[COORDENAÇÃO],$P$7)</f>
        <v>5513.6099000000004</v>
      </c>
      <c r="M23" s="51">
        <f t="shared" si="6"/>
        <v>1.0238830278136688</v>
      </c>
      <c r="N23" s="16">
        <f>IF($M$23&gt;=FATORES!$O$45,FATORES!$Q$45,0)</f>
        <v>5.0000000000000001E-3</v>
      </c>
      <c r="O23" s="14">
        <f t="shared" si="4"/>
        <v>0</v>
      </c>
      <c r="P23" s="18">
        <f t="shared" si="5"/>
        <v>5.4096164999999994</v>
      </c>
      <c r="Q23" s="19">
        <f>IF($H$8=2,P23*0.05,0)</f>
        <v>0</v>
      </c>
      <c r="R23" s="19">
        <f>IF($H$8=3,P23*0.15,0)</f>
        <v>0</v>
      </c>
      <c r="S23" s="100"/>
      <c r="T23" s="126"/>
    </row>
    <row r="24" spans="2:20" x14ac:dyDescent="0.35">
      <c r="B24" s="66"/>
      <c r="C24" s="67"/>
      <c r="D24" s="67"/>
      <c r="E24" s="67"/>
      <c r="F24" s="67"/>
      <c r="G24" s="67"/>
      <c r="H24" s="67"/>
      <c r="I24" s="67"/>
      <c r="J24" s="68"/>
      <c r="K24" s="69"/>
      <c r="L24" s="67"/>
      <c r="M24" s="67"/>
      <c r="N24" s="67"/>
      <c r="O24" s="67"/>
      <c r="P24" s="70">
        <f>SUM(P15:P23)</f>
        <v>305.42689617499997</v>
      </c>
      <c r="Q24" s="70">
        <f t="shared" ref="Q24:R24" si="7">SUM(Q15:Q23)</f>
        <v>0</v>
      </c>
      <c r="R24" s="70">
        <f t="shared" si="7"/>
        <v>0</v>
      </c>
      <c r="S24" s="71" t="str">
        <f>IF($P$7="ARIEL",IF(MIN(E15,E17,E18,E19,E20,E22,E23)&gt;=100%,SUM(P24:R24)*S15,""),IF(MIN(E15:E23)&gt;=100%,SUM(P24:R24)*S15,""))</f>
        <v/>
      </c>
      <c r="T24" s="72"/>
    </row>
    <row r="25" spans="2:20" ht="16.149999999999999" customHeight="1" x14ac:dyDescent="0.35">
      <c r="B25" s="80"/>
      <c r="C25" s="6"/>
      <c r="D25" s="6"/>
      <c r="E25" s="6"/>
      <c r="F25" s="6"/>
      <c r="G25" s="6"/>
      <c r="H25" s="6"/>
      <c r="T25" s="61"/>
    </row>
    <row r="26" spans="2:20" ht="18.5" x14ac:dyDescent="0.35">
      <c r="B26" s="141" t="s">
        <v>236</v>
      </c>
      <c r="C26" s="142"/>
      <c r="D26" s="142"/>
      <c r="E26" s="142"/>
      <c r="F26" s="142"/>
      <c r="G26" s="142"/>
      <c r="H26" s="142"/>
      <c r="I26" s="142"/>
      <c r="J26" s="142"/>
      <c r="K26" s="142"/>
      <c r="L26" s="142"/>
      <c r="M26" s="142"/>
      <c r="N26" s="142"/>
      <c r="O26" s="142"/>
      <c r="P26" s="142"/>
      <c r="Q26" s="142"/>
      <c r="R26" s="142"/>
      <c r="S26" s="142"/>
      <c r="T26" s="142"/>
    </row>
    <row r="27" spans="2:20" x14ac:dyDescent="0.35">
      <c r="B27" s="129" t="s">
        <v>9</v>
      </c>
      <c r="C27" s="130"/>
      <c r="D27" s="130"/>
      <c r="E27" s="130"/>
      <c r="F27" s="130"/>
      <c r="G27" s="130"/>
      <c r="H27" s="130"/>
      <c r="I27" s="130"/>
      <c r="J27" s="131"/>
      <c r="K27" s="132" t="s">
        <v>54</v>
      </c>
      <c r="L27" s="130"/>
      <c r="M27" s="130"/>
      <c r="N27" s="130"/>
      <c r="O27" s="130"/>
      <c r="P27" s="130"/>
      <c r="Q27" s="130"/>
      <c r="R27" s="130"/>
      <c r="S27" s="130"/>
      <c r="T27" s="133"/>
    </row>
    <row r="28" spans="2:20" ht="14.5" customHeight="1" x14ac:dyDescent="0.35">
      <c r="B28" s="115" t="s">
        <v>214</v>
      </c>
      <c r="C28" s="116" t="s">
        <v>237</v>
      </c>
      <c r="D28" s="117"/>
      <c r="E28" s="104"/>
      <c r="F28" s="135" t="s">
        <v>216</v>
      </c>
      <c r="G28" s="135" t="s">
        <v>217</v>
      </c>
      <c r="H28" s="135" t="s">
        <v>218</v>
      </c>
      <c r="I28" s="135" t="s">
        <v>219</v>
      </c>
      <c r="J28" s="135" t="s">
        <v>220</v>
      </c>
      <c r="K28" s="116" t="s">
        <v>238</v>
      </c>
      <c r="L28" s="117"/>
      <c r="M28" s="104"/>
      <c r="N28" s="127" t="s">
        <v>222</v>
      </c>
      <c r="O28" s="127" t="s">
        <v>223</v>
      </c>
      <c r="P28" s="127" t="s">
        <v>224</v>
      </c>
      <c r="Q28" s="127" t="s">
        <v>225</v>
      </c>
      <c r="R28" s="127" t="s">
        <v>226</v>
      </c>
      <c r="S28" s="127" t="s">
        <v>227</v>
      </c>
      <c r="T28" s="137" t="s">
        <v>228</v>
      </c>
    </row>
    <row r="29" spans="2:20" ht="14.5" customHeight="1" x14ac:dyDescent="0.35">
      <c r="B29" s="134"/>
      <c r="C29" s="94" t="s">
        <v>229</v>
      </c>
      <c r="D29" s="139" t="s">
        <v>230</v>
      </c>
      <c r="E29" s="140"/>
      <c r="F29" s="136"/>
      <c r="G29" s="136"/>
      <c r="H29" s="136"/>
      <c r="I29" s="136"/>
      <c r="J29" s="136"/>
      <c r="K29" s="52" t="s">
        <v>229</v>
      </c>
      <c r="L29" s="139" t="s">
        <v>230</v>
      </c>
      <c r="M29" s="140"/>
      <c r="N29" s="128"/>
      <c r="O29" s="128"/>
      <c r="P29" s="128"/>
      <c r="Q29" s="128"/>
      <c r="R29" s="128"/>
      <c r="S29" s="128"/>
      <c r="T29" s="138"/>
    </row>
    <row r="30" spans="2:20" x14ac:dyDescent="0.35">
      <c r="B30" s="45" t="s">
        <v>2</v>
      </c>
      <c r="C30" s="76">
        <f>SUMIFS(REALIZADO[META_MOVEL],REALIZADO[PDV],'SAO FIDELIS'!$M$7)</f>
        <v>7500</v>
      </c>
      <c r="D30" s="77">
        <f>SUMIFS(REALIZADO[AT_MOVEL],REALIZADO[PDV],'SAO FIDELIS'!$M$7)</f>
        <v>427.99</v>
      </c>
      <c r="E30" s="49">
        <f>IFERROR(D30/C30,0)</f>
        <v>5.7065333333333336E-2</v>
      </c>
      <c r="F30" s="8">
        <f>VLOOKUP($E$30,FATORES!$I$32:$K$34,3)</f>
        <v>5.0000000000000001E-3</v>
      </c>
      <c r="G30" s="8">
        <f>IFERROR(VLOOKUP($E$30,FATORES!$I$35:$K$36,3),0)</f>
        <v>0</v>
      </c>
      <c r="H30" s="9">
        <f>D30*F30</f>
        <v>2.1399500000000002</v>
      </c>
      <c r="I30" s="9">
        <f t="shared" ref="I30:I38" si="8">IF($P$7="ARIEL",
   IF(AND($E$30&gt;=69.5%, AND($E$32&gt;=69.5%, $E$33&gt;=69.5%, $E$33&gt;=69.5%, $E$35&gt;=69.5%, $E$35&gt;=69.5%, $E$37&gt;=69.5%, $E$38&gt;=69.5%)),
      D30*G30,
      0),
   IF(AND($E$30&gt;=69.5%, $E$31&gt;=69.5%, $E$32&gt;=69.5%, $E$33&gt;=69.5%, $E$33&gt;=69.5%, $E$35&gt;=69.5%, $E$35&gt;=69.5%, $E$37&gt;=69.5%, $E$38&gt;=69.5%),
      D30*G30,
      0)
)</f>
        <v>0</v>
      </c>
      <c r="J30" s="9">
        <f>H30+I30</f>
        <v>2.1399500000000002</v>
      </c>
      <c r="K30" s="76">
        <f>SUMIFS(REALIZADO[META_MOVEL],REALIZADO[COORDENAÇÃO],$P$7)</f>
        <v>59729.999899999995</v>
      </c>
      <c r="L30" s="77">
        <f>SUMIFS(REALIZADO[AT_MOVEL],REALIZADO[COORDENAÇÃO],$P$7)</f>
        <v>5335.72</v>
      </c>
      <c r="M30" s="49">
        <f>IFERROR(L30/K30,0)</f>
        <v>8.9330654761980016E-2</v>
      </c>
      <c r="N30" s="8">
        <f>IF($M$30&gt;=FATORES!$I$37,FATORES!$K$37,0)</f>
        <v>0</v>
      </c>
      <c r="O30" s="14">
        <f>IF(E30&gt;=100%,
IF($P$7="ARIEL",
IF(AND($E$30&gt;=69.5%,$E$32&gt;=69.5%,$E$33&gt;=69.5%,$E$35&gt;=69.5%,$E$37&gt;=69.5%,$E$38&gt;=69.5%),
D30*N30,
0),
IF(AND($E$30&gt;=69.5%,$E$31&gt;=69.5%,$E$32&gt;=69.5%,$E$33&gt;=69.5%,$E$35&gt;=69.5%,$E$37&gt;=69.5%,$E$38&gt;=69.5%),
D30*N30,
0)
),0)</f>
        <v>0</v>
      </c>
      <c r="P30" s="10">
        <f>J30+O30</f>
        <v>2.1399500000000002</v>
      </c>
      <c r="Q30" s="11">
        <f>IF($B$8=2,P30*0.05,0)</f>
        <v>0</v>
      </c>
      <c r="R30" s="11">
        <f>IF($B$8=3,P30*0.15,0)</f>
        <v>0</v>
      </c>
      <c r="S30" s="98">
        <v>0.1</v>
      </c>
      <c r="T30" s="124">
        <f>SUM(P39:S39)</f>
        <v>2.4179500000000003</v>
      </c>
    </row>
    <row r="31" spans="2:20" x14ac:dyDescent="0.35">
      <c r="B31" s="46" t="s">
        <v>13</v>
      </c>
      <c r="C31" s="76">
        <f>SUMIFS(REALIZADO[META_FIXA],REALIZADO[PDV],'SAO FIDELIS'!$M$7)</f>
        <v>0</v>
      </c>
      <c r="D31" s="77">
        <f>SUMIFS(REALIZADO[AT_FIXA],REALIZADO[PDV],'SAO FIDELIS'!$M$7)</f>
        <v>0</v>
      </c>
      <c r="E31" s="50">
        <f>IFERROR(D31/C31,0)</f>
        <v>0</v>
      </c>
      <c r="F31" s="12">
        <f>VLOOKUP($E$31,FATORES!$I$40:$K$42,3)</f>
        <v>5.0000000000000001E-3</v>
      </c>
      <c r="G31" s="12">
        <f>IFERROR(VLOOKUP($E$31,FATORES!$I$43:$K$44,3),0)</f>
        <v>0</v>
      </c>
      <c r="H31" s="65">
        <f t="shared" ref="H31:H38" si="9">D31*F31</f>
        <v>0</v>
      </c>
      <c r="I31" s="65">
        <f t="shared" si="8"/>
        <v>0</v>
      </c>
      <c r="J31" s="65">
        <f t="shared" ref="J31:J38" si="10">H31+I31</f>
        <v>0</v>
      </c>
      <c r="K31" s="76">
        <f>SUMIFS(REALIZADO[META_FIXA],REALIZADO[COORDENAÇÃO],$P$7)</f>
        <v>0</v>
      </c>
      <c r="L31" s="77">
        <f>SUMIFS(REALIZADO[AT_FIXA],REALIZADO[COORDENAÇÃO],$P$7)</f>
        <v>0</v>
      </c>
      <c r="M31" s="50">
        <f t="shared" ref="M31:M32" si="11">IFERROR(L31/K31,0)</f>
        <v>0</v>
      </c>
      <c r="N31" s="12">
        <f>IF($M$31&gt;=FATORES!$I$45,FATORES!$K$45,0)</f>
        <v>0</v>
      </c>
      <c r="O31" s="14">
        <f t="shared" ref="O31:O38" si="12">IF(E31&gt;=100%,
IF($P$7="ARIEL",
IF(AND($E$30&gt;=69.5%,$E$32&gt;=69.5%,$E$33&gt;=69.5%,$E$35&gt;=69.5%,$E$37&gt;=69.5%,$E$38&gt;=69.5%),
D31*N31,
0),
IF(AND($E$30&gt;=69.5%,$E$31&gt;=69.5%,$E$32&gt;=69.5%,$E$33&gt;=69.5%,$E$35&gt;=69.5%,$E$37&gt;=69.5%,$E$38&gt;=69.5%),
D31*N31,
0)
),0)</f>
        <v>0</v>
      </c>
      <c r="P31" s="13">
        <f t="shared" ref="P31:P38" si="13">J31+O31</f>
        <v>0</v>
      </c>
      <c r="Q31" s="15">
        <f>IF($C$8=2,P31*0.05,0)</f>
        <v>0</v>
      </c>
      <c r="R31" s="15">
        <f>IF($C$8=3,P31*0.15,0)</f>
        <v>0</v>
      </c>
      <c r="S31" s="99"/>
      <c r="T31" s="125"/>
    </row>
    <row r="32" spans="2:20" x14ac:dyDescent="0.35">
      <c r="B32" s="46" t="s">
        <v>231</v>
      </c>
      <c r="C32" s="53">
        <f>SUMIFS(REALIZADO[META_SMARTPHONE],REALIZADO[PDV],'SAO FIDELIS'!$M$7)</f>
        <v>82000</v>
      </c>
      <c r="D32" s="78">
        <f>SUMIFS(REALIZADO[AT_SMARTPHONE],REALIZADO[PDV],'SAO FIDELIS'!$M$7)</f>
        <v>0</v>
      </c>
      <c r="E32" s="50">
        <f>IFERROR(D32/C32,0)</f>
        <v>0</v>
      </c>
      <c r="F32" s="12">
        <f>VLOOKUP($E$32,FATORES!$B$53:$D$54,3)</f>
        <v>2.0000000000000001E-4</v>
      </c>
      <c r="G32" s="12">
        <f>IFERROR(VLOOKUP($E$32,FATORES!$B$55:$D$55,3),0)</f>
        <v>0</v>
      </c>
      <c r="H32" s="65">
        <f t="shared" si="9"/>
        <v>0</v>
      </c>
      <c r="I32" s="65">
        <f t="shared" si="8"/>
        <v>0</v>
      </c>
      <c r="J32" s="65">
        <f t="shared" si="10"/>
        <v>0</v>
      </c>
      <c r="K32" s="53">
        <f>SUMIFS(REALIZADO[META_SMARTPHONE],REALIZADO[COORDENAÇÃO],$P$7)</f>
        <v>741000.00010000006</v>
      </c>
      <c r="L32" s="78">
        <f>SUMIFS(REALIZADO[AT_SMARTPHONE],REALIZADO[COORDENAÇÃO],$P$7)</f>
        <v>81442</v>
      </c>
      <c r="M32" s="50">
        <f t="shared" si="11"/>
        <v>0.109908232103926</v>
      </c>
      <c r="N32" s="12">
        <f>IF($M$32&gt;=FATORES!$B$56,FATORES!$D$56,0)</f>
        <v>0</v>
      </c>
      <c r="O32" s="14">
        <f t="shared" si="12"/>
        <v>0</v>
      </c>
      <c r="P32" s="13">
        <f t="shared" si="13"/>
        <v>0</v>
      </c>
      <c r="Q32" s="15">
        <f>IF($D$8=2,P32*0.05,0)</f>
        <v>0</v>
      </c>
      <c r="R32" s="15">
        <f>IF($D$8=3,P32*0.15,0)</f>
        <v>0</v>
      </c>
      <c r="S32" s="99"/>
      <c r="T32" s="125"/>
    </row>
    <row r="33" spans="2:20" x14ac:dyDescent="0.35">
      <c r="B33" s="47" t="s">
        <v>232</v>
      </c>
      <c r="C33" s="121">
        <f>SUMIFS(REALIZADO[META_ACESSORIO],REALIZADO[PDV],'SAO FIDELIS'!$M$7)</f>
        <v>8500</v>
      </c>
      <c r="D33" s="86">
        <f>SUMIFS(REALIZADO[AT_ACESSORIOS_A],REALIZADO[PDV],'SAO FIDELIS'!$M$7)</f>
        <v>0</v>
      </c>
      <c r="E33" s="123">
        <f>IFERROR((D33+D34)/C33,0)</f>
        <v>0</v>
      </c>
      <c r="F33" s="12">
        <f>VLOOKUP($E$33,FATORES!$B$44:$E$46,3)</f>
        <v>5.0000000000000001E-4</v>
      </c>
      <c r="G33" s="12">
        <f>IFERROR(VLOOKUP($E$33,FATORES!$B$47:$E$48,3),0)</f>
        <v>0</v>
      </c>
      <c r="H33" s="65">
        <f t="shared" si="9"/>
        <v>0</v>
      </c>
      <c r="I33" s="65">
        <f t="shared" si="8"/>
        <v>0</v>
      </c>
      <c r="J33" s="65">
        <f t="shared" si="10"/>
        <v>0</v>
      </c>
      <c r="K33" s="121">
        <f>SUMIFS(REALIZADO[META_ACESSORIO],REALIZADO[COORDENAÇÃO],$P$7)</f>
        <v>84200.000200000009</v>
      </c>
      <c r="L33" s="86">
        <f>SUMIFS(REALIZADO[AT_ACESSORIOS_A],REALIZADO[COORDENAÇÃO],$P$7)</f>
        <v>0</v>
      </c>
      <c r="M33" s="97">
        <f>IFERROR((L33+L34)/K33,0)</f>
        <v>0.13485748186494659</v>
      </c>
      <c r="N33" s="12">
        <f>IF($M$33&gt;=FATORES!$B$49,FATORES!$D$49,0)</f>
        <v>0</v>
      </c>
      <c r="O33" s="14">
        <f t="shared" si="12"/>
        <v>0</v>
      </c>
      <c r="P33" s="13">
        <f t="shared" si="13"/>
        <v>0</v>
      </c>
      <c r="Q33" s="15">
        <f>IF($E$8=2,P33*0.05,0)</f>
        <v>0</v>
      </c>
      <c r="R33" s="15">
        <f>IF($E$8=3,P33*0.15,0)</f>
        <v>0</v>
      </c>
      <c r="S33" s="99"/>
      <c r="T33" s="125"/>
    </row>
    <row r="34" spans="2:20" x14ac:dyDescent="0.35">
      <c r="B34" s="47" t="s">
        <v>233</v>
      </c>
      <c r="C34" s="122"/>
      <c r="D34" s="87">
        <f>SUMIFS(REALIZADO[AT_ACESSORIOS_B],REALIZADO[PDV],'SAO FIDELIS'!$M$7)</f>
        <v>0</v>
      </c>
      <c r="E34" s="123"/>
      <c r="F34" s="12">
        <f>VLOOKUP($E$33,FATORES!$B$44:$E$46,4)</f>
        <v>2.5000000000000001E-4</v>
      </c>
      <c r="G34" s="12">
        <f>IFERROR(VLOOKUP($E$33,FATORES!$B$47:$E$48,4),0)</f>
        <v>0</v>
      </c>
      <c r="H34" s="65">
        <f t="shared" si="9"/>
        <v>0</v>
      </c>
      <c r="I34" s="65">
        <f t="shared" si="8"/>
        <v>0</v>
      </c>
      <c r="J34" s="65">
        <f t="shared" si="10"/>
        <v>0</v>
      </c>
      <c r="K34" s="122"/>
      <c r="L34" s="87">
        <f>SUMIFS(REALIZADO[AT_ACESSORIOS_B],REALIZADO[COORDENAÇÃO],$P$7)</f>
        <v>11355</v>
      </c>
      <c r="M34" s="97"/>
      <c r="N34" s="12">
        <f>IF($M$33&gt;=FATORES!$B$49,FATORES!$E$49,0)</f>
        <v>0</v>
      </c>
      <c r="O34" s="14">
        <f t="shared" si="12"/>
        <v>0</v>
      </c>
      <c r="P34" s="13">
        <f t="shared" si="13"/>
        <v>0</v>
      </c>
      <c r="Q34" s="15">
        <f>IF($E$8=2,P34*0.05,0)</f>
        <v>0</v>
      </c>
      <c r="R34" s="15">
        <f>IF($E$8=3,P34*0.15,0)</f>
        <v>0</v>
      </c>
      <c r="S34" s="99"/>
      <c r="T34" s="125"/>
    </row>
    <row r="35" spans="2:20" x14ac:dyDescent="0.35">
      <c r="B35" s="46" t="s">
        <v>234</v>
      </c>
      <c r="C35" s="121">
        <f>SUMIFS(REALIZADO[META_ESSENCIAIS],REALIZADO[PDV],'SAO FIDELIS'!$M$7)</f>
        <v>6400</v>
      </c>
      <c r="D35" s="86">
        <f>SUMIFS(REALIZADO[AT_ESSENCIAIS_A],REALIZADO[PDV],'SAO FIDELIS'!$M$7)</f>
        <v>69</v>
      </c>
      <c r="E35" s="123">
        <f>IFERROR((D35+D36)/C35,0)</f>
        <v>1.0781249999999999E-2</v>
      </c>
      <c r="F35" s="12">
        <f>VLOOKUP($E$35,FATORES!$B$34:$E$36,3)</f>
        <v>5.0000000000000001E-4</v>
      </c>
      <c r="G35" s="12">
        <f>IFERROR(VLOOKUP($E$35,FATORES!$B$37:$E$38,3),0)</f>
        <v>0</v>
      </c>
      <c r="H35" s="65">
        <f t="shared" si="9"/>
        <v>3.4500000000000003E-2</v>
      </c>
      <c r="I35" s="65">
        <f t="shared" si="8"/>
        <v>0</v>
      </c>
      <c r="J35" s="65">
        <f t="shared" si="10"/>
        <v>3.4500000000000003E-2</v>
      </c>
      <c r="K35" s="121">
        <f>SUMIFS(REALIZADO[META_ESSENCIAIS],REALIZADO[COORDENAÇÃO],$P$7)</f>
        <v>58599.999900000003</v>
      </c>
      <c r="L35" s="86">
        <f>SUMIFS(REALIZADO[AT_ESSENCIAIS_A],REALIZADO[COORDENAÇÃO],$P$7)</f>
        <v>4117</v>
      </c>
      <c r="M35" s="97">
        <f>IFERROR((L35+L36)/K35,0)</f>
        <v>0.1419112630408042</v>
      </c>
      <c r="N35" s="12">
        <f>IF($M$35&gt;=FATORES!$B$39,FATORES!$D$39,0)</f>
        <v>0</v>
      </c>
      <c r="O35" s="14">
        <f t="shared" si="12"/>
        <v>0</v>
      </c>
      <c r="P35" s="13">
        <f t="shared" si="13"/>
        <v>3.4500000000000003E-2</v>
      </c>
      <c r="Q35" s="15">
        <f>IF($F$8=2,P35*0.05,0)</f>
        <v>0</v>
      </c>
      <c r="R35" s="15">
        <f>IF($F$8=3,P35*0.15,0)</f>
        <v>0</v>
      </c>
      <c r="S35" s="99"/>
      <c r="T35" s="125"/>
    </row>
    <row r="36" spans="2:20" x14ac:dyDescent="0.35">
      <c r="B36" s="46" t="s">
        <v>235</v>
      </c>
      <c r="C36" s="122"/>
      <c r="D36" s="87">
        <f>SUMIFS(REALIZADO[AT_ESSENCIAIS_B],REALIZADO[PDV],'SAO FIDELIS'!$M$7)</f>
        <v>0</v>
      </c>
      <c r="E36" s="123"/>
      <c r="F36" s="12">
        <f>VLOOKUP($E$35,FATORES!$B$34:$E$36,4)</f>
        <v>2.5000000000000001E-4</v>
      </c>
      <c r="G36" s="12">
        <f>IFERROR(VLOOKUP($E$35,FATORES!$B$37:$E$38,4),0)</f>
        <v>0</v>
      </c>
      <c r="H36" s="65">
        <f t="shared" si="9"/>
        <v>0</v>
      </c>
      <c r="I36" s="65">
        <f t="shared" si="8"/>
        <v>0</v>
      </c>
      <c r="J36" s="65">
        <f t="shared" si="10"/>
        <v>0</v>
      </c>
      <c r="K36" s="122"/>
      <c r="L36" s="87">
        <f>SUMIFS(REALIZADO[AT_ESSENCIAIS_B],REALIZADO[COORDENAÇÃO],$P$7)</f>
        <v>4199</v>
      </c>
      <c r="M36" s="97"/>
      <c r="N36" s="12">
        <f>IF($M$35&gt;=FATORES!$B$39,FATORES!$E$39,0)</f>
        <v>0</v>
      </c>
      <c r="O36" s="14">
        <f t="shared" si="12"/>
        <v>0</v>
      </c>
      <c r="P36" s="13">
        <f t="shared" si="13"/>
        <v>0</v>
      </c>
      <c r="Q36" s="15">
        <f>IF($F$8=2,P36*0.05,0)</f>
        <v>0</v>
      </c>
      <c r="R36" s="15">
        <f>IF($F$8=3,P36*0.15,0)</f>
        <v>0</v>
      </c>
      <c r="S36" s="99"/>
      <c r="T36" s="125"/>
    </row>
    <row r="37" spans="2:20" x14ac:dyDescent="0.35">
      <c r="B37" s="46" t="s">
        <v>212</v>
      </c>
      <c r="C37" s="57">
        <f>SUMIFS(REALIZADO[META_SEGUROS],REALIZADO[PDV],'SAO FIDELIS'!$M$7)</f>
        <v>660</v>
      </c>
      <c r="D37" s="79">
        <f>SUMIFS(REALIZADO[AT_SEGUROS],REALIZADO[PDV],'SAO FIDELIS'!$M$7)</f>
        <v>27.8</v>
      </c>
      <c r="E37" s="83">
        <f>IFERROR(D37/C37,0)</f>
        <v>4.2121212121212122E-2</v>
      </c>
      <c r="F37" s="83">
        <f>VLOOKUP($E$37,FATORES!$O$32:$Q$34,3)</f>
        <v>5.0000000000000001E-3</v>
      </c>
      <c r="G37" s="12">
        <f>IFERROR(VLOOKUP($E$37,FATORES!$O$35:$Q$36,3),0)</f>
        <v>0</v>
      </c>
      <c r="H37" s="65">
        <f t="shared" si="9"/>
        <v>0.13900000000000001</v>
      </c>
      <c r="I37" s="65">
        <f t="shared" si="8"/>
        <v>0</v>
      </c>
      <c r="J37" s="65">
        <f t="shared" si="10"/>
        <v>0.13900000000000001</v>
      </c>
      <c r="K37" s="57">
        <f>SUMIFS(REALIZADO[META_SEGUROS],REALIZADO[COORDENAÇÃO],$P$7)</f>
        <v>5665</v>
      </c>
      <c r="L37" s="79">
        <f>SUMIFS(REALIZADO[AT_SEGUROS],REALIZADO[COORDENAÇÃO],$P$7)</f>
        <v>420.19999999999993</v>
      </c>
      <c r="M37" s="50">
        <f t="shared" ref="M37:M38" si="14">IFERROR(L37/K37,0)</f>
        <v>7.4174757281553386E-2</v>
      </c>
      <c r="N37" s="12">
        <f>IF($M$37&gt;=FATORES!$O$37,FATORES!$Q$37,0)</f>
        <v>0</v>
      </c>
      <c r="O37" s="14">
        <f t="shared" si="12"/>
        <v>0</v>
      </c>
      <c r="P37" s="13">
        <f t="shared" si="13"/>
        <v>0.13900000000000001</v>
      </c>
      <c r="Q37" s="15">
        <f>IF($G$8=2,P37*0.05,0)</f>
        <v>0</v>
      </c>
      <c r="R37" s="15">
        <f>IF($G$8=3,P37*0.15,0)</f>
        <v>0</v>
      </c>
      <c r="S37" s="99"/>
      <c r="T37" s="125"/>
    </row>
    <row r="38" spans="2:20" x14ac:dyDescent="0.35">
      <c r="B38" s="48" t="s">
        <v>14</v>
      </c>
      <c r="C38" s="76">
        <f>SUMIFS(REALIZADO[META_SVA],REALIZADO[PDV],'SAO FIDELIS'!$M$7)</f>
        <v>700</v>
      </c>
      <c r="D38" s="77">
        <f>SUMIFS(REALIZADO[AT_SVA],REALIZADO[PDV],'SAO FIDELIS'!$M$7)</f>
        <v>20.9</v>
      </c>
      <c r="E38" s="82">
        <f>IFERROR(D38/C38,0)</f>
        <v>2.9857142857142856E-2</v>
      </c>
      <c r="F38" s="16">
        <f>IF($E$38&gt;=0,FATORES!$Q$40)</f>
        <v>5.0000000000000001E-3</v>
      </c>
      <c r="G38" s="16">
        <f>IFERROR(VLOOKUP($E$38,FATORES!$O$43:$Q$44,3),0)</f>
        <v>0</v>
      </c>
      <c r="H38" s="17">
        <f t="shared" si="9"/>
        <v>0.1045</v>
      </c>
      <c r="I38" s="65">
        <f t="shared" si="8"/>
        <v>0</v>
      </c>
      <c r="J38" s="17">
        <f t="shared" si="10"/>
        <v>0.1045</v>
      </c>
      <c r="K38" s="76">
        <f>SUMIFS(REALIZADO[META_SVA],REALIZADO[COORDENAÇÃO],$P$7)</f>
        <v>5384.9997999999996</v>
      </c>
      <c r="L38" s="77">
        <f>SUMIFS(REALIZADO[AT_SVA],REALIZADO[COORDENAÇÃO],$P$7)</f>
        <v>461.54999999999995</v>
      </c>
      <c r="M38" s="51">
        <f t="shared" si="14"/>
        <v>8.5710309589983644E-2</v>
      </c>
      <c r="N38" s="16">
        <f>IF($M$38&gt;=FATORES!$O$45,FATORES!$Q$45,0)</f>
        <v>0</v>
      </c>
      <c r="O38" s="14">
        <f t="shared" si="12"/>
        <v>0</v>
      </c>
      <c r="P38" s="18">
        <f t="shared" si="13"/>
        <v>0.1045</v>
      </c>
      <c r="Q38" s="19">
        <f>IF($H$8=2,P38*0.05,0)</f>
        <v>0</v>
      </c>
      <c r="R38" s="19">
        <f>IF($H$8=3,P38*0.15,0)</f>
        <v>0</v>
      </c>
      <c r="S38" s="100"/>
      <c r="T38" s="126"/>
    </row>
    <row r="39" spans="2:20" x14ac:dyDescent="0.35">
      <c r="B39" s="66"/>
      <c r="C39" s="67"/>
      <c r="D39" s="67"/>
      <c r="E39" s="67"/>
      <c r="F39" s="67"/>
      <c r="G39" s="67"/>
      <c r="H39" s="67"/>
      <c r="I39" s="67"/>
      <c r="J39" s="68"/>
      <c r="K39" s="69"/>
      <c r="L39" s="67"/>
      <c r="M39" s="67"/>
      <c r="N39" s="67"/>
      <c r="O39" s="67"/>
      <c r="P39" s="70">
        <f>SUM(P30:P38)</f>
        <v>2.4179500000000003</v>
      </c>
      <c r="Q39" s="70">
        <f t="shared" ref="Q39:R39" si="15">SUM(Q30:Q38)</f>
        <v>0</v>
      </c>
      <c r="R39" s="70">
        <f t="shared" si="15"/>
        <v>0</v>
      </c>
      <c r="S39" s="71" t="str">
        <f>IF($P$7="ARIEL",IF(MIN(E30,E32,E33,E34,E35,E37,E38)&gt;=100%,SUM(P39:R39)*S30,""),IF(MIN(E30:E38)&gt;=100%,SUM(P39:R39)*S30,""))</f>
        <v/>
      </c>
      <c r="T39" s="72"/>
    </row>
    <row r="41" spans="2:20" ht="18.5" x14ac:dyDescent="0.35">
      <c r="B41" s="107" t="s">
        <v>239</v>
      </c>
      <c r="C41" s="108"/>
      <c r="D41" s="108"/>
      <c r="E41" s="108"/>
      <c r="F41" s="108"/>
      <c r="G41" s="108"/>
      <c r="H41" s="108"/>
      <c r="I41" s="108"/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T41" s="108"/>
    </row>
    <row r="42" spans="2:20" x14ac:dyDescent="0.35">
      <c r="B42" s="109" t="s">
        <v>9</v>
      </c>
      <c r="C42" s="110"/>
      <c r="D42" s="110"/>
      <c r="E42" s="110"/>
      <c r="F42" s="110"/>
      <c r="G42" s="110"/>
      <c r="H42" s="110"/>
      <c r="I42" s="110"/>
      <c r="J42" s="111"/>
      <c r="K42" s="112" t="s">
        <v>54</v>
      </c>
      <c r="L42" s="113"/>
      <c r="M42" s="113"/>
      <c r="N42" s="113"/>
      <c r="O42" s="113"/>
      <c r="P42" s="7"/>
      <c r="Q42" s="7"/>
      <c r="R42" s="7"/>
      <c r="S42" s="7"/>
      <c r="T42" s="64"/>
    </row>
    <row r="43" spans="2:20" ht="14.5" customHeight="1" x14ac:dyDescent="0.35">
      <c r="B43" s="114" t="s">
        <v>214</v>
      </c>
      <c r="C43" s="116" t="s">
        <v>237</v>
      </c>
      <c r="D43" s="117"/>
      <c r="E43" s="104"/>
      <c r="F43" s="118" t="s">
        <v>216</v>
      </c>
      <c r="G43" s="118" t="s">
        <v>217</v>
      </c>
      <c r="H43" s="118" t="s">
        <v>218</v>
      </c>
      <c r="I43" s="118" t="s">
        <v>219</v>
      </c>
      <c r="J43" s="118" t="s">
        <v>220</v>
      </c>
      <c r="K43" s="104" t="s">
        <v>238</v>
      </c>
      <c r="L43" s="105"/>
      <c r="M43" s="105"/>
      <c r="N43" s="106" t="s">
        <v>222</v>
      </c>
      <c r="O43" s="106" t="s">
        <v>223</v>
      </c>
      <c r="P43" s="106" t="s">
        <v>224</v>
      </c>
      <c r="Q43" s="106" t="s">
        <v>225</v>
      </c>
      <c r="R43" s="106" t="s">
        <v>226</v>
      </c>
      <c r="S43" s="106" t="s">
        <v>227</v>
      </c>
      <c r="T43" s="119" t="s">
        <v>228</v>
      </c>
    </row>
    <row r="44" spans="2:20" x14ac:dyDescent="0.35">
      <c r="B44" s="115"/>
      <c r="C44" s="94" t="s">
        <v>229</v>
      </c>
      <c r="D44" s="120" t="s">
        <v>230</v>
      </c>
      <c r="E44" s="120"/>
      <c r="F44" s="118"/>
      <c r="G44" s="118"/>
      <c r="H44" s="118"/>
      <c r="I44" s="118"/>
      <c r="J44" s="118"/>
      <c r="K44" s="52" t="s">
        <v>229</v>
      </c>
      <c r="L44" s="120" t="s">
        <v>230</v>
      </c>
      <c r="M44" s="120"/>
      <c r="N44" s="106"/>
      <c r="O44" s="106"/>
      <c r="P44" s="106"/>
      <c r="Q44" s="106"/>
      <c r="R44" s="106"/>
      <c r="S44" s="106"/>
      <c r="T44" s="119"/>
    </row>
    <row r="45" spans="2:20" x14ac:dyDescent="0.35">
      <c r="B45" s="45" t="s">
        <v>2</v>
      </c>
      <c r="C45" s="53">
        <v>7200</v>
      </c>
      <c r="D45" s="54">
        <v>7500</v>
      </c>
      <c r="E45" s="49">
        <f>IFERROR(D45/C45,0)</f>
        <v>1.0416666666666667</v>
      </c>
      <c r="F45" s="8">
        <f>VLOOKUP($E$45,FATORES!$I$32:$K$34,3)</f>
        <v>0.04</v>
      </c>
      <c r="G45" s="8">
        <f>IFERROR(VLOOKUP(E45,FATORES!$I$35:$K$36,3),0)</f>
        <v>0.08</v>
      </c>
      <c r="H45" s="9">
        <f>D45*F45</f>
        <v>300</v>
      </c>
      <c r="I45" s="9">
        <f t="shared" ref="I45:I53" si="16">IF($P$7="ARIEL",
   IF(AND($E$45&gt;=69.5%, AND($E$47&gt;=69.5%, $E$48&gt;=69.5%, $E$48&gt;=69.5%, $E$50&gt;=69.5%, $E$50&gt;=69.5%, $E$52&gt;=69.5%, $E$53&gt;=69.5%)),
      D45*G45,
      0),
   IF(AND($E$45&gt;=69.5%, $E$46&gt;=69.5%, $E$47&gt;=69.5%, $E$48&gt;=69.5%, $E$48&gt;=69.5%, $E$50&gt;=69.5%, $E$50&gt;=69.5%, $E$52&gt;=69.5%, $E$53&gt;=69.5%),
      D45*G45,
      0)
)</f>
        <v>600</v>
      </c>
      <c r="J45" s="9">
        <f>H45+I45</f>
        <v>900</v>
      </c>
      <c r="K45" s="53">
        <v>56890</v>
      </c>
      <c r="L45" s="54">
        <v>56900</v>
      </c>
      <c r="M45" s="49">
        <f>IFERROR(L45/K45,0)</f>
        <v>1.0001757778168394</v>
      </c>
      <c r="N45" s="8">
        <f>IF($M$45&gt;=FATORES!$I$37,FATORES!$K$37,0)</f>
        <v>0.03</v>
      </c>
      <c r="O45" s="14">
        <f>IF(E45&gt;=100%,
IF($P$7="ARIEL",
   IF(AND($E$45&gt;=69.5%, AND($E$47&gt;=69.5%, $E$48&gt;=69.5%, $E$48&gt;=69.5%, $E$50&gt;=69.5%, $E$50&gt;=69.5%, $E$52&gt;=69.5%, $E$53&gt;=69.5%)),
      D45*N45,
      0),
   IF(AND($E$45&gt;=69.5%, $E$46&gt;=69.5%, $E$47&gt;=69.5%, $E$48&gt;=69.5%, $E$48&gt;=69.5%, $E$50&gt;=69.5%, $E$50&gt;=69.5%, $E$52&gt;=69.5%, $E$53&gt;=69.5%),
      D45*N45,
      0)
),0)</f>
        <v>225</v>
      </c>
      <c r="P45" s="10">
        <f>J45+O45</f>
        <v>1125</v>
      </c>
      <c r="Q45" s="11">
        <f>IF($B$8=2,P45*0.05,0)</f>
        <v>0</v>
      </c>
      <c r="R45" s="11">
        <f>IF($B$8=3,P45*0.15,0)</f>
        <v>0</v>
      </c>
      <c r="S45" s="98">
        <v>0.1</v>
      </c>
      <c r="T45" s="101">
        <f>SUM($P$54:$S$54)</f>
        <v>1618.8141750000002</v>
      </c>
    </row>
    <row r="46" spans="2:20" x14ac:dyDescent="0.35">
      <c r="B46" s="46" t="s">
        <v>13</v>
      </c>
      <c r="C46" s="55">
        <v>0</v>
      </c>
      <c r="D46" s="56">
        <v>0</v>
      </c>
      <c r="E46" s="50">
        <f>IFERROR(D46/C46,0)</f>
        <v>0</v>
      </c>
      <c r="F46" s="12">
        <f>VLOOKUP($E$46,FATORES!$I$40:$K$42,3)</f>
        <v>5.0000000000000001E-3</v>
      </c>
      <c r="G46" s="12">
        <f>IFERROR(VLOOKUP(E46,FATORES!$I$43:$K$44,3),0)</f>
        <v>0</v>
      </c>
      <c r="H46" s="65">
        <f t="shared" ref="H46:H53" si="17">D46*F46</f>
        <v>0</v>
      </c>
      <c r="I46" s="65">
        <f t="shared" si="16"/>
        <v>0</v>
      </c>
      <c r="J46" s="65">
        <f t="shared" ref="J46:J53" si="18">H46+I46</f>
        <v>0</v>
      </c>
      <c r="K46" s="55">
        <v>0</v>
      </c>
      <c r="L46" s="56">
        <v>0</v>
      </c>
      <c r="M46" s="50">
        <f t="shared" ref="M46:M53" si="19">IFERROR(L46/K46,0)</f>
        <v>0</v>
      </c>
      <c r="N46" s="12">
        <f>IF($M$46&gt;=FATORES!$I$45,FATORES!$K$45,0)</f>
        <v>0</v>
      </c>
      <c r="O46" s="14">
        <f t="shared" ref="O46:O53" si="20">IF(E46&gt;=100%,
IF($P$7="ARIEL",
   IF(AND($E$45&gt;=69.5%, AND($E$47&gt;=69.5%, $E$48&gt;=69.5%, $E$48&gt;=69.5%, $E$50&gt;=69.5%, $E$50&gt;=69.5%, $E$52&gt;=69.5%, $E$53&gt;=69.5%)),
      D46*N46,
      0),
   IF(AND($E$45&gt;=69.5%, $E$46&gt;=69.5%, $E$47&gt;=69.5%, $E$48&gt;=69.5%, $E$48&gt;=69.5%, $E$50&gt;=69.5%, $E$50&gt;=69.5%, $E$52&gt;=69.5%, $E$53&gt;=69.5%),
      D46*N46,
      0)
),0)</f>
        <v>0</v>
      </c>
      <c r="P46" s="13">
        <f t="shared" ref="P46:P53" si="21">J46+O46</f>
        <v>0</v>
      </c>
      <c r="Q46" s="15">
        <f>IF($C$8=2,P46*0.05,0)</f>
        <v>0</v>
      </c>
      <c r="R46" s="15">
        <f>IF($C$8=3,P46*0.15,0)</f>
        <v>0</v>
      </c>
      <c r="S46" s="99"/>
      <c r="T46" s="102"/>
    </row>
    <row r="47" spans="2:20" x14ac:dyDescent="0.35">
      <c r="B47" s="46" t="s">
        <v>231</v>
      </c>
      <c r="C47" s="55">
        <v>59000</v>
      </c>
      <c r="D47" s="56">
        <v>72528</v>
      </c>
      <c r="E47" s="50">
        <f>IFERROR(D47/C47,0)</f>
        <v>1.2292881355932204</v>
      </c>
      <c r="F47" s="12">
        <f>VLOOKUP($E$47,FATORES!$B$53:$D$54,3)</f>
        <v>5.0000000000000001E-4</v>
      </c>
      <c r="G47" s="12">
        <f>IFERROR(VLOOKUP(E47,FATORES!$B$55:$D$55,3),0)</f>
        <v>1E-3</v>
      </c>
      <c r="H47" s="65">
        <f t="shared" si="17"/>
        <v>36.264000000000003</v>
      </c>
      <c r="I47" s="65">
        <f t="shared" si="16"/>
        <v>72.528000000000006</v>
      </c>
      <c r="J47" s="65">
        <f t="shared" si="18"/>
        <v>108.792</v>
      </c>
      <c r="K47" s="55">
        <v>524000</v>
      </c>
      <c r="L47" s="56">
        <v>642889</v>
      </c>
      <c r="M47" s="50">
        <f t="shared" si="19"/>
        <v>1.2268874045801528</v>
      </c>
      <c r="N47" s="12">
        <f>IF($M$47&gt;=FATORES!$B$56,FATORES!$D$56,0)</f>
        <v>5.0000000000000001E-4</v>
      </c>
      <c r="O47" s="14">
        <f t="shared" si="20"/>
        <v>36.264000000000003</v>
      </c>
      <c r="P47" s="13">
        <f t="shared" si="21"/>
        <v>145.05600000000001</v>
      </c>
      <c r="Q47" s="15">
        <f>IF($D$8=2,P47*0.05,0)</f>
        <v>0</v>
      </c>
      <c r="R47" s="15">
        <f>IF($D$8=3,P47*0.15,0)</f>
        <v>0</v>
      </c>
      <c r="S47" s="99"/>
      <c r="T47" s="102"/>
    </row>
    <row r="48" spans="2:20" x14ac:dyDescent="0.35">
      <c r="B48" s="47" t="s">
        <v>232</v>
      </c>
      <c r="C48" s="96">
        <v>3000</v>
      </c>
      <c r="D48" s="56">
        <v>0</v>
      </c>
      <c r="E48" s="97">
        <f>IFERROR((D48+D49)/C48,0)</f>
        <v>1.387</v>
      </c>
      <c r="F48" s="12">
        <f>VLOOKUP($E$48,FATORES!$B$44:$E$46,3)</f>
        <v>1.5E-3</v>
      </c>
      <c r="G48" s="12">
        <f>IFERROR(VLOOKUP(E48,FATORES!$B$47:$E$48,3),0)</f>
        <v>6.0000000000000001E-3</v>
      </c>
      <c r="H48" s="65">
        <f t="shared" si="17"/>
        <v>0</v>
      </c>
      <c r="I48" s="65">
        <f t="shared" si="16"/>
        <v>0</v>
      </c>
      <c r="J48" s="65">
        <f t="shared" si="18"/>
        <v>0</v>
      </c>
      <c r="K48" s="96">
        <v>30500</v>
      </c>
      <c r="L48" s="56">
        <v>1845</v>
      </c>
      <c r="M48" s="97">
        <f>IFERROR((L48+L49)/K48,0)</f>
        <v>1.6191147540983606</v>
      </c>
      <c r="N48" s="12">
        <f>IF($M$48&gt;=FATORES!$B$49,FATORES!$D$49,0)</f>
        <v>2.5000000000000001E-3</v>
      </c>
      <c r="O48" s="14">
        <f t="shared" si="20"/>
        <v>0</v>
      </c>
      <c r="P48" s="13">
        <f t="shared" si="21"/>
        <v>0</v>
      </c>
      <c r="Q48" s="15">
        <f>IF($E$8=2,P48*0.05,0)</f>
        <v>0</v>
      </c>
      <c r="R48" s="15">
        <f>IF($E$8=3,P48*0.15,0)</f>
        <v>0</v>
      </c>
      <c r="S48" s="99"/>
      <c r="T48" s="102"/>
    </row>
    <row r="49" spans="2:20" x14ac:dyDescent="0.35">
      <c r="B49" s="47" t="s">
        <v>233</v>
      </c>
      <c r="C49" s="96"/>
      <c r="D49" s="56">
        <v>4161</v>
      </c>
      <c r="E49" s="97"/>
      <c r="F49" s="12">
        <f>VLOOKUP($E$48,FATORES!$B$44:$E$46,4)</f>
        <v>7.5000000000000002E-4</v>
      </c>
      <c r="G49" s="12">
        <f>IFERROR(VLOOKUP(E48,FATORES!$B$47:$E$48,4),0)</f>
        <v>3.0000000000000001E-3</v>
      </c>
      <c r="H49" s="65">
        <f t="shared" si="17"/>
        <v>3.1207500000000001</v>
      </c>
      <c r="I49" s="65">
        <f t="shared" si="16"/>
        <v>12.483000000000001</v>
      </c>
      <c r="J49" s="65">
        <f t="shared" si="18"/>
        <v>15.603750000000002</v>
      </c>
      <c r="K49" s="96"/>
      <c r="L49" s="56">
        <v>47538</v>
      </c>
      <c r="M49" s="97"/>
      <c r="N49" s="12">
        <f>IF($M$48&gt;=FATORES!$B$49,FATORES!$E$49,0)</f>
        <v>1.25E-3</v>
      </c>
      <c r="O49" s="14">
        <f t="shared" si="20"/>
        <v>0</v>
      </c>
      <c r="P49" s="13">
        <f t="shared" si="21"/>
        <v>15.603750000000002</v>
      </c>
      <c r="Q49" s="15">
        <f>IF($E$8=2,P49*0.05,0)</f>
        <v>0</v>
      </c>
      <c r="R49" s="15">
        <f>IF($E$8=3,P49*0.15,0)</f>
        <v>0</v>
      </c>
      <c r="S49" s="99"/>
      <c r="T49" s="102"/>
    </row>
    <row r="50" spans="2:20" x14ac:dyDescent="0.35">
      <c r="B50" s="46" t="s">
        <v>234</v>
      </c>
      <c r="C50" s="96">
        <v>5000</v>
      </c>
      <c r="D50" s="56">
        <v>2069</v>
      </c>
      <c r="E50" s="97">
        <f>IFERROR((D50+D51)/C50,0)</f>
        <v>1.1561999999999999</v>
      </c>
      <c r="F50" s="12">
        <f>VLOOKUP($E$50,FATORES!$B$34:$E$36,3)</f>
        <v>1.5E-3</v>
      </c>
      <c r="G50" s="12">
        <f>IFERROR(VLOOKUP(E50,FATORES!$B$37:$E$38,3),0)</f>
        <v>6.0000000000000001E-3</v>
      </c>
      <c r="H50" s="65">
        <f t="shared" si="17"/>
        <v>3.1034999999999999</v>
      </c>
      <c r="I50" s="65">
        <f t="shared" si="16"/>
        <v>12.414</v>
      </c>
      <c r="J50" s="65">
        <f t="shared" si="18"/>
        <v>15.5175</v>
      </c>
      <c r="K50" s="96">
        <v>45750</v>
      </c>
      <c r="L50" s="56">
        <v>29755</v>
      </c>
      <c r="M50" s="97">
        <f>IFERROR((L50+L51)/K50,0)</f>
        <v>1.2628415300546447</v>
      </c>
      <c r="N50" s="12">
        <f>IF($M$50&gt;=FATORES!$B$39,FATORES!$D$39,0)</f>
        <v>8.0000000000000002E-3</v>
      </c>
      <c r="O50" s="14">
        <f t="shared" si="20"/>
        <v>16.552</v>
      </c>
      <c r="P50" s="13">
        <f t="shared" si="21"/>
        <v>32.069499999999998</v>
      </c>
      <c r="Q50" s="15">
        <f>IF($F$8=2,P50*0.05,0)</f>
        <v>0</v>
      </c>
      <c r="R50" s="15">
        <f>IF($F$8=3,P50*0.15,0)</f>
        <v>0</v>
      </c>
      <c r="S50" s="99"/>
      <c r="T50" s="102"/>
    </row>
    <row r="51" spans="2:20" x14ac:dyDescent="0.35">
      <c r="B51" s="46" t="s">
        <v>235</v>
      </c>
      <c r="C51" s="96"/>
      <c r="D51" s="56">
        <v>3712</v>
      </c>
      <c r="E51" s="97"/>
      <c r="F51" s="12">
        <f>VLOOKUP($E$50,FATORES!$B$34:$E$36,4)</f>
        <v>7.5000000000000002E-4</v>
      </c>
      <c r="G51" s="12">
        <f>IFERROR(VLOOKUP(E50,FATORES!$B$37:$E$38,4),0)</f>
        <v>3.0000000000000001E-3</v>
      </c>
      <c r="H51" s="65">
        <f t="shared" si="17"/>
        <v>2.7840000000000003</v>
      </c>
      <c r="I51" s="65">
        <f t="shared" si="16"/>
        <v>11.136000000000001</v>
      </c>
      <c r="J51" s="65">
        <f t="shared" si="18"/>
        <v>13.920000000000002</v>
      </c>
      <c r="K51" s="96"/>
      <c r="L51" s="56">
        <v>28020</v>
      </c>
      <c r="M51" s="97"/>
      <c r="N51" s="12">
        <f>IF($M$50&gt;=FATORES!$B$39,FATORES!$E$39,0)</f>
        <v>4.0000000000000001E-3</v>
      </c>
      <c r="O51" s="14">
        <f t="shared" si="20"/>
        <v>0</v>
      </c>
      <c r="P51" s="13">
        <f t="shared" si="21"/>
        <v>13.920000000000002</v>
      </c>
      <c r="Q51" s="15">
        <f>IF($F$8=2,P51*0.05,0)</f>
        <v>0</v>
      </c>
      <c r="R51" s="15">
        <f>IF($F$8=3,P51*0.15,0)</f>
        <v>0</v>
      </c>
      <c r="S51" s="99"/>
      <c r="T51" s="102"/>
    </row>
    <row r="52" spans="2:20" x14ac:dyDescent="0.35">
      <c r="B52" s="46" t="s">
        <v>212</v>
      </c>
      <c r="C52" s="55">
        <v>665</v>
      </c>
      <c r="D52" s="56">
        <v>745</v>
      </c>
      <c r="E52" s="50">
        <f>IFERROR(D52/C52,0)</f>
        <v>1.1203007518796992</v>
      </c>
      <c r="F52" s="83">
        <f>VLOOKUP($E$52,FATORES!$O$32:$Q$34,3)</f>
        <v>0.04</v>
      </c>
      <c r="G52" s="12">
        <f>IFERROR(VLOOKUP(E52,FATORES!$O$35:$Q$36,3),0)</f>
        <v>0.1</v>
      </c>
      <c r="H52" s="65">
        <f t="shared" si="17"/>
        <v>29.8</v>
      </c>
      <c r="I52" s="65">
        <f t="shared" si="16"/>
        <v>74.5</v>
      </c>
      <c r="J52" s="65">
        <f t="shared" si="18"/>
        <v>104.3</v>
      </c>
      <c r="K52" s="55">
        <v>5105</v>
      </c>
      <c r="L52" s="56">
        <v>5256</v>
      </c>
      <c r="M52" s="50">
        <f t="shared" si="19"/>
        <v>1.0295788442703233</v>
      </c>
      <c r="N52" s="12">
        <f>IF($M$52&gt;=FATORES!$O$37,FATORES!$Q$37,0)</f>
        <v>0.03</v>
      </c>
      <c r="O52" s="14">
        <f t="shared" si="20"/>
        <v>22.349999999999998</v>
      </c>
      <c r="P52" s="13">
        <f t="shared" si="21"/>
        <v>126.64999999999999</v>
      </c>
      <c r="Q52" s="15">
        <f>IF($G$8=2,P52*0.05,0)</f>
        <v>0</v>
      </c>
      <c r="R52" s="15">
        <f>IF($G$8=3,P52*0.15,0)</f>
        <v>0</v>
      </c>
      <c r="S52" s="99"/>
      <c r="T52" s="102"/>
    </row>
    <row r="53" spans="2:20" x14ac:dyDescent="0.35">
      <c r="B53" s="48" t="s">
        <v>14</v>
      </c>
      <c r="C53" s="57">
        <v>850</v>
      </c>
      <c r="D53" s="58">
        <v>890</v>
      </c>
      <c r="E53" s="51">
        <f>IFERROR(D53/C53,0)</f>
        <v>1.0470588235294118</v>
      </c>
      <c r="F53" s="16">
        <f>IF($E$53&gt;=0,FATORES!$Q$40)</f>
        <v>5.0000000000000001E-3</v>
      </c>
      <c r="G53" s="16">
        <f>IFERROR(VLOOKUP(E53,FATORES!$O$43:$Q$44,3),0)</f>
        <v>5.0000000000000001E-3</v>
      </c>
      <c r="H53" s="17">
        <f t="shared" si="17"/>
        <v>4.45</v>
      </c>
      <c r="I53" s="65">
        <f t="shared" si="16"/>
        <v>4.45</v>
      </c>
      <c r="J53" s="17">
        <f t="shared" si="18"/>
        <v>8.9</v>
      </c>
      <c r="K53" s="57">
        <v>5295</v>
      </c>
      <c r="L53" s="58">
        <v>5884</v>
      </c>
      <c r="M53" s="51">
        <f t="shared" si="19"/>
        <v>1.1112370160528802</v>
      </c>
      <c r="N53" s="16">
        <f>IF($M$53&gt;=FATORES!$O$45,FATORES!$Q$45,0)</f>
        <v>5.0000000000000001E-3</v>
      </c>
      <c r="O53" s="14">
        <f t="shared" si="20"/>
        <v>4.45</v>
      </c>
      <c r="P53" s="18">
        <f t="shared" si="21"/>
        <v>13.350000000000001</v>
      </c>
      <c r="Q53" s="19">
        <f>IF($H$8=2,P53*0.05,0)</f>
        <v>0</v>
      </c>
      <c r="R53" s="19">
        <f>IF($H$8=3,P53*0.15,0)</f>
        <v>0</v>
      </c>
      <c r="S53" s="100"/>
      <c r="T53" s="103"/>
    </row>
    <row r="54" spans="2:20" x14ac:dyDescent="0.35">
      <c r="B54" s="66"/>
      <c r="C54" s="67"/>
      <c r="D54" s="67"/>
      <c r="E54" s="67"/>
      <c r="F54" s="67"/>
      <c r="G54" s="67"/>
      <c r="H54" s="67"/>
      <c r="I54" s="67"/>
      <c r="J54" s="68"/>
      <c r="K54" s="69"/>
      <c r="L54" s="67"/>
      <c r="M54" s="67"/>
      <c r="N54" s="67"/>
      <c r="O54" s="67"/>
      <c r="P54" s="70">
        <f>SUM(P45:P53)</f>
        <v>1471.6492500000002</v>
      </c>
      <c r="Q54" s="70">
        <f t="shared" ref="Q54:R54" si="22">SUM(Q45:Q53)</f>
        <v>0</v>
      </c>
      <c r="R54" s="70">
        <f t="shared" si="22"/>
        <v>0</v>
      </c>
      <c r="S54" s="71">
        <f>IF($P$7="ARIEL",IF(MIN(E45,E47,E48,E49,E50,E52,E53)&gt;=99.99%,SUM(P54:R54)*S45,""),IF(MIN(E45:E53)&gt;=99.99%,SUM(P54:R54)*S45,""))</f>
        <v>147.16492500000001</v>
      </c>
      <c r="T54" s="72"/>
    </row>
  </sheetData>
  <sheetProtection algorithmName="SHA-512" hashValue="e5ZVw5ooAYXpweb1au/n1P6rflnCeHqFpSFODawn9KapExvlUekKblZBHSIh15avD3CHr8hdeWDgrtDTTlPAHA==" saltValue="mA3qacQselP46Cjw4o3oEQ==" spinCount="100000" sheet="1" objects="1" scenarios="1"/>
  <protectedRanges>
    <protectedRange sqref="B8:H8 C45:D53 K45:L53" name="Intervalo1"/>
  </protectedRanges>
  <mergeCells count="94">
    <mergeCell ref="I13:I14"/>
    <mergeCell ref="B12:J12"/>
    <mergeCell ref="K12:T12"/>
    <mergeCell ref="B2:T4"/>
    <mergeCell ref="B6:H6"/>
    <mergeCell ref="M6:N6"/>
    <mergeCell ref="M7:N7"/>
    <mergeCell ref="B11:T11"/>
    <mergeCell ref="B13:B14"/>
    <mergeCell ref="C13:E13"/>
    <mergeCell ref="F13:F14"/>
    <mergeCell ref="G13:G14"/>
    <mergeCell ref="H13:H14"/>
    <mergeCell ref="D14:E14"/>
    <mergeCell ref="J13:J14"/>
    <mergeCell ref="K13:M13"/>
    <mergeCell ref="S13:S14"/>
    <mergeCell ref="T13:T14"/>
    <mergeCell ref="L14:M14"/>
    <mergeCell ref="N13:N14"/>
    <mergeCell ref="O13:O14"/>
    <mergeCell ref="P13:P14"/>
    <mergeCell ref="Q13:Q14"/>
    <mergeCell ref="R13:R14"/>
    <mergeCell ref="C20:C21"/>
    <mergeCell ref="E20:E21"/>
    <mergeCell ref="K20:K21"/>
    <mergeCell ref="M20:M21"/>
    <mergeCell ref="B26:T26"/>
    <mergeCell ref="S15:S23"/>
    <mergeCell ref="T15:T23"/>
    <mergeCell ref="C18:C19"/>
    <mergeCell ref="E18:E19"/>
    <mergeCell ref="K18:K19"/>
    <mergeCell ref="M18:M19"/>
    <mergeCell ref="B27:J27"/>
    <mergeCell ref="K27:T27"/>
    <mergeCell ref="B28:B29"/>
    <mergeCell ref="C28:E28"/>
    <mergeCell ref="F28:F29"/>
    <mergeCell ref="G28:G29"/>
    <mergeCell ref="H28:H29"/>
    <mergeCell ref="I28:I29"/>
    <mergeCell ref="J28:J29"/>
    <mergeCell ref="S28:S29"/>
    <mergeCell ref="T28:T29"/>
    <mergeCell ref="D29:E29"/>
    <mergeCell ref="L29:M29"/>
    <mergeCell ref="S30:S38"/>
    <mergeCell ref="T30:T38"/>
    <mergeCell ref="K28:M28"/>
    <mergeCell ref="N28:N29"/>
    <mergeCell ref="O28:O29"/>
    <mergeCell ref="P28:P29"/>
    <mergeCell ref="Q28:Q29"/>
    <mergeCell ref="R28:R29"/>
    <mergeCell ref="C33:C34"/>
    <mergeCell ref="E33:E34"/>
    <mergeCell ref="K33:K34"/>
    <mergeCell ref="M33:M34"/>
    <mergeCell ref="C35:C36"/>
    <mergeCell ref="E35:E36"/>
    <mergeCell ref="K35:K36"/>
    <mergeCell ref="M35:M36"/>
    <mergeCell ref="B41:T41"/>
    <mergeCell ref="B42:J42"/>
    <mergeCell ref="K42:O42"/>
    <mergeCell ref="B43:B44"/>
    <mergeCell ref="C43:E43"/>
    <mergeCell ref="F43:F44"/>
    <mergeCell ref="G43:G44"/>
    <mergeCell ref="H43:H44"/>
    <mergeCell ref="I43:I44"/>
    <mergeCell ref="J43:J44"/>
    <mergeCell ref="S43:S44"/>
    <mergeCell ref="T43:T44"/>
    <mergeCell ref="D44:E44"/>
    <mergeCell ref="L44:M44"/>
    <mergeCell ref="S45:S53"/>
    <mergeCell ref="T45:T53"/>
    <mergeCell ref="K43:M43"/>
    <mergeCell ref="N43:N44"/>
    <mergeCell ref="O43:O44"/>
    <mergeCell ref="P43:P44"/>
    <mergeCell ref="Q43:Q44"/>
    <mergeCell ref="R43:R44"/>
    <mergeCell ref="C48:C49"/>
    <mergeCell ref="E48:E49"/>
    <mergeCell ref="K48:K49"/>
    <mergeCell ref="M48:M49"/>
    <mergeCell ref="C50:C51"/>
    <mergeCell ref="E50:E51"/>
    <mergeCell ref="K50:K51"/>
    <mergeCell ref="M50:M51"/>
  </mergeCells>
  <conditionalFormatting sqref="E15:E18 E20 E22:E23">
    <cfRule type="cellIs" dxfId="522" priority="22" operator="between">
      <formula>0.7</formula>
      <formula>1</formula>
    </cfRule>
    <cfRule type="cellIs" dxfId="521" priority="23" operator="greaterThanOrEqual">
      <formula>1</formula>
    </cfRule>
    <cfRule type="cellIs" dxfId="520" priority="24" operator="lessThan">
      <formula>0.7</formula>
    </cfRule>
  </conditionalFormatting>
  <conditionalFormatting sqref="E30:E33 E35 E37:E38">
    <cfRule type="cellIs" dxfId="519" priority="10" operator="between">
      <formula>0.7</formula>
      <formula>1</formula>
    </cfRule>
    <cfRule type="cellIs" dxfId="518" priority="11" operator="greaterThanOrEqual">
      <formula>1</formula>
    </cfRule>
    <cfRule type="cellIs" dxfId="517" priority="12" operator="lessThan">
      <formula>0.7</formula>
    </cfRule>
  </conditionalFormatting>
  <conditionalFormatting sqref="E45:E48 E50 E52:E53">
    <cfRule type="cellIs" dxfId="516" priority="34" operator="between">
      <formula>0.7</formula>
      <formula>1</formula>
    </cfRule>
    <cfRule type="cellIs" dxfId="515" priority="35" operator="greaterThanOrEqual">
      <formula>1</formula>
    </cfRule>
    <cfRule type="cellIs" dxfId="514" priority="36" operator="lessThan">
      <formula>0.7</formula>
    </cfRule>
  </conditionalFormatting>
  <conditionalFormatting sqref="M15:M18">
    <cfRule type="cellIs" dxfId="513" priority="16" operator="between">
      <formula>0.7</formula>
      <formula>1</formula>
    </cfRule>
    <cfRule type="cellIs" dxfId="512" priority="17" operator="greaterThanOrEqual">
      <formula>1</formula>
    </cfRule>
    <cfRule type="cellIs" dxfId="511" priority="18" operator="lessThan">
      <formula>0.7</formula>
    </cfRule>
  </conditionalFormatting>
  <conditionalFormatting sqref="M20">
    <cfRule type="cellIs" dxfId="510" priority="13" operator="between">
      <formula>0.7</formula>
      <formula>1</formula>
    </cfRule>
    <cfRule type="cellIs" dxfId="509" priority="14" operator="greaterThanOrEqual">
      <formula>1</formula>
    </cfRule>
    <cfRule type="cellIs" dxfId="508" priority="15" operator="lessThan">
      <formula>0.7</formula>
    </cfRule>
  </conditionalFormatting>
  <conditionalFormatting sqref="M22:M23">
    <cfRule type="cellIs" dxfId="507" priority="19" operator="between">
      <formula>0.7</formula>
      <formula>1</formula>
    </cfRule>
    <cfRule type="cellIs" dxfId="506" priority="20" operator="greaterThanOrEqual">
      <formula>1</formula>
    </cfRule>
    <cfRule type="cellIs" dxfId="505" priority="21" operator="lessThan">
      <formula>0.7</formula>
    </cfRule>
  </conditionalFormatting>
  <conditionalFormatting sqref="M30:M33">
    <cfRule type="cellIs" dxfId="504" priority="4" operator="between">
      <formula>0.7</formula>
      <formula>1</formula>
    </cfRule>
    <cfRule type="cellIs" dxfId="503" priority="5" operator="greaterThanOrEqual">
      <formula>1</formula>
    </cfRule>
    <cfRule type="cellIs" dxfId="502" priority="6" operator="lessThan">
      <formula>0.7</formula>
    </cfRule>
  </conditionalFormatting>
  <conditionalFormatting sqref="M35">
    <cfRule type="cellIs" dxfId="501" priority="1" operator="between">
      <formula>0.7</formula>
      <formula>1</formula>
    </cfRule>
    <cfRule type="cellIs" dxfId="500" priority="2" operator="greaterThanOrEqual">
      <formula>1</formula>
    </cfRule>
    <cfRule type="cellIs" dxfId="499" priority="3" operator="lessThan">
      <formula>0.7</formula>
    </cfRule>
  </conditionalFormatting>
  <conditionalFormatting sqref="M37:M38">
    <cfRule type="cellIs" dxfId="498" priority="7" operator="between">
      <formula>0.7</formula>
      <formula>1</formula>
    </cfRule>
    <cfRule type="cellIs" dxfId="497" priority="8" operator="greaterThanOrEqual">
      <formula>1</formula>
    </cfRule>
    <cfRule type="cellIs" dxfId="496" priority="9" operator="lessThan">
      <formula>0.7</formula>
    </cfRule>
  </conditionalFormatting>
  <conditionalFormatting sqref="M45:M48">
    <cfRule type="cellIs" dxfId="495" priority="28" operator="between">
      <formula>0.7</formula>
      <formula>1</formula>
    </cfRule>
    <cfRule type="cellIs" dxfId="494" priority="29" operator="greaterThanOrEqual">
      <formula>1</formula>
    </cfRule>
    <cfRule type="cellIs" dxfId="493" priority="30" operator="lessThan">
      <formula>0.7</formula>
    </cfRule>
  </conditionalFormatting>
  <conditionalFormatting sqref="M50">
    <cfRule type="cellIs" dxfId="492" priority="25" operator="between">
      <formula>0.7</formula>
      <formula>1</formula>
    </cfRule>
    <cfRule type="cellIs" dxfId="491" priority="26" operator="greaterThanOrEqual">
      <formula>1</formula>
    </cfRule>
    <cfRule type="cellIs" dxfId="490" priority="27" operator="lessThan">
      <formula>0.7</formula>
    </cfRule>
  </conditionalFormatting>
  <conditionalFormatting sqref="M52:M53">
    <cfRule type="cellIs" dxfId="489" priority="31" operator="between">
      <formula>0.7</formula>
      <formula>1</formula>
    </cfRule>
    <cfRule type="cellIs" dxfId="488" priority="32" operator="greaterThanOrEqual">
      <formula>1</formula>
    </cfRule>
    <cfRule type="cellIs" dxfId="487" priority="33" operator="lessThan">
      <formula>0.7</formula>
    </cfRule>
  </conditionalFormatting>
  <dataValidations count="1">
    <dataValidation type="list" allowBlank="1" showInputMessage="1" showErrorMessage="1" sqref="B8:H8" xr:uid="{36780BD6-DEF2-48BD-BE44-3D1B9785CD44}">
      <formula1>$V$6:$X$6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3FBD5-0812-446E-B381-A37F0E7D0FB6}">
  <dimension ref="B1:X54"/>
  <sheetViews>
    <sheetView showGridLines="0" zoomScale="70" zoomScaleNormal="70" workbookViewId="0">
      <selection activeCell="O20" sqref="O20"/>
    </sheetView>
  </sheetViews>
  <sheetFormatPr defaultRowHeight="14.5" x14ac:dyDescent="0.35"/>
  <cols>
    <col min="1" max="1" width="2.1796875" customWidth="1"/>
    <col min="2" max="2" width="16.453125" customWidth="1"/>
    <col min="3" max="3" width="15" bestFit="1" customWidth="1"/>
    <col min="4" max="4" width="14.54296875" customWidth="1"/>
    <col min="5" max="5" width="13.453125" bestFit="1" customWidth="1"/>
    <col min="6" max="6" width="14" customWidth="1"/>
    <col min="7" max="7" width="18.7265625" customWidth="1"/>
    <col min="8" max="8" width="15" customWidth="1"/>
    <col min="9" max="9" width="20" customWidth="1"/>
    <col min="10" max="10" width="21.1796875" customWidth="1"/>
    <col min="11" max="12" width="16.453125" customWidth="1"/>
    <col min="13" max="13" width="9.7265625" customWidth="1"/>
    <col min="14" max="14" width="20.54296875" customWidth="1"/>
    <col min="15" max="15" width="21" customWidth="1"/>
    <col min="16" max="16" width="15.26953125" customWidth="1"/>
    <col min="17" max="17" width="13" bestFit="1" customWidth="1"/>
    <col min="18" max="18" width="10.453125" bestFit="1" customWidth="1"/>
    <col min="19" max="19" width="12.7265625" bestFit="1" customWidth="1"/>
    <col min="20" max="20" width="14.453125" customWidth="1"/>
  </cols>
  <sheetData>
    <row r="1" spans="2:24" x14ac:dyDescent="0.35">
      <c r="B1" s="59"/>
    </row>
    <row r="2" spans="2:24" x14ac:dyDescent="0.35">
      <c r="B2" s="143" t="s">
        <v>207</v>
      </c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5"/>
    </row>
    <row r="3" spans="2:24" x14ac:dyDescent="0.35">
      <c r="B3" s="146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8"/>
    </row>
    <row r="4" spans="2:24" x14ac:dyDescent="0.35">
      <c r="B4" s="149"/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1"/>
    </row>
    <row r="5" spans="2:24" x14ac:dyDescent="0.35">
      <c r="B5" s="60"/>
      <c r="T5" s="61"/>
    </row>
    <row r="6" spans="2:24" ht="14.5" customHeight="1" x14ac:dyDescent="0.35">
      <c r="B6" s="152" t="s">
        <v>208</v>
      </c>
      <c r="C6" s="153"/>
      <c r="D6" s="153"/>
      <c r="E6" s="153"/>
      <c r="F6" s="153"/>
      <c r="G6" s="153"/>
      <c r="H6" s="154"/>
      <c r="M6" s="155" t="s">
        <v>54</v>
      </c>
      <c r="N6" s="156"/>
      <c r="P6" s="74" t="s">
        <v>23</v>
      </c>
      <c r="T6" s="61"/>
      <c r="V6" s="1">
        <v>0</v>
      </c>
      <c r="W6" s="1">
        <v>2</v>
      </c>
      <c r="X6" s="1">
        <v>3</v>
      </c>
    </row>
    <row r="7" spans="2:24" ht="14.5" customHeight="1" x14ac:dyDescent="0.35">
      <c r="B7" s="62" t="s">
        <v>209</v>
      </c>
      <c r="C7" s="2" t="s">
        <v>13</v>
      </c>
      <c r="D7" s="2" t="s">
        <v>210</v>
      </c>
      <c r="E7" s="2" t="s">
        <v>16</v>
      </c>
      <c r="F7" s="2" t="s">
        <v>211</v>
      </c>
      <c r="G7" s="2" t="s">
        <v>212</v>
      </c>
      <c r="H7" s="3" t="s">
        <v>14</v>
      </c>
      <c r="M7" s="157" t="s">
        <v>36</v>
      </c>
      <c r="N7" s="158"/>
      <c r="P7" s="75" t="s">
        <v>201</v>
      </c>
      <c r="T7" s="61"/>
    </row>
    <row r="8" spans="2:24" ht="14.5" customHeight="1" x14ac:dyDescent="0.35">
      <c r="B8" s="63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5">
        <v>0</v>
      </c>
      <c r="T8" s="61"/>
    </row>
    <row r="9" spans="2:24" x14ac:dyDescent="0.35">
      <c r="B9" s="84"/>
      <c r="C9" s="85"/>
      <c r="D9" s="85"/>
      <c r="E9" s="85"/>
      <c r="F9" s="85"/>
      <c r="G9" s="85"/>
      <c r="H9" s="85"/>
    </row>
    <row r="10" spans="2:24" x14ac:dyDescent="0.35">
      <c r="B10" s="84"/>
      <c r="C10" s="85"/>
      <c r="D10" s="85"/>
      <c r="E10" s="85"/>
      <c r="F10" s="85"/>
      <c r="G10" s="85"/>
      <c r="H10" s="85"/>
    </row>
    <row r="11" spans="2:24" ht="18.5" x14ac:dyDescent="0.35">
      <c r="B11" s="159" t="s">
        <v>213</v>
      </c>
      <c r="C11" s="160"/>
      <c r="D11" s="160"/>
      <c r="E11" s="160"/>
      <c r="F11" s="160"/>
      <c r="G11" s="160"/>
      <c r="H11" s="160"/>
      <c r="I11" s="160"/>
      <c r="J11" s="160"/>
      <c r="K11" s="160"/>
      <c r="L11" s="160"/>
      <c r="M11" s="160"/>
      <c r="N11" s="160"/>
      <c r="O11" s="160"/>
      <c r="P11" s="160"/>
      <c r="Q11" s="160"/>
      <c r="R11" s="160"/>
      <c r="S11" s="160"/>
      <c r="T11" s="160"/>
    </row>
    <row r="12" spans="2:24" x14ac:dyDescent="0.35">
      <c r="B12" s="129" t="s">
        <v>9</v>
      </c>
      <c r="C12" s="130"/>
      <c r="D12" s="130"/>
      <c r="E12" s="130"/>
      <c r="F12" s="130"/>
      <c r="G12" s="130"/>
      <c r="H12" s="130"/>
      <c r="I12" s="130"/>
      <c r="J12" s="131"/>
      <c r="K12" s="132" t="s">
        <v>54</v>
      </c>
      <c r="L12" s="130"/>
      <c r="M12" s="130"/>
      <c r="N12" s="130"/>
      <c r="O12" s="130"/>
      <c r="P12" s="130"/>
      <c r="Q12" s="130"/>
      <c r="R12" s="130"/>
      <c r="S12" s="130"/>
      <c r="T12" s="133"/>
    </row>
    <row r="13" spans="2:24" ht="14.5" customHeight="1" x14ac:dyDescent="0.35">
      <c r="B13" s="115" t="s">
        <v>214</v>
      </c>
      <c r="C13" s="116" t="s">
        <v>215</v>
      </c>
      <c r="D13" s="117"/>
      <c r="E13" s="104"/>
      <c r="F13" s="135" t="s">
        <v>216</v>
      </c>
      <c r="G13" s="135" t="s">
        <v>217</v>
      </c>
      <c r="H13" s="135" t="s">
        <v>218</v>
      </c>
      <c r="I13" s="135" t="s">
        <v>219</v>
      </c>
      <c r="J13" s="135" t="s">
        <v>220</v>
      </c>
      <c r="K13" s="116" t="s">
        <v>221</v>
      </c>
      <c r="L13" s="117"/>
      <c r="M13" s="104"/>
      <c r="N13" s="127" t="s">
        <v>222</v>
      </c>
      <c r="O13" s="127" t="s">
        <v>223</v>
      </c>
      <c r="P13" s="127" t="s">
        <v>224</v>
      </c>
      <c r="Q13" s="127" t="s">
        <v>225</v>
      </c>
      <c r="R13" s="127" t="s">
        <v>226</v>
      </c>
      <c r="S13" s="127" t="s">
        <v>227</v>
      </c>
      <c r="T13" s="137" t="s">
        <v>228</v>
      </c>
    </row>
    <row r="14" spans="2:24" x14ac:dyDescent="0.35">
      <c r="B14" s="134"/>
      <c r="C14" s="94" t="s">
        <v>229</v>
      </c>
      <c r="D14" s="139" t="s">
        <v>230</v>
      </c>
      <c r="E14" s="140"/>
      <c r="F14" s="136"/>
      <c r="G14" s="136"/>
      <c r="H14" s="136"/>
      <c r="I14" s="136"/>
      <c r="J14" s="136"/>
      <c r="K14" s="52" t="s">
        <v>229</v>
      </c>
      <c r="L14" s="139" t="s">
        <v>230</v>
      </c>
      <c r="M14" s="140"/>
      <c r="N14" s="128"/>
      <c r="O14" s="128"/>
      <c r="P14" s="128"/>
      <c r="Q14" s="128"/>
      <c r="R14" s="128"/>
      <c r="S14" s="128"/>
      <c r="T14" s="138"/>
    </row>
    <row r="15" spans="2:24" x14ac:dyDescent="0.35">
      <c r="B15" s="45" t="s">
        <v>2</v>
      </c>
      <c r="C15" s="76">
        <f>SUMIFS(REALIZADO[META_MOVEL],REALIZADO[PDV],'CENTRO VV'!$M$7)</f>
        <v>4400</v>
      </c>
      <c r="D15" s="77">
        <f>SUMIFS(PROJEÇÃO[PROJ_MOVEL],PROJEÇÃO[PDV],'CENTRO VV'!$M$7)</f>
        <v>5372.7356</v>
      </c>
      <c r="E15" s="49">
        <f>IFERROR(D15/C15,0)</f>
        <v>1.2210762727272728</v>
      </c>
      <c r="F15" s="8">
        <f>VLOOKUP($E$15,FATORES!$I$32:$K$34,3)</f>
        <v>0.04</v>
      </c>
      <c r="G15" s="8">
        <f>IFERROR(VLOOKUP($E$15,FATORES!$I$35:$K$36,3),0)</f>
        <v>0.13</v>
      </c>
      <c r="H15" s="9">
        <f>D15*F15</f>
        <v>214.909424</v>
      </c>
      <c r="I15" s="9">
        <f t="shared" ref="I15:I23" si="0">IF($P$7="ARIEL",
   IF(AND($E$15&gt;=69.5%, AND($E$17&gt;=69.5%, $E$18&gt;=69.5%, $E$18&gt;=69.5%, $E$20&gt;=69.5%, $E$20&gt;=69.5%, $E$22&gt;=69.5%, $E$23&gt;=69.5%)),
      D15*G15,
      0),
   IF(AND($E$15&gt;=69.5%, $E$16&gt;=69.5%, $E$17&gt;=69.5%, $E$18&gt;=69.5%, $E$18&gt;=69.5%, $E$20&gt;=69.5%, $E$20&gt;=69.5%, $E$22&gt;=69.5%, $E$23&gt;=69.5%),
      D15*G15,
      0)
)</f>
        <v>698.45562800000005</v>
      </c>
      <c r="J15" s="9">
        <f>H15+I15</f>
        <v>913.36505200000011</v>
      </c>
      <c r="K15" s="76">
        <f>SUMIFS(REALIZADO[META_MOVEL],REALIZADO[COORDENAÇÃO],$P$7)</f>
        <v>53549.999899999995</v>
      </c>
      <c r="L15" s="77">
        <f>SUMIFS(PROJEÇÃO[PROJ_MOVEL],PROJEÇÃO[COORDENAÇÃO],$P$7)</f>
        <v>47019.827700000002</v>
      </c>
      <c r="M15" s="49">
        <f>IFERROR(L15/K15,0)</f>
        <v>0.87805467390859893</v>
      </c>
      <c r="N15" s="8">
        <f>IF($M$15&gt;=FATORES!$I$37,FATORES!$K$37,0)</f>
        <v>0</v>
      </c>
      <c r="O15" s="14">
        <f>IF(E15&gt;=100%,
   IF($P$7="ARIEL",
      IF(AND($E$15&gt;=69.5%,$E$17&gt;=69.5%,$E$18&gt;=69.5%,$E$20&gt;=69.5%,$E$22&gt;=69.5%,$E$23&gt;=69.5%),
         D15*N15,
         0
      ),
      IF(AND($E$15&gt;=69.5%,$E$16&gt;=69.5%,$E$17&gt;=69.5%,$E$18&gt;=69.5%,$E$20&gt;=69.5%,$E$22&gt;=69.5%,$E$23&gt;=69.5%),
         D15*N15,
         0
      )
   ),
0)</f>
        <v>0</v>
      </c>
      <c r="P15" s="10">
        <f>J15+O15</f>
        <v>913.36505200000011</v>
      </c>
      <c r="Q15" s="11">
        <f>IF($B$8=2,P15*0.05,0)</f>
        <v>0</v>
      </c>
      <c r="R15" s="11">
        <f>IF($B$8=3,P15*0.15,0)</f>
        <v>0</v>
      </c>
      <c r="S15" s="98">
        <v>0.1</v>
      </c>
      <c r="T15" s="124">
        <f>SUM(P24:S24)</f>
        <v>1365.4348972950002</v>
      </c>
    </row>
    <row r="16" spans="2:24" x14ac:dyDescent="0.35">
      <c r="B16" s="46" t="s">
        <v>13</v>
      </c>
      <c r="C16" s="76">
        <f>SUMIFS(REALIZADO[META_FIXA],REALIZADO[PDV],'CENTRO VV'!$M$7)</f>
        <v>2550</v>
      </c>
      <c r="D16" s="77">
        <f>SUMIFS(PROJEÇÃO[PROJ_FIXA],PROJEÇÃO[PDV],'CENTRO VV'!$M$7)</f>
        <v>2839.4233000000004</v>
      </c>
      <c r="E16" s="50">
        <f>IFERROR(D16/C16,0)</f>
        <v>1.1134993333333334</v>
      </c>
      <c r="F16" s="12">
        <f>VLOOKUP($E$16,FATORES!$I$40:$K$42,3)</f>
        <v>0.04</v>
      </c>
      <c r="G16" s="12">
        <f>IFERROR(VLOOKUP($E$16,FATORES!$I$43:$K$44,3),0)</f>
        <v>0.1</v>
      </c>
      <c r="H16" s="65">
        <f t="shared" ref="H16:H23" si="1">D16*F16</f>
        <v>113.57693200000001</v>
      </c>
      <c r="I16" s="65">
        <f t="shared" si="0"/>
        <v>283.94233000000003</v>
      </c>
      <c r="J16" s="65">
        <f t="shared" ref="J16:J23" si="2">H16+I16</f>
        <v>397.51926200000003</v>
      </c>
      <c r="K16" s="76">
        <f>SUMIFS(REALIZADO[META_FIXA],REALIZADO[COORDENAÇÃO],$P$7)</f>
        <v>29649.999899999988</v>
      </c>
      <c r="L16" s="77">
        <f>SUMIFS(PROJEÇÃO[PROJ_FIXA],PROJEÇÃO[COORDENAÇÃO],$P$7)</f>
        <v>28246.582000000002</v>
      </c>
      <c r="M16" s="50">
        <f t="shared" ref="M16:M17" si="3">IFERROR(L16/K16,0)</f>
        <v>0.95266718702417308</v>
      </c>
      <c r="N16" s="12">
        <f>IF($M$16&gt;=FATORES!$I$45,FATORES!$K$45,0)</f>
        <v>0</v>
      </c>
      <c r="O16" s="14">
        <f t="shared" ref="O16:O23" si="4">IF(E16&gt;=100%,
   IF($P$7="ARIEL",
      IF(AND($E$15&gt;=69.5%,$E$17&gt;=69.5%,$E$18&gt;=69.5%,$E$20&gt;=69.5%,$E$22&gt;=69.5%,$E$23&gt;=69.5%),
         D16*N16,
         0
      ),
      IF(AND($E$15&gt;=69.5%,$E$16&gt;=69.5%,$E$17&gt;=69.5%,$E$18&gt;=69.5%,$E$20&gt;=69.5%,$E$22&gt;=69.5%,$E$23&gt;=69.5%),
         D16*N16,
         0
      )
   ),
0)</f>
        <v>0</v>
      </c>
      <c r="P16" s="13">
        <f t="shared" ref="P16:P23" si="5">J16+O16</f>
        <v>397.51926200000003</v>
      </c>
      <c r="Q16" s="15">
        <f>IF($C$8=2,P16*0.05,0)</f>
        <v>0</v>
      </c>
      <c r="R16" s="15">
        <f>IF($C$8=3,P16*0.15,0)</f>
        <v>0</v>
      </c>
      <c r="S16" s="99"/>
      <c r="T16" s="125"/>
    </row>
    <row r="17" spans="2:20" x14ac:dyDescent="0.35">
      <c r="B17" s="46" t="s">
        <v>231</v>
      </c>
      <c r="C17" s="53">
        <f>SUMIFS(REALIZADO[META_SMARTPHONE],REALIZADO[PDV],'CENTRO VV'!$M$7)</f>
        <v>67500</v>
      </c>
      <c r="D17" s="78">
        <f>SUMIFS(PROJEÇÃO[PROJ_APARELHO],PROJEÇÃO[PDV],'CENTRO VV'!$M$7)</f>
        <v>53079.666599999997</v>
      </c>
      <c r="E17" s="50">
        <f>IFERROR(D17/C17,0)</f>
        <v>0.78636543111111101</v>
      </c>
      <c r="F17" s="12">
        <f>VLOOKUP($E$17,FATORES!$B$53:$D$54,3)</f>
        <v>2.0000000000000001E-4</v>
      </c>
      <c r="G17" s="12">
        <f>IFERROR(VLOOKUP($E$17,FATORES!$B$55:$D$55,3),0)</f>
        <v>0</v>
      </c>
      <c r="H17" s="65">
        <f t="shared" si="1"/>
        <v>10.61593332</v>
      </c>
      <c r="I17" s="65">
        <f t="shared" si="0"/>
        <v>0</v>
      </c>
      <c r="J17" s="65">
        <f t="shared" si="2"/>
        <v>10.61593332</v>
      </c>
      <c r="K17" s="53">
        <f>SUMIFS(REALIZADO[META_SMARTPHONE],REALIZADO[COORDENAÇÃO],$P$7)</f>
        <v>741500.00009999995</v>
      </c>
      <c r="L17" s="78">
        <f>SUMIFS(PROJEÇÃO[PROJ_APARELHO],PROJEÇÃO[COORDENAÇÃO],$P$7)</f>
        <v>560223.55000000005</v>
      </c>
      <c r="M17" s="50">
        <f t="shared" si="3"/>
        <v>0.75552737683674631</v>
      </c>
      <c r="N17" s="12">
        <f>IF($M$17&gt;=FATORES!$B$56,FATORES!$D$56,0)</f>
        <v>0</v>
      </c>
      <c r="O17" s="14">
        <f t="shared" si="4"/>
        <v>0</v>
      </c>
      <c r="P17" s="13">
        <f t="shared" si="5"/>
        <v>10.61593332</v>
      </c>
      <c r="Q17" s="15">
        <f>IF($D$8=2,P17*0.05,0)</f>
        <v>0</v>
      </c>
      <c r="R17" s="15">
        <f>IF($D$8=3,P17*0.15,0)</f>
        <v>0</v>
      </c>
      <c r="S17" s="99"/>
      <c r="T17" s="125"/>
    </row>
    <row r="18" spans="2:20" x14ac:dyDescent="0.35">
      <c r="B18" s="47" t="s">
        <v>232</v>
      </c>
      <c r="C18" s="121">
        <f>SUMIFS(REALIZADO[META_ACESSORIO],REALIZADO[PDV],'CENTRO VV'!$M$7)</f>
        <v>8900</v>
      </c>
      <c r="D18" s="86">
        <f>SUMIFS(PROJEÇÃO[PROJ_ELETRO_A],PROJEÇÃO[PDV],'CENTRO VV'!$M$7)</f>
        <v>164.66669999999999</v>
      </c>
      <c r="E18" s="123">
        <f>IFERROR((D18+D19)/C18,0)</f>
        <v>0.72479901123595503</v>
      </c>
      <c r="F18" s="12">
        <f>VLOOKUP($E$18,FATORES!$B$44:$E$46,3)</f>
        <v>5.0000000000000001E-4</v>
      </c>
      <c r="G18" s="12">
        <f>IFERROR(VLOOKUP($E$18,FATORES!$B$47:$E$48,3),0)</f>
        <v>0</v>
      </c>
      <c r="H18" s="65">
        <f t="shared" si="1"/>
        <v>8.233335E-2</v>
      </c>
      <c r="I18" s="65">
        <f t="shared" si="0"/>
        <v>0</v>
      </c>
      <c r="J18" s="65">
        <f t="shared" si="2"/>
        <v>8.233335E-2</v>
      </c>
      <c r="K18" s="121">
        <f>SUMIFS(REALIZADO[META_ACESSORIO],REALIZADO[COORDENAÇÃO],$P$7)</f>
        <v>82600.000300000014</v>
      </c>
      <c r="L18" s="86">
        <f>SUMIFS(PROJEÇÃO[PROJ_ELETRO_A],PROJEÇÃO[COORDENAÇÃO],$P$7)</f>
        <v>6890.6666999999998</v>
      </c>
      <c r="M18" s="97">
        <f>IFERROR((L18+L19)/K18,0)</f>
        <v>1.2683688416403067</v>
      </c>
      <c r="N18" s="12">
        <f>IF($M$18&gt;=FATORES!$B$49,FATORES!$D$49,0)</f>
        <v>2.5000000000000001E-3</v>
      </c>
      <c r="O18" s="14">
        <f t="shared" si="4"/>
        <v>0</v>
      </c>
      <c r="P18" s="13">
        <f t="shared" si="5"/>
        <v>8.233335E-2</v>
      </c>
      <c r="Q18" s="15">
        <f>IF($E$8=2,P18*0.05,0)</f>
        <v>0</v>
      </c>
      <c r="R18" s="15">
        <f>IF($E$8=3,P18*0.15,0)</f>
        <v>0</v>
      </c>
      <c r="S18" s="99"/>
      <c r="T18" s="125"/>
    </row>
    <row r="19" spans="2:20" x14ac:dyDescent="0.35">
      <c r="B19" s="47" t="s">
        <v>233</v>
      </c>
      <c r="C19" s="122"/>
      <c r="D19" s="87">
        <f>SUMIFS(PROJEÇÃO[PROJ_ELETRO_B],PROJEÇÃO[PDV],'CENTRO VV'!$M$7)</f>
        <v>6286.0445</v>
      </c>
      <c r="E19" s="123"/>
      <c r="F19" s="12">
        <f>VLOOKUP($E$18,FATORES!$B$44:$E$46,4)</f>
        <v>2.5000000000000001E-4</v>
      </c>
      <c r="G19" s="12">
        <f>IFERROR(VLOOKUP($E$18,FATORES!$B$47:$E$48,4),0)</f>
        <v>0</v>
      </c>
      <c r="H19" s="65">
        <f t="shared" si="1"/>
        <v>1.571511125</v>
      </c>
      <c r="I19" s="65">
        <f t="shared" si="0"/>
        <v>0</v>
      </c>
      <c r="J19" s="65">
        <f t="shared" si="2"/>
        <v>1.571511125</v>
      </c>
      <c r="K19" s="122"/>
      <c r="L19" s="87">
        <f>SUMIFS(PROJEÇÃO[PROJ_ELETRO_B],PROJEÇÃO[COORDENAÇÃO],$P$7)</f>
        <v>97876.6</v>
      </c>
      <c r="M19" s="97"/>
      <c r="N19" s="12">
        <f>IF($M$18&gt;=FATORES!$B$49,FATORES!$E$49,0)</f>
        <v>1.25E-3</v>
      </c>
      <c r="O19" s="14">
        <f t="shared" si="4"/>
        <v>0</v>
      </c>
      <c r="P19" s="13">
        <f t="shared" si="5"/>
        <v>1.571511125</v>
      </c>
      <c r="Q19" s="15">
        <f>IF($E$8=2,P19*0.05,0)</f>
        <v>0</v>
      </c>
      <c r="R19" s="15">
        <f>IF($E$8=3,P19*0.15,0)</f>
        <v>0</v>
      </c>
      <c r="S19" s="99"/>
      <c r="T19" s="125"/>
    </row>
    <row r="20" spans="2:20" x14ac:dyDescent="0.35">
      <c r="B20" s="46" t="s">
        <v>234</v>
      </c>
      <c r="C20" s="121">
        <f>SUMIFS(REALIZADO[META_ESSENCIAIS],REALIZADO[PDV],'CENTRO VV'!$M$7)</f>
        <v>3400</v>
      </c>
      <c r="D20" s="86">
        <f>SUMIFS(PROJEÇÃO[PROJ_ESSEN_A],PROJEÇÃO[PDV],'CENTRO VV'!$M$7)</f>
        <v>1629.7777000000001</v>
      </c>
      <c r="E20" s="123">
        <f>IFERROR((D20+D21)/C20,0)</f>
        <v>1.2263071470588236</v>
      </c>
      <c r="F20" s="12">
        <f>VLOOKUP($E$20,FATORES!$B$34:$E$36,3)</f>
        <v>1.5E-3</v>
      </c>
      <c r="G20" s="12">
        <f>IFERROR(VLOOKUP($E$20,FATORES!$B$37:$E$38,3),0)</f>
        <v>6.0000000000000001E-3</v>
      </c>
      <c r="H20" s="65">
        <f t="shared" si="1"/>
        <v>2.44466655</v>
      </c>
      <c r="I20" s="65">
        <f t="shared" si="0"/>
        <v>9.7786662</v>
      </c>
      <c r="J20" s="65">
        <f t="shared" si="2"/>
        <v>12.223332750000001</v>
      </c>
      <c r="K20" s="121">
        <f>SUMIFS(REALIZADO[META_ESSENCIAIS],REALIZADO[COORDENAÇÃO],$P$7)</f>
        <v>41199.999999999993</v>
      </c>
      <c r="L20" s="86">
        <f>SUMIFS(PROJEÇÃO[PROJ_ESSEN_A],PROJEÇÃO[COORDENAÇÃO],$P$7)</f>
        <v>16007.2889</v>
      </c>
      <c r="M20" s="97">
        <f>IFERROR((L20+L21)/K20,0)</f>
        <v>0.92994956553398067</v>
      </c>
      <c r="N20" s="12">
        <f>IF($M$20&gt;=FATORES!$B$39,FATORES!$D$39,0)</f>
        <v>0</v>
      </c>
      <c r="O20" s="14">
        <f t="shared" si="4"/>
        <v>0</v>
      </c>
      <c r="P20" s="13">
        <f t="shared" si="5"/>
        <v>12.223332750000001</v>
      </c>
      <c r="Q20" s="15">
        <f>IF($F$8=2,P20*0.05,0)</f>
        <v>0</v>
      </c>
      <c r="R20" s="15">
        <f>IF($F$8=3,P20*0.15,0)</f>
        <v>0</v>
      </c>
      <c r="S20" s="99"/>
      <c r="T20" s="125"/>
    </row>
    <row r="21" spans="2:20" x14ac:dyDescent="0.35">
      <c r="B21" s="46" t="s">
        <v>235</v>
      </c>
      <c r="C21" s="122"/>
      <c r="D21" s="87">
        <f>SUMIFS(PROJEÇÃO[PROJ_ESSEN_B],PROJEÇÃO[PDV],'CENTRO VV'!$M$7)</f>
        <v>2539.6666</v>
      </c>
      <c r="E21" s="123"/>
      <c r="F21" s="12">
        <f>VLOOKUP($E$20,FATORES!$B$34:$E$36,4)</f>
        <v>7.5000000000000002E-4</v>
      </c>
      <c r="G21" s="12">
        <f>IFERROR(VLOOKUP($E$20,FATORES!$B$37:$E$38,4),0)</f>
        <v>3.0000000000000001E-3</v>
      </c>
      <c r="H21" s="65">
        <f t="shared" si="1"/>
        <v>1.90474995</v>
      </c>
      <c r="I21" s="65">
        <f t="shared" si="0"/>
        <v>7.6189998000000001</v>
      </c>
      <c r="J21" s="65">
        <f t="shared" si="2"/>
        <v>9.5237497500000003</v>
      </c>
      <c r="K21" s="122"/>
      <c r="L21" s="87">
        <f>SUMIFS(PROJEÇÃO[PROJ_ESSEN_B],PROJEÇÃO[COORDENAÇÃO],$P$7)</f>
        <v>22306.6332</v>
      </c>
      <c r="M21" s="97"/>
      <c r="N21" s="12">
        <f>IF($M$20&gt;=FATORES!$B$39,FATORES!$E$39,0)</f>
        <v>0</v>
      </c>
      <c r="O21" s="14">
        <f t="shared" si="4"/>
        <v>0</v>
      </c>
      <c r="P21" s="13">
        <f t="shared" si="5"/>
        <v>9.5237497500000003</v>
      </c>
      <c r="Q21" s="15">
        <f>IF($F$8=2,P21*0.05,0)</f>
        <v>0</v>
      </c>
      <c r="R21" s="15">
        <f>IF($F$8=3,P21*0.15,0)</f>
        <v>0</v>
      </c>
      <c r="S21" s="99"/>
      <c r="T21" s="125"/>
    </row>
    <row r="22" spans="2:20" x14ac:dyDescent="0.35">
      <c r="B22" s="46" t="s">
        <v>212</v>
      </c>
      <c r="C22" s="57">
        <f>SUMIFS(REALIZADO[META_SEGUROS],REALIZADO[PDV],'CENTRO VV'!$M$7)</f>
        <v>390</v>
      </c>
      <c r="D22" s="79">
        <f>SUMIFS(PROJEÇÃO[PROJ_SEGURO],PROJEÇÃO[PDV],'CENTRO VV'!$M$7)</f>
        <v>330.81110000000001</v>
      </c>
      <c r="E22" s="83">
        <f>IFERROR(D22/C22,0)</f>
        <v>0.84823358974358976</v>
      </c>
      <c r="F22" s="83">
        <f>VLOOKUP($E$22,FATORES!$O$32:$Q$34,3)</f>
        <v>0.02</v>
      </c>
      <c r="G22" s="12">
        <f>IFERROR(VLOOKUP($E$22,FATORES!$O$35:$Q$36,3),0)</f>
        <v>0</v>
      </c>
      <c r="H22" s="65">
        <f t="shared" si="1"/>
        <v>6.6162220000000005</v>
      </c>
      <c r="I22" s="65">
        <f t="shared" si="0"/>
        <v>0</v>
      </c>
      <c r="J22" s="65">
        <f t="shared" si="2"/>
        <v>6.6162220000000005</v>
      </c>
      <c r="K22" s="57">
        <f>SUMIFS(REALIZADO[META_SEGUROS],REALIZADO[COORDENAÇÃO],$P$7)</f>
        <v>5129.9997999999996</v>
      </c>
      <c r="L22" s="79">
        <f>SUMIFS(PROJEÇÃO[PROJ_SEGURO],PROJEÇÃO[COORDENAÇÃO],$P$7)</f>
        <v>4017.2332999999999</v>
      </c>
      <c r="M22" s="50">
        <f t="shared" ref="M22:M23" si="6">IFERROR(L22/K22,0)</f>
        <v>0.78308644378504655</v>
      </c>
      <c r="N22" s="12">
        <f>IF($M$22&gt;=FATORES!$O$37,FATORES!$Q$37,0)</f>
        <v>0</v>
      </c>
      <c r="O22" s="14">
        <f t="shared" si="4"/>
        <v>0</v>
      </c>
      <c r="P22" s="13">
        <f t="shared" si="5"/>
        <v>6.6162220000000005</v>
      </c>
      <c r="Q22" s="15">
        <f>IF($G$8=2,P22*0.05,0)</f>
        <v>0</v>
      </c>
      <c r="R22" s="15">
        <f>IF($G$8=3,P22*0.15,0)</f>
        <v>0</v>
      </c>
      <c r="S22" s="99"/>
      <c r="T22" s="125"/>
    </row>
    <row r="23" spans="2:20" x14ac:dyDescent="0.35">
      <c r="B23" s="48" t="s">
        <v>14</v>
      </c>
      <c r="C23" s="76">
        <f>SUMIFS(REALIZADO[META_SVA],REALIZADO[PDV],'CENTRO VV'!$M$7)</f>
        <v>400</v>
      </c>
      <c r="D23" s="77">
        <f>SUMIFS(PROJEÇÃO[PROJ_SVA],PROJEÇÃO[PDV],'CENTRO VV'!$M$7)</f>
        <v>927.83339999999998</v>
      </c>
      <c r="E23" s="82">
        <f>IFERROR(D23/C23,0)</f>
        <v>2.3195834999999998</v>
      </c>
      <c r="F23" s="16">
        <f>IF($E$23&gt;=0,FATORES!$Q$40)</f>
        <v>5.0000000000000001E-3</v>
      </c>
      <c r="G23" s="16">
        <f>IFERROR(VLOOKUP($E$23,FATORES!$O$43:$Q$44,3),0)</f>
        <v>5.0000000000000001E-3</v>
      </c>
      <c r="H23" s="17">
        <f t="shared" si="1"/>
        <v>4.6391669999999996</v>
      </c>
      <c r="I23" s="65">
        <f t="shared" si="0"/>
        <v>4.6391669999999996</v>
      </c>
      <c r="J23" s="17">
        <f t="shared" si="2"/>
        <v>9.2783339999999992</v>
      </c>
      <c r="K23" s="76">
        <f>SUMIFS(REALIZADO[META_SVA],REALIZADO[COORDENAÇÃO],$P$7)</f>
        <v>4540.0006000000003</v>
      </c>
      <c r="L23" s="77">
        <f>SUMIFS(PROJEÇÃO[PROJ_SVA],PROJEÇÃO[COORDENAÇÃO],$P$7)</f>
        <v>5391.4400000000005</v>
      </c>
      <c r="M23" s="51">
        <f t="shared" si="6"/>
        <v>1.1875416932764282</v>
      </c>
      <c r="N23" s="16">
        <f>IF($M$23&gt;=FATORES!$O$45,FATORES!$Q$45,0)</f>
        <v>5.0000000000000001E-3</v>
      </c>
      <c r="O23" s="14">
        <f t="shared" si="4"/>
        <v>4.6391669999999996</v>
      </c>
      <c r="P23" s="18">
        <f t="shared" si="5"/>
        <v>13.917500999999998</v>
      </c>
      <c r="Q23" s="19">
        <f>IF($H$8=2,P23*0.05,0)</f>
        <v>0</v>
      </c>
      <c r="R23" s="19">
        <f>IF($H$8=3,P23*0.15,0)</f>
        <v>0</v>
      </c>
      <c r="S23" s="100"/>
      <c r="T23" s="126"/>
    </row>
    <row r="24" spans="2:20" x14ac:dyDescent="0.35">
      <c r="B24" s="66"/>
      <c r="C24" s="67"/>
      <c r="D24" s="67"/>
      <c r="E24" s="67"/>
      <c r="F24" s="67"/>
      <c r="G24" s="67"/>
      <c r="H24" s="67"/>
      <c r="I24" s="67"/>
      <c r="J24" s="68"/>
      <c r="K24" s="69"/>
      <c r="L24" s="67"/>
      <c r="M24" s="67"/>
      <c r="N24" s="67"/>
      <c r="O24" s="67"/>
      <c r="P24" s="70">
        <f>SUM(P15:P23)</f>
        <v>1365.4348972950002</v>
      </c>
      <c r="Q24" s="70">
        <f t="shared" ref="Q24:R24" si="7">SUM(Q15:Q23)</f>
        <v>0</v>
      </c>
      <c r="R24" s="70">
        <f t="shared" si="7"/>
        <v>0</v>
      </c>
      <c r="S24" s="71" t="str">
        <f>IF($P$7="ARIEL",IF(MIN(E15,E17,E18,E19,E20,E22,E23)&gt;=100%,SUM(P24:R24)*S15,""),IF(MIN(E15:E23)&gt;=100%,SUM(P24:R24)*S15,""))</f>
        <v/>
      </c>
      <c r="T24" s="72"/>
    </row>
    <row r="25" spans="2:20" ht="16.149999999999999" customHeight="1" x14ac:dyDescent="0.35">
      <c r="B25" s="80"/>
      <c r="C25" s="6"/>
      <c r="D25" s="6"/>
      <c r="E25" s="6"/>
      <c r="F25" s="6"/>
      <c r="G25" s="6"/>
      <c r="H25" s="6"/>
      <c r="T25" s="61"/>
    </row>
    <row r="26" spans="2:20" ht="18.5" x14ac:dyDescent="0.35">
      <c r="B26" s="141" t="s">
        <v>236</v>
      </c>
      <c r="C26" s="142"/>
      <c r="D26" s="142"/>
      <c r="E26" s="142"/>
      <c r="F26" s="142"/>
      <c r="G26" s="142"/>
      <c r="H26" s="142"/>
      <c r="I26" s="142"/>
      <c r="J26" s="142"/>
      <c r="K26" s="142"/>
      <c r="L26" s="142"/>
      <c r="M26" s="142"/>
      <c r="N26" s="142"/>
      <c r="O26" s="142"/>
      <c r="P26" s="142"/>
      <c r="Q26" s="142"/>
      <c r="R26" s="142"/>
      <c r="S26" s="142"/>
      <c r="T26" s="142"/>
    </row>
    <row r="27" spans="2:20" x14ac:dyDescent="0.35">
      <c r="B27" s="129" t="s">
        <v>9</v>
      </c>
      <c r="C27" s="130"/>
      <c r="D27" s="130"/>
      <c r="E27" s="130"/>
      <c r="F27" s="130"/>
      <c r="G27" s="130"/>
      <c r="H27" s="130"/>
      <c r="I27" s="130"/>
      <c r="J27" s="131"/>
      <c r="K27" s="132" t="s">
        <v>54</v>
      </c>
      <c r="L27" s="130"/>
      <c r="M27" s="130"/>
      <c r="N27" s="130"/>
      <c r="O27" s="130"/>
      <c r="P27" s="130"/>
      <c r="Q27" s="130"/>
      <c r="R27" s="130"/>
      <c r="S27" s="130"/>
      <c r="T27" s="133"/>
    </row>
    <row r="28" spans="2:20" ht="14.5" customHeight="1" x14ac:dyDescent="0.35">
      <c r="B28" s="115" t="s">
        <v>214</v>
      </c>
      <c r="C28" s="116" t="s">
        <v>237</v>
      </c>
      <c r="D28" s="117"/>
      <c r="E28" s="104"/>
      <c r="F28" s="135" t="s">
        <v>216</v>
      </c>
      <c r="G28" s="135" t="s">
        <v>217</v>
      </c>
      <c r="H28" s="135" t="s">
        <v>218</v>
      </c>
      <c r="I28" s="135" t="s">
        <v>219</v>
      </c>
      <c r="J28" s="135" t="s">
        <v>220</v>
      </c>
      <c r="K28" s="116" t="s">
        <v>238</v>
      </c>
      <c r="L28" s="117"/>
      <c r="M28" s="104"/>
      <c r="N28" s="127" t="s">
        <v>222</v>
      </c>
      <c r="O28" s="127" t="s">
        <v>223</v>
      </c>
      <c r="P28" s="127" t="s">
        <v>224</v>
      </c>
      <c r="Q28" s="127" t="s">
        <v>225</v>
      </c>
      <c r="R28" s="127" t="s">
        <v>226</v>
      </c>
      <c r="S28" s="127" t="s">
        <v>227</v>
      </c>
      <c r="T28" s="137" t="s">
        <v>228</v>
      </c>
    </row>
    <row r="29" spans="2:20" ht="14.5" customHeight="1" x14ac:dyDescent="0.35">
      <c r="B29" s="134"/>
      <c r="C29" s="94" t="s">
        <v>229</v>
      </c>
      <c r="D29" s="139" t="s">
        <v>230</v>
      </c>
      <c r="E29" s="140"/>
      <c r="F29" s="136"/>
      <c r="G29" s="136"/>
      <c r="H29" s="136"/>
      <c r="I29" s="136"/>
      <c r="J29" s="136"/>
      <c r="K29" s="52" t="s">
        <v>229</v>
      </c>
      <c r="L29" s="139" t="s">
        <v>230</v>
      </c>
      <c r="M29" s="140"/>
      <c r="N29" s="128"/>
      <c r="O29" s="128"/>
      <c r="P29" s="128"/>
      <c r="Q29" s="128"/>
      <c r="R29" s="128"/>
      <c r="S29" s="128"/>
      <c r="T29" s="138"/>
    </row>
    <row r="30" spans="2:20" x14ac:dyDescent="0.35">
      <c r="B30" s="45" t="s">
        <v>2</v>
      </c>
      <c r="C30" s="76">
        <f>SUMIFS(REALIZADO[META_MOVEL],REALIZADO[PDV],'CENTRO VV'!$M$7)</f>
        <v>4400</v>
      </c>
      <c r="D30" s="77">
        <f>SUMIFS(REALIZADO[AT_MOVEL],REALIZADO[PDV],'CENTRO VV'!$M$7)</f>
        <v>606.98</v>
      </c>
      <c r="E30" s="49">
        <f>IFERROR(D30/C30,0)</f>
        <v>0.13795000000000002</v>
      </c>
      <c r="F30" s="8">
        <f>VLOOKUP($E$30,FATORES!$I$32:$K$34,3)</f>
        <v>5.0000000000000001E-3</v>
      </c>
      <c r="G30" s="8">
        <f>IFERROR(VLOOKUP($E$30,FATORES!$I$35:$K$36,3),0)</f>
        <v>0</v>
      </c>
      <c r="H30" s="9">
        <f>D30*F30</f>
        <v>3.0349000000000004</v>
      </c>
      <c r="I30" s="9">
        <f t="shared" ref="I30:I38" si="8">IF($P$7="ARIEL",
   IF(AND($E$30&gt;=69.5%, AND($E$32&gt;=69.5%, $E$33&gt;=69.5%, $E$33&gt;=69.5%, $E$35&gt;=69.5%, $E$35&gt;=69.5%, $E$37&gt;=69.5%, $E$38&gt;=69.5%)),
      D30*G30,
      0),
   IF(AND($E$30&gt;=69.5%, $E$31&gt;=69.5%, $E$32&gt;=69.5%, $E$33&gt;=69.5%, $E$33&gt;=69.5%, $E$35&gt;=69.5%, $E$35&gt;=69.5%, $E$37&gt;=69.5%, $E$38&gt;=69.5%),
      D30*G30,
      0)
)</f>
        <v>0</v>
      </c>
      <c r="J30" s="9">
        <f>H30+I30</f>
        <v>3.0349000000000004</v>
      </c>
      <c r="K30" s="76">
        <f>SUMIFS(REALIZADO[META_MOVEL],REALIZADO[COORDENAÇÃO],$P$7)</f>
        <v>53549.999899999995</v>
      </c>
      <c r="L30" s="77">
        <f>SUMIFS(REALIZADO[AT_MOVEL],REALIZADO[COORDENAÇÃO],$P$7)</f>
        <v>4789.97</v>
      </c>
      <c r="M30" s="49">
        <f>IFERROR(L30/K30,0)</f>
        <v>8.9448552921472566E-2</v>
      </c>
      <c r="N30" s="8">
        <f>IF($M$30&gt;=FATORES!$I$37,FATORES!$K$37,0)</f>
        <v>0</v>
      </c>
      <c r="O30" s="14">
        <f>IF(E30&gt;=100%,
IF($P$7="ARIEL",
IF(AND($E$30&gt;=69.5%,$E$32&gt;=69.5%,$E$33&gt;=69.5%,$E$35&gt;=69.5%,$E$37&gt;=69.5%,$E$38&gt;=69.5%),
D30*N30,
0),
IF(AND($E$30&gt;=69.5%,$E$31&gt;=69.5%,$E$32&gt;=69.5%,$E$33&gt;=69.5%,$E$35&gt;=69.5%,$E$37&gt;=69.5%,$E$38&gt;=69.5%),
D30*N30,
0)
),0)</f>
        <v>0</v>
      </c>
      <c r="P30" s="10">
        <f>J30+O30</f>
        <v>3.0349000000000004</v>
      </c>
      <c r="Q30" s="11">
        <f>IF($B$8=2,P30*0.05,0)</f>
        <v>0</v>
      </c>
      <c r="R30" s="11">
        <f>IF($B$8=3,P30*0.15,0)</f>
        <v>0</v>
      </c>
      <c r="S30" s="98">
        <v>0.1</v>
      </c>
      <c r="T30" s="124">
        <f>SUM(P39:S39)</f>
        <v>4.1729500000000002</v>
      </c>
    </row>
    <row r="31" spans="2:20" x14ac:dyDescent="0.35">
      <c r="B31" s="46" t="s">
        <v>13</v>
      </c>
      <c r="C31" s="76">
        <f>SUMIFS(REALIZADO[META_FIXA],REALIZADO[PDV],'CENTRO VV'!$M$7)</f>
        <v>2550</v>
      </c>
      <c r="D31" s="77">
        <f>SUMIFS(REALIZADO[AT_FIXA],REALIZADO[PDV],'CENTRO VV'!$M$7)</f>
        <v>20.010000000000002</v>
      </c>
      <c r="E31" s="50">
        <f>IFERROR(D31/C31,0)</f>
        <v>7.8470588235294118E-3</v>
      </c>
      <c r="F31" s="12">
        <f>VLOOKUP($E$31,FATORES!$I$40:$K$42,3)</f>
        <v>5.0000000000000001E-3</v>
      </c>
      <c r="G31" s="12">
        <f>IFERROR(VLOOKUP($E$31,FATORES!$I$43:$K$44,3),0)</f>
        <v>0</v>
      </c>
      <c r="H31" s="65">
        <f t="shared" ref="H31:H38" si="9">D31*F31</f>
        <v>0.10005000000000001</v>
      </c>
      <c r="I31" s="65">
        <f t="shared" si="8"/>
        <v>0</v>
      </c>
      <c r="J31" s="65">
        <f t="shared" ref="J31:J38" si="10">H31+I31</f>
        <v>0.10005000000000001</v>
      </c>
      <c r="K31" s="76">
        <f>SUMIFS(REALIZADO[META_FIXA],REALIZADO[COORDENAÇÃO],$P$7)</f>
        <v>29649.999899999988</v>
      </c>
      <c r="L31" s="77">
        <f>SUMIFS(REALIZADO[AT_FIXA],REALIZADO[COORDENAÇÃO],$P$7)</f>
        <v>3600.01</v>
      </c>
      <c r="M31" s="50">
        <f t="shared" ref="M31:M32" si="11">IFERROR(L31/K31,0)</f>
        <v>0.12141686381590854</v>
      </c>
      <c r="N31" s="12">
        <f>IF($M$31&gt;=FATORES!$I$45,FATORES!$K$45,0)</f>
        <v>0</v>
      </c>
      <c r="O31" s="14">
        <f t="shared" ref="O31:O38" si="12">IF(E31&gt;=100%,
IF($P$7="ARIEL",
IF(AND($E$30&gt;=69.5%,$E$32&gt;=69.5%,$E$33&gt;=69.5%,$E$35&gt;=69.5%,$E$37&gt;=69.5%,$E$38&gt;=69.5%),
D31*N31,
0),
IF(AND($E$30&gt;=69.5%,$E$31&gt;=69.5%,$E$32&gt;=69.5%,$E$33&gt;=69.5%,$E$35&gt;=69.5%,$E$37&gt;=69.5%,$E$38&gt;=69.5%),
D31*N31,
0)
),0)</f>
        <v>0</v>
      </c>
      <c r="P31" s="13">
        <f t="shared" ref="P31:P38" si="13">J31+O31</f>
        <v>0.10005000000000001</v>
      </c>
      <c r="Q31" s="15">
        <f>IF($C$8=2,P31*0.05,0)</f>
        <v>0</v>
      </c>
      <c r="R31" s="15">
        <f>IF($C$8=3,P31*0.15,0)</f>
        <v>0</v>
      </c>
      <c r="S31" s="99"/>
      <c r="T31" s="125"/>
    </row>
    <row r="32" spans="2:20" x14ac:dyDescent="0.35">
      <c r="B32" s="46" t="s">
        <v>231</v>
      </c>
      <c r="C32" s="53">
        <f>SUMIFS(REALIZADO[META_SMARTPHONE],REALIZADO[PDV],'CENTRO VV'!$M$7)</f>
        <v>67500</v>
      </c>
      <c r="D32" s="78">
        <f>SUMIFS(REALIZADO[AT_SMARTPHONE],REALIZADO[PDV],'CENTRO VV'!$M$7)</f>
        <v>0</v>
      </c>
      <c r="E32" s="50">
        <f>IFERROR(D32/C32,0)</f>
        <v>0</v>
      </c>
      <c r="F32" s="12">
        <f>VLOOKUP($E$32,FATORES!$B$53:$D$54,3)</f>
        <v>2.0000000000000001E-4</v>
      </c>
      <c r="G32" s="12">
        <f>IFERROR(VLOOKUP($E$32,FATORES!$B$55:$D$55,3),0)</f>
        <v>0</v>
      </c>
      <c r="H32" s="65">
        <f t="shared" si="9"/>
        <v>0</v>
      </c>
      <c r="I32" s="65">
        <f t="shared" si="8"/>
        <v>0</v>
      </c>
      <c r="J32" s="65">
        <f t="shared" si="10"/>
        <v>0</v>
      </c>
      <c r="K32" s="53">
        <f>SUMIFS(REALIZADO[META_SMARTPHONE],REALIZADO[COORDENAÇÃO],$P$7)</f>
        <v>741500.00009999995</v>
      </c>
      <c r="L32" s="78">
        <f>SUMIFS(REALIZADO[AT_SMARTPHONE],REALIZADO[COORDENAÇÃO],$P$7)</f>
        <v>63660</v>
      </c>
      <c r="M32" s="50">
        <f t="shared" si="11"/>
        <v>8.585300066273055E-2</v>
      </c>
      <c r="N32" s="12">
        <f>IF($M$32&gt;=FATORES!$B$56,FATORES!$D$56,0)</f>
        <v>0</v>
      </c>
      <c r="O32" s="14">
        <f t="shared" si="12"/>
        <v>0</v>
      </c>
      <c r="P32" s="13">
        <f t="shared" si="13"/>
        <v>0</v>
      </c>
      <c r="Q32" s="15">
        <f>IF($D$8=2,P32*0.05,0)</f>
        <v>0</v>
      </c>
      <c r="R32" s="15">
        <f>IF($D$8=3,P32*0.15,0)</f>
        <v>0</v>
      </c>
      <c r="S32" s="99"/>
      <c r="T32" s="125"/>
    </row>
    <row r="33" spans="2:20" x14ac:dyDescent="0.35">
      <c r="B33" s="47" t="s">
        <v>232</v>
      </c>
      <c r="C33" s="121">
        <f>SUMIFS(REALIZADO[META_ACESSORIO],REALIZADO[PDV],'CENTRO VV'!$M$7)</f>
        <v>8900</v>
      </c>
      <c r="D33" s="86">
        <f>SUMIFS(REALIZADO[AT_ACESSORIOS_A],REALIZADO[PDV],'CENTRO VV'!$M$7)</f>
        <v>0</v>
      </c>
      <c r="E33" s="123">
        <f>IFERROR((D33+D34)/C33,0)</f>
        <v>0</v>
      </c>
      <c r="F33" s="12">
        <f>VLOOKUP($E$33,FATORES!$B$44:$E$46,3)</f>
        <v>5.0000000000000001E-4</v>
      </c>
      <c r="G33" s="12">
        <f>IFERROR(VLOOKUP($E$33,FATORES!$B$47:$E$48,3),0)</f>
        <v>0</v>
      </c>
      <c r="H33" s="65">
        <f t="shared" si="9"/>
        <v>0</v>
      </c>
      <c r="I33" s="65">
        <f t="shared" si="8"/>
        <v>0</v>
      </c>
      <c r="J33" s="65">
        <f t="shared" si="10"/>
        <v>0</v>
      </c>
      <c r="K33" s="121">
        <f>SUMIFS(REALIZADO[META_ACESSORIO],REALIZADO[COORDENAÇÃO],$P$7)</f>
        <v>82600.000300000014</v>
      </c>
      <c r="L33" s="86">
        <f>SUMIFS(REALIZADO[AT_ACESSORIOS_A],REALIZADO[COORDENAÇÃO],$P$7)</f>
        <v>209</v>
      </c>
      <c r="M33" s="97">
        <f>IFERROR((L33+L34)/K33,0)</f>
        <v>0.19131961189593358</v>
      </c>
      <c r="N33" s="12">
        <f>IF($M$33&gt;=FATORES!$B$49,FATORES!$D$49,0)</f>
        <v>0</v>
      </c>
      <c r="O33" s="14">
        <f t="shared" si="12"/>
        <v>0</v>
      </c>
      <c r="P33" s="13">
        <f t="shared" si="13"/>
        <v>0</v>
      </c>
      <c r="Q33" s="15">
        <f>IF($E$8=2,P33*0.05,0)</f>
        <v>0</v>
      </c>
      <c r="R33" s="15">
        <f>IF($E$8=3,P33*0.15,0)</f>
        <v>0</v>
      </c>
      <c r="S33" s="99"/>
      <c r="T33" s="125"/>
    </row>
    <row r="34" spans="2:20" x14ac:dyDescent="0.35">
      <c r="B34" s="47" t="s">
        <v>233</v>
      </c>
      <c r="C34" s="122"/>
      <c r="D34" s="87">
        <f>SUMIFS(REALIZADO[AT_ACESSORIOS_B],REALIZADO[PDV],'CENTRO VV'!$M$7)</f>
        <v>0</v>
      </c>
      <c r="E34" s="123"/>
      <c r="F34" s="12">
        <f>VLOOKUP($E$33,FATORES!$B$44:$E$46,4)</f>
        <v>2.5000000000000001E-4</v>
      </c>
      <c r="G34" s="12">
        <f>IFERROR(VLOOKUP($E$33,FATORES!$B$47:$E$48,4),0)</f>
        <v>0</v>
      </c>
      <c r="H34" s="65">
        <f t="shared" si="9"/>
        <v>0</v>
      </c>
      <c r="I34" s="65">
        <f t="shared" si="8"/>
        <v>0</v>
      </c>
      <c r="J34" s="65">
        <f t="shared" si="10"/>
        <v>0</v>
      </c>
      <c r="K34" s="122"/>
      <c r="L34" s="87">
        <f>SUMIFS(REALIZADO[AT_ACESSORIOS_B],REALIZADO[COORDENAÇÃO],$P$7)</f>
        <v>15594</v>
      </c>
      <c r="M34" s="97"/>
      <c r="N34" s="12">
        <f>IF($M$33&gt;=FATORES!$B$49,FATORES!$E$49,0)</f>
        <v>0</v>
      </c>
      <c r="O34" s="14">
        <f t="shared" si="12"/>
        <v>0</v>
      </c>
      <c r="P34" s="13">
        <f t="shared" si="13"/>
        <v>0</v>
      </c>
      <c r="Q34" s="15">
        <f>IF($E$8=2,P34*0.05,0)</f>
        <v>0</v>
      </c>
      <c r="R34" s="15">
        <f>IF($E$8=3,P34*0.15,0)</f>
        <v>0</v>
      </c>
      <c r="S34" s="99"/>
      <c r="T34" s="125"/>
    </row>
    <row r="35" spans="2:20" x14ac:dyDescent="0.35">
      <c r="B35" s="46" t="s">
        <v>234</v>
      </c>
      <c r="C35" s="121">
        <f>SUMIFS(REALIZADO[META_ESSENCIAIS],REALIZADO[PDV],'CENTRO VV'!$M$7)</f>
        <v>3400</v>
      </c>
      <c r="D35" s="86">
        <f>SUMIFS(REALIZADO[AT_ESSENCIAIS_A],REALIZADO[PDV],'CENTRO VV'!$M$7)</f>
        <v>0</v>
      </c>
      <c r="E35" s="123">
        <f>IFERROR((D35+D36)/C35,0)</f>
        <v>0</v>
      </c>
      <c r="F35" s="12">
        <f>VLOOKUP($E$35,FATORES!$B$34:$E$36,3)</f>
        <v>5.0000000000000001E-4</v>
      </c>
      <c r="G35" s="12">
        <f>IFERROR(VLOOKUP($E$35,FATORES!$B$37:$E$38,3),0)</f>
        <v>0</v>
      </c>
      <c r="H35" s="65">
        <f t="shared" si="9"/>
        <v>0</v>
      </c>
      <c r="I35" s="65">
        <f t="shared" si="8"/>
        <v>0</v>
      </c>
      <c r="J35" s="65">
        <f t="shared" si="10"/>
        <v>0</v>
      </c>
      <c r="K35" s="121">
        <f>SUMIFS(REALIZADO[META_ESSENCIAIS],REALIZADO[COORDENAÇÃO],$P$7)</f>
        <v>41199.999999999993</v>
      </c>
      <c r="L35" s="86">
        <f>SUMIFS(REALIZADO[AT_ESSENCIAIS_A],REALIZADO[COORDENAÇÃO],$P$7)</f>
        <v>1616.6499999999999</v>
      </c>
      <c r="M35" s="97">
        <f>IFERROR((L35+L36)/K35,0)</f>
        <v>0.10509466019417477</v>
      </c>
      <c r="N35" s="12">
        <f>IF($M$35&gt;=FATORES!$B$39,FATORES!$D$39,0)</f>
        <v>0</v>
      </c>
      <c r="O35" s="14">
        <f t="shared" si="12"/>
        <v>0</v>
      </c>
      <c r="P35" s="13">
        <f t="shared" si="13"/>
        <v>0</v>
      </c>
      <c r="Q35" s="15">
        <f>IF($F$8=2,P35*0.05,0)</f>
        <v>0</v>
      </c>
      <c r="R35" s="15">
        <f>IF($F$8=3,P35*0.15,0)</f>
        <v>0</v>
      </c>
      <c r="S35" s="99"/>
      <c r="T35" s="125"/>
    </row>
    <row r="36" spans="2:20" x14ac:dyDescent="0.35">
      <c r="B36" s="46" t="s">
        <v>235</v>
      </c>
      <c r="C36" s="122"/>
      <c r="D36" s="87">
        <f>SUMIFS(REALIZADO[AT_ESSENCIAIS_B],REALIZADO[PDV],'CENTRO VV'!$M$7)</f>
        <v>0</v>
      </c>
      <c r="E36" s="123"/>
      <c r="F36" s="12">
        <f>VLOOKUP($E$35,FATORES!$B$34:$E$36,4)</f>
        <v>2.5000000000000001E-4</v>
      </c>
      <c r="G36" s="12">
        <f>IFERROR(VLOOKUP($E$35,FATORES!$B$37:$E$38,4),0)</f>
        <v>0</v>
      </c>
      <c r="H36" s="65">
        <f t="shared" si="9"/>
        <v>0</v>
      </c>
      <c r="I36" s="65">
        <f t="shared" si="8"/>
        <v>0</v>
      </c>
      <c r="J36" s="65">
        <f t="shared" si="10"/>
        <v>0</v>
      </c>
      <c r="K36" s="122"/>
      <c r="L36" s="87">
        <f>SUMIFS(REALIZADO[AT_ESSENCIAIS_B],REALIZADO[COORDENAÇÃO],$P$7)</f>
        <v>2713.25</v>
      </c>
      <c r="M36" s="97"/>
      <c r="N36" s="12">
        <f>IF($M$35&gt;=FATORES!$B$39,FATORES!$E$39,0)</f>
        <v>0</v>
      </c>
      <c r="O36" s="14">
        <f t="shared" si="12"/>
        <v>0</v>
      </c>
      <c r="P36" s="13">
        <f t="shared" si="13"/>
        <v>0</v>
      </c>
      <c r="Q36" s="15">
        <f>IF($F$8=2,P36*0.05,0)</f>
        <v>0</v>
      </c>
      <c r="R36" s="15">
        <f>IF($F$8=3,P36*0.15,0)</f>
        <v>0</v>
      </c>
      <c r="S36" s="99"/>
      <c r="T36" s="125"/>
    </row>
    <row r="37" spans="2:20" x14ac:dyDescent="0.35">
      <c r="B37" s="46" t="s">
        <v>212</v>
      </c>
      <c r="C37" s="57">
        <f>SUMIFS(REALIZADO[META_SEGUROS],REALIZADO[PDV],'CENTRO VV'!$M$7)</f>
        <v>390</v>
      </c>
      <c r="D37" s="79">
        <f>SUMIFS(REALIZADO[AT_SEGUROS],REALIZADO[PDV],'CENTRO VV'!$M$7)</f>
        <v>69.900000000000006</v>
      </c>
      <c r="E37" s="83">
        <f>IFERROR(D37/C37,0)</f>
        <v>0.17923076923076925</v>
      </c>
      <c r="F37" s="83">
        <f>VLOOKUP($E$37,FATORES!$O$32:$Q$34,3)</f>
        <v>5.0000000000000001E-3</v>
      </c>
      <c r="G37" s="12">
        <f>IFERROR(VLOOKUP($E$37,FATORES!$O$35:$Q$36,3),0)</f>
        <v>0</v>
      </c>
      <c r="H37" s="65">
        <f t="shared" si="9"/>
        <v>0.34950000000000003</v>
      </c>
      <c r="I37" s="65">
        <f t="shared" si="8"/>
        <v>0</v>
      </c>
      <c r="J37" s="65">
        <f t="shared" si="10"/>
        <v>0.34950000000000003</v>
      </c>
      <c r="K37" s="57">
        <f>SUMIFS(REALIZADO[META_SEGUROS],REALIZADO[COORDENAÇÃO],$P$7)</f>
        <v>5129.9997999999996</v>
      </c>
      <c r="L37" s="79">
        <f>SUMIFS(REALIZADO[AT_SEGUROS],REALIZADO[COORDENAÇÃO],$P$7)</f>
        <v>328.9</v>
      </c>
      <c r="M37" s="50">
        <f t="shared" ref="M37:M38" si="14">IFERROR(L37/K37,0)</f>
        <v>6.411306292838452E-2</v>
      </c>
      <c r="N37" s="12">
        <f>IF($M$37&gt;=FATORES!$O$37,FATORES!$Q$37,0)</f>
        <v>0</v>
      </c>
      <c r="O37" s="14">
        <f t="shared" si="12"/>
        <v>0</v>
      </c>
      <c r="P37" s="13">
        <f t="shared" si="13"/>
        <v>0.34950000000000003</v>
      </c>
      <c r="Q37" s="15">
        <f>IF($G$8=2,P37*0.05,0)</f>
        <v>0</v>
      </c>
      <c r="R37" s="15">
        <f>IF($G$8=3,P37*0.15,0)</f>
        <v>0</v>
      </c>
      <c r="S37" s="99"/>
      <c r="T37" s="125"/>
    </row>
    <row r="38" spans="2:20" x14ac:dyDescent="0.35">
      <c r="B38" s="48" t="s">
        <v>14</v>
      </c>
      <c r="C38" s="76">
        <f>SUMIFS(REALIZADO[META_SVA],REALIZADO[PDV],'CENTRO VV'!$M$7)</f>
        <v>400</v>
      </c>
      <c r="D38" s="77">
        <f>SUMIFS(REALIZADO[AT_SVA],REALIZADO[PDV],'CENTRO VV'!$M$7)</f>
        <v>137.69999999999999</v>
      </c>
      <c r="E38" s="82">
        <f>IFERROR(D38/C38,0)</f>
        <v>0.34424999999999994</v>
      </c>
      <c r="F38" s="16">
        <f>IF($E$38&gt;=0,FATORES!$Q$40)</f>
        <v>5.0000000000000001E-3</v>
      </c>
      <c r="G38" s="16">
        <f>IFERROR(VLOOKUP($E$38,FATORES!$O$43:$Q$44,3),0)</f>
        <v>0</v>
      </c>
      <c r="H38" s="17">
        <f t="shared" si="9"/>
        <v>0.6885</v>
      </c>
      <c r="I38" s="65">
        <f t="shared" si="8"/>
        <v>0</v>
      </c>
      <c r="J38" s="17">
        <f t="shared" si="10"/>
        <v>0.6885</v>
      </c>
      <c r="K38" s="76">
        <f>SUMIFS(REALIZADO[META_SVA],REALIZADO[COORDENAÇÃO],$P$7)</f>
        <v>4540.0006000000003</v>
      </c>
      <c r="L38" s="77">
        <f>SUMIFS(REALIZADO[AT_SVA],REALIZADO[COORDENAÇÃO],$P$7)</f>
        <v>882.62999999999988</v>
      </c>
      <c r="M38" s="51">
        <f t="shared" si="14"/>
        <v>0.19441186857992923</v>
      </c>
      <c r="N38" s="16">
        <f>IF($M$38&gt;=FATORES!$O$45,FATORES!$Q$45,0)</f>
        <v>0</v>
      </c>
      <c r="O38" s="14">
        <f t="shared" si="12"/>
        <v>0</v>
      </c>
      <c r="P38" s="18">
        <f t="shared" si="13"/>
        <v>0.6885</v>
      </c>
      <c r="Q38" s="19">
        <f>IF($H$8=2,P38*0.05,0)</f>
        <v>0</v>
      </c>
      <c r="R38" s="19">
        <f>IF($H$8=3,P38*0.15,0)</f>
        <v>0</v>
      </c>
      <c r="S38" s="100"/>
      <c r="T38" s="126"/>
    </row>
    <row r="39" spans="2:20" x14ac:dyDescent="0.35">
      <c r="B39" s="66"/>
      <c r="C39" s="67"/>
      <c r="D39" s="67"/>
      <c r="E39" s="67"/>
      <c r="F39" s="67"/>
      <c r="G39" s="67"/>
      <c r="H39" s="67"/>
      <c r="I39" s="67"/>
      <c r="J39" s="68"/>
      <c r="K39" s="69"/>
      <c r="L39" s="67"/>
      <c r="M39" s="67"/>
      <c r="N39" s="67"/>
      <c r="O39" s="67"/>
      <c r="P39" s="70">
        <f>SUM(P30:P38)</f>
        <v>4.1729500000000002</v>
      </c>
      <c r="Q39" s="70">
        <f t="shared" ref="Q39:R39" si="15">SUM(Q30:Q38)</f>
        <v>0</v>
      </c>
      <c r="R39" s="70">
        <f t="shared" si="15"/>
        <v>0</v>
      </c>
      <c r="S39" s="71" t="str">
        <f>IF($P$7="ARIEL",IF(MIN(E30,E32,E33,E34,E35,E37,E38)&gt;=100%,SUM(P39:R39)*S30,""),IF(MIN(E30:E38)&gt;=100%,SUM(P39:R39)*S30,""))</f>
        <v/>
      </c>
      <c r="T39" s="72"/>
    </row>
    <row r="41" spans="2:20" ht="18.5" x14ac:dyDescent="0.35">
      <c r="B41" s="107" t="s">
        <v>239</v>
      </c>
      <c r="C41" s="108"/>
      <c r="D41" s="108"/>
      <c r="E41" s="108"/>
      <c r="F41" s="108"/>
      <c r="G41" s="108"/>
      <c r="H41" s="108"/>
      <c r="I41" s="108"/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T41" s="108"/>
    </row>
    <row r="42" spans="2:20" x14ac:dyDescent="0.35">
      <c r="B42" s="109" t="s">
        <v>9</v>
      </c>
      <c r="C42" s="110"/>
      <c r="D42" s="110"/>
      <c r="E42" s="110"/>
      <c r="F42" s="110"/>
      <c r="G42" s="110"/>
      <c r="H42" s="110"/>
      <c r="I42" s="110"/>
      <c r="J42" s="111"/>
      <c r="K42" s="112" t="s">
        <v>54</v>
      </c>
      <c r="L42" s="113"/>
      <c r="M42" s="113"/>
      <c r="N42" s="113"/>
      <c r="O42" s="113"/>
      <c r="P42" s="7"/>
      <c r="Q42" s="7"/>
      <c r="R42" s="7"/>
      <c r="S42" s="7"/>
      <c r="T42" s="64"/>
    </row>
    <row r="43" spans="2:20" ht="14.5" customHeight="1" x14ac:dyDescent="0.35">
      <c r="B43" s="114" t="s">
        <v>214</v>
      </c>
      <c r="C43" s="116" t="s">
        <v>237</v>
      </c>
      <c r="D43" s="117"/>
      <c r="E43" s="104"/>
      <c r="F43" s="118" t="s">
        <v>216</v>
      </c>
      <c r="G43" s="118" t="s">
        <v>217</v>
      </c>
      <c r="H43" s="118" t="s">
        <v>218</v>
      </c>
      <c r="I43" s="118" t="s">
        <v>219</v>
      </c>
      <c r="J43" s="118" t="s">
        <v>220</v>
      </c>
      <c r="K43" s="104" t="s">
        <v>238</v>
      </c>
      <c r="L43" s="105"/>
      <c r="M43" s="105"/>
      <c r="N43" s="106" t="s">
        <v>222</v>
      </c>
      <c r="O43" s="106" t="s">
        <v>223</v>
      </c>
      <c r="P43" s="106" t="s">
        <v>224</v>
      </c>
      <c r="Q43" s="106" t="s">
        <v>225</v>
      </c>
      <c r="R43" s="106" t="s">
        <v>226</v>
      </c>
      <c r="S43" s="106" t="s">
        <v>227</v>
      </c>
      <c r="T43" s="119" t="s">
        <v>228</v>
      </c>
    </row>
    <row r="44" spans="2:20" x14ac:dyDescent="0.35">
      <c r="B44" s="115"/>
      <c r="C44" s="94" t="s">
        <v>229</v>
      </c>
      <c r="D44" s="120" t="s">
        <v>230</v>
      </c>
      <c r="E44" s="120"/>
      <c r="F44" s="118"/>
      <c r="G44" s="118"/>
      <c r="H44" s="118"/>
      <c r="I44" s="118"/>
      <c r="J44" s="118"/>
      <c r="K44" s="52" t="s">
        <v>229</v>
      </c>
      <c r="L44" s="120" t="s">
        <v>230</v>
      </c>
      <c r="M44" s="120"/>
      <c r="N44" s="106"/>
      <c r="O44" s="106"/>
      <c r="P44" s="106"/>
      <c r="Q44" s="106"/>
      <c r="R44" s="106"/>
      <c r="S44" s="106"/>
      <c r="T44" s="119"/>
    </row>
    <row r="45" spans="2:20" x14ac:dyDescent="0.35">
      <c r="B45" s="45" t="s">
        <v>2</v>
      </c>
      <c r="C45" s="53">
        <v>4400</v>
      </c>
      <c r="D45" s="54">
        <v>4500</v>
      </c>
      <c r="E45" s="49">
        <f>IFERROR(D45/C45,0)</f>
        <v>1.0227272727272727</v>
      </c>
      <c r="F45" s="8">
        <f>VLOOKUP($E$45,FATORES!$I$32:$K$34,3)</f>
        <v>0.04</v>
      </c>
      <c r="G45" s="8">
        <f>IFERROR(VLOOKUP(E45,FATORES!$I$35:$K$36,3),0)</f>
        <v>0.08</v>
      </c>
      <c r="H45" s="9">
        <f>D45*F45</f>
        <v>180</v>
      </c>
      <c r="I45" s="9">
        <f t="shared" ref="I45:I53" si="16">IF($P$7="ARIEL",
   IF(AND($E$45&gt;=69.5%, AND($E$47&gt;=69.5%, $E$48&gt;=69.5%, $E$48&gt;=69.5%, $E$50&gt;=69.5%, $E$50&gt;=69.5%, $E$52&gt;=69.5%, $E$53&gt;=69.5%)),
      D45*G45,
      0),
   IF(AND($E$45&gt;=69.5%, $E$46&gt;=69.5%, $E$47&gt;=69.5%, $E$48&gt;=69.5%, $E$48&gt;=69.5%, $E$50&gt;=69.5%, $E$50&gt;=69.5%, $E$52&gt;=69.5%, $E$53&gt;=69.5%),
      D45*G45,
      0)
)</f>
        <v>0</v>
      </c>
      <c r="J45" s="9">
        <f>H45+I45</f>
        <v>180</v>
      </c>
      <c r="K45" s="53">
        <v>0</v>
      </c>
      <c r="L45" s="54">
        <v>0</v>
      </c>
      <c r="M45" s="49">
        <f>IFERROR(L45/K45,0)</f>
        <v>0</v>
      </c>
      <c r="N45" s="8">
        <f>IF($M$45&gt;=FATORES!$I$37,FATORES!$K$37,0)</f>
        <v>0</v>
      </c>
      <c r="O45" s="14">
        <f>IF(E45&gt;=100%,
IF($P$7="ARIEL",
   IF(AND($E$45&gt;=69.5%, AND($E$47&gt;=69.5%, $E$48&gt;=69.5%, $E$48&gt;=69.5%, $E$50&gt;=69.5%, $E$50&gt;=69.5%, $E$52&gt;=69.5%, $E$53&gt;=69.5%)),
      D45*N45,
      0),
   IF(AND($E$45&gt;=69.5%, $E$46&gt;=69.5%, $E$47&gt;=69.5%, $E$48&gt;=69.5%, $E$48&gt;=69.5%, $E$50&gt;=69.5%, $E$50&gt;=69.5%, $E$52&gt;=69.5%, $E$53&gt;=69.5%),
      D45*N45,
      0)
),0)</f>
        <v>0</v>
      </c>
      <c r="P45" s="10">
        <f>J45+O45</f>
        <v>180</v>
      </c>
      <c r="Q45" s="11">
        <f>IF($B$8=2,P45*0.05,0)</f>
        <v>0</v>
      </c>
      <c r="R45" s="11">
        <f>IF($B$8=3,P45*0.15,0)</f>
        <v>0</v>
      </c>
      <c r="S45" s="98">
        <v>0.1</v>
      </c>
      <c r="T45" s="101">
        <f>SUM($P$54:$S$54)</f>
        <v>596</v>
      </c>
    </row>
    <row r="46" spans="2:20" x14ac:dyDescent="0.35">
      <c r="B46" s="46" t="s">
        <v>13</v>
      </c>
      <c r="C46" s="55">
        <v>2500</v>
      </c>
      <c r="D46" s="56">
        <v>2600</v>
      </c>
      <c r="E46" s="50">
        <f>IFERROR(D46/C46,0)</f>
        <v>1.04</v>
      </c>
      <c r="F46" s="12">
        <f>VLOOKUP($E$46,FATORES!$I$40:$K$42,3)</f>
        <v>0.04</v>
      </c>
      <c r="G46" s="12">
        <f>IFERROR(VLOOKUP(E46,FATORES!$I$43:$K$44,3),0)</f>
        <v>0.1</v>
      </c>
      <c r="H46" s="65">
        <f t="shared" ref="H46:H53" si="17">D46*F46</f>
        <v>104</v>
      </c>
      <c r="I46" s="65">
        <f t="shared" si="16"/>
        <v>0</v>
      </c>
      <c r="J46" s="65">
        <f t="shared" ref="J46:J53" si="18">H46+I46</f>
        <v>104</v>
      </c>
      <c r="K46" s="55">
        <v>0</v>
      </c>
      <c r="L46" s="56">
        <v>0</v>
      </c>
      <c r="M46" s="50">
        <f t="shared" ref="M46:M53" si="19">IFERROR(L46/K46,0)</f>
        <v>0</v>
      </c>
      <c r="N46" s="12">
        <f>IF($M$46&gt;=FATORES!$I$45,FATORES!$K$45,0)</f>
        <v>0</v>
      </c>
      <c r="O46" s="14">
        <f t="shared" ref="O46:O53" si="20">IF(E46&gt;=100%,
IF($P$7="ARIEL",
   IF(AND($E$45&gt;=69.5%, AND($E$47&gt;=69.5%, $E$48&gt;=69.5%, $E$48&gt;=69.5%, $E$50&gt;=69.5%, $E$50&gt;=69.5%, $E$52&gt;=69.5%, $E$53&gt;=69.5%)),
      D46*N46,
      0),
   IF(AND($E$45&gt;=69.5%, $E$46&gt;=69.5%, $E$47&gt;=69.5%, $E$48&gt;=69.5%, $E$48&gt;=69.5%, $E$50&gt;=69.5%, $E$50&gt;=69.5%, $E$52&gt;=69.5%, $E$53&gt;=69.5%),
      D46*N46,
      0)
),0)</f>
        <v>0</v>
      </c>
      <c r="P46" s="13">
        <f t="shared" ref="P46:P53" si="21">J46+O46</f>
        <v>104</v>
      </c>
      <c r="Q46" s="15">
        <f>IF($C$8=2,P46*0.05,0)</f>
        <v>0</v>
      </c>
      <c r="R46" s="15">
        <f>IF($C$8=3,P46*0.15,0)</f>
        <v>0</v>
      </c>
      <c r="S46" s="99"/>
      <c r="T46" s="102"/>
    </row>
    <row r="47" spans="2:20" x14ac:dyDescent="0.35">
      <c r="B47" s="46" t="s">
        <v>231</v>
      </c>
      <c r="C47" s="55">
        <v>500000</v>
      </c>
      <c r="D47" s="56">
        <v>624000</v>
      </c>
      <c r="E47" s="50">
        <f>IFERROR(D47/C47,0)</f>
        <v>1.248</v>
      </c>
      <c r="F47" s="12">
        <f>VLOOKUP($E$47,FATORES!$B$53:$D$54,3)</f>
        <v>5.0000000000000001E-4</v>
      </c>
      <c r="G47" s="12">
        <f>IFERROR(VLOOKUP(E47,FATORES!$B$55:$D$55,3),0)</f>
        <v>1E-3</v>
      </c>
      <c r="H47" s="65">
        <f t="shared" si="17"/>
        <v>312</v>
      </c>
      <c r="I47" s="65">
        <f t="shared" si="16"/>
        <v>0</v>
      </c>
      <c r="J47" s="65">
        <f t="shared" si="18"/>
        <v>312</v>
      </c>
      <c r="K47" s="55">
        <v>0</v>
      </c>
      <c r="L47" s="56">
        <v>0</v>
      </c>
      <c r="M47" s="50">
        <f t="shared" si="19"/>
        <v>0</v>
      </c>
      <c r="N47" s="12">
        <f>IF($M$47&gt;=FATORES!$B$56,FATORES!$D$56,0)</f>
        <v>0</v>
      </c>
      <c r="O47" s="14">
        <f t="shared" si="20"/>
        <v>0</v>
      </c>
      <c r="P47" s="13">
        <f t="shared" si="21"/>
        <v>312</v>
      </c>
      <c r="Q47" s="15">
        <f>IF($D$8=2,P47*0.05,0)</f>
        <v>0</v>
      </c>
      <c r="R47" s="15">
        <f>IF($D$8=3,P47*0.15,0)</f>
        <v>0</v>
      </c>
      <c r="S47" s="99"/>
      <c r="T47" s="102"/>
    </row>
    <row r="48" spans="2:20" x14ac:dyDescent="0.35">
      <c r="B48" s="47" t="s">
        <v>232</v>
      </c>
      <c r="C48" s="96">
        <v>0</v>
      </c>
      <c r="D48" s="56">
        <v>0</v>
      </c>
      <c r="E48" s="97">
        <f>IFERROR((D48+D49)/C48,0)</f>
        <v>0</v>
      </c>
      <c r="F48" s="12">
        <f>VLOOKUP($E$48,FATORES!$B$44:$E$46,3)</f>
        <v>5.0000000000000001E-4</v>
      </c>
      <c r="G48" s="12">
        <f>IFERROR(VLOOKUP(E48,FATORES!$B$47:$E$48,3),0)</f>
        <v>0</v>
      </c>
      <c r="H48" s="65">
        <f t="shared" si="17"/>
        <v>0</v>
      </c>
      <c r="I48" s="65">
        <f t="shared" si="16"/>
        <v>0</v>
      </c>
      <c r="J48" s="65">
        <f t="shared" si="18"/>
        <v>0</v>
      </c>
      <c r="K48" s="96">
        <v>0</v>
      </c>
      <c r="L48" s="56">
        <v>0</v>
      </c>
      <c r="M48" s="97">
        <f>IFERROR((L48+L49)/K48,0)</f>
        <v>0</v>
      </c>
      <c r="N48" s="12">
        <f>IF($M$48&gt;=FATORES!$B$49,FATORES!$D$49,0)</f>
        <v>0</v>
      </c>
      <c r="O48" s="14">
        <f t="shared" si="20"/>
        <v>0</v>
      </c>
      <c r="P48" s="13">
        <f t="shared" si="21"/>
        <v>0</v>
      </c>
      <c r="Q48" s="15">
        <f>IF($E$8=2,P48*0.05,0)</f>
        <v>0</v>
      </c>
      <c r="R48" s="15">
        <f>IF($E$8=3,P48*0.15,0)</f>
        <v>0</v>
      </c>
      <c r="S48" s="99"/>
      <c r="T48" s="102"/>
    </row>
    <row r="49" spans="2:20" x14ac:dyDescent="0.35">
      <c r="B49" s="47" t="s">
        <v>233</v>
      </c>
      <c r="C49" s="96"/>
      <c r="D49" s="56"/>
      <c r="E49" s="97"/>
      <c r="F49" s="12">
        <f>VLOOKUP($E$48,FATORES!$B$44:$E$46,4)</f>
        <v>2.5000000000000001E-4</v>
      </c>
      <c r="G49" s="12">
        <f>IFERROR(VLOOKUP(E48,FATORES!$B$47:$E$48,4),0)</f>
        <v>0</v>
      </c>
      <c r="H49" s="65">
        <f t="shared" si="17"/>
        <v>0</v>
      </c>
      <c r="I49" s="65">
        <f t="shared" si="16"/>
        <v>0</v>
      </c>
      <c r="J49" s="65">
        <f t="shared" si="18"/>
        <v>0</v>
      </c>
      <c r="K49" s="96"/>
      <c r="L49" s="56">
        <v>0</v>
      </c>
      <c r="M49" s="97"/>
      <c r="N49" s="12">
        <f>IF($M$48&gt;=FATORES!$B$49,FATORES!$E$49,0)</f>
        <v>0</v>
      </c>
      <c r="O49" s="14">
        <f t="shared" si="20"/>
        <v>0</v>
      </c>
      <c r="P49" s="13">
        <f t="shared" si="21"/>
        <v>0</v>
      </c>
      <c r="Q49" s="15">
        <f>IF($E$8=2,P49*0.05,0)</f>
        <v>0</v>
      </c>
      <c r="R49" s="15">
        <f>IF($E$8=3,P49*0.15,0)</f>
        <v>0</v>
      </c>
      <c r="S49" s="99"/>
      <c r="T49" s="102"/>
    </row>
    <row r="50" spans="2:20" x14ac:dyDescent="0.35">
      <c r="B50" s="46" t="s">
        <v>234</v>
      </c>
      <c r="C50" s="96">
        <v>0</v>
      </c>
      <c r="D50" s="56">
        <v>0</v>
      </c>
      <c r="E50" s="97">
        <f>IFERROR((D50+D51)/C50,0)</f>
        <v>0</v>
      </c>
      <c r="F50" s="12">
        <f>VLOOKUP($E$50,FATORES!$B$34:$E$36,3)</f>
        <v>5.0000000000000001E-4</v>
      </c>
      <c r="G50" s="12">
        <f>IFERROR(VLOOKUP(E50,FATORES!$B$37:$E$38,3),0)</f>
        <v>0</v>
      </c>
      <c r="H50" s="65">
        <f t="shared" si="17"/>
        <v>0</v>
      </c>
      <c r="I50" s="65">
        <f t="shared" si="16"/>
        <v>0</v>
      </c>
      <c r="J50" s="65">
        <f t="shared" si="18"/>
        <v>0</v>
      </c>
      <c r="K50" s="96">
        <v>0</v>
      </c>
      <c r="L50" s="56">
        <v>0</v>
      </c>
      <c r="M50" s="97">
        <f>IFERROR((L50+L51)/K50,0)</f>
        <v>0</v>
      </c>
      <c r="N50" s="12">
        <f>IF($M$50&gt;=FATORES!$B$39,FATORES!$D$39,0)</f>
        <v>0</v>
      </c>
      <c r="O50" s="14">
        <f t="shared" si="20"/>
        <v>0</v>
      </c>
      <c r="P50" s="13">
        <f t="shared" si="21"/>
        <v>0</v>
      </c>
      <c r="Q50" s="15">
        <f>IF($F$8=2,P50*0.05,0)</f>
        <v>0</v>
      </c>
      <c r="R50" s="15">
        <f>IF($F$8=3,P50*0.15,0)</f>
        <v>0</v>
      </c>
      <c r="S50" s="99"/>
      <c r="T50" s="102"/>
    </row>
    <row r="51" spans="2:20" x14ac:dyDescent="0.35">
      <c r="B51" s="46" t="s">
        <v>235</v>
      </c>
      <c r="C51" s="96"/>
      <c r="D51" s="56">
        <v>0</v>
      </c>
      <c r="E51" s="97"/>
      <c r="F51" s="12">
        <f>VLOOKUP($E$50,FATORES!$B$34:$E$36,4)</f>
        <v>2.5000000000000001E-4</v>
      </c>
      <c r="G51" s="12">
        <f>IFERROR(VLOOKUP(E50,FATORES!$B$37:$E$38,4),0)</f>
        <v>0</v>
      </c>
      <c r="H51" s="65">
        <f t="shared" si="17"/>
        <v>0</v>
      </c>
      <c r="I51" s="65">
        <f t="shared" si="16"/>
        <v>0</v>
      </c>
      <c r="J51" s="65">
        <f t="shared" si="18"/>
        <v>0</v>
      </c>
      <c r="K51" s="96"/>
      <c r="L51" s="56">
        <v>0</v>
      </c>
      <c r="M51" s="97"/>
      <c r="N51" s="12">
        <f>IF($M$50&gt;=FATORES!$B$39,FATORES!$E$39,0)</f>
        <v>0</v>
      </c>
      <c r="O51" s="14">
        <f t="shared" si="20"/>
        <v>0</v>
      </c>
      <c r="P51" s="13">
        <f t="shared" si="21"/>
        <v>0</v>
      </c>
      <c r="Q51" s="15">
        <f>IF($F$8=2,P51*0.05,0)</f>
        <v>0</v>
      </c>
      <c r="R51" s="15">
        <f>IF($F$8=3,P51*0.15,0)</f>
        <v>0</v>
      </c>
      <c r="S51" s="99"/>
      <c r="T51" s="102"/>
    </row>
    <row r="52" spans="2:20" x14ac:dyDescent="0.35">
      <c r="B52" s="46" t="s">
        <v>212</v>
      </c>
      <c r="C52" s="55">
        <v>0</v>
      </c>
      <c r="D52" s="56">
        <v>0</v>
      </c>
      <c r="E52" s="50">
        <f>IFERROR(D52/C52,0)</f>
        <v>0</v>
      </c>
      <c r="F52" s="83">
        <f>VLOOKUP($E$52,FATORES!$O$32:$Q$34,3)</f>
        <v>5.0000000000000001E-3</v>
      </c>
      <c r="G52" s="12">
        <f>IFERROR(VLOOKUP(E52,FATORES!$O$35:$Q$36,3),0)</f>
        <v>0</v>
      </c>
      <c r="H52" s="65">
        <f t="shared" si="17"/>
        <v>0</v>
      </c>
      <c r="I52" s="65">
        <f t="shared" si="16"/>
        <v>0</v>
      </c>
      <c r="J52" s="65">
        <f t="shared" si="18"/>
        <v>0</v>
      </c>
      <c r="K52" s="55">
        <v>0</v>
      </c>
      <c r="L52" s="56">
        <v>0</v>
      </c>
      <c r="M52" s="50">
        <f t="shared" si="19"/>
        <v>0</v>
      </c>
      <c r="N52" s="12">
        <f>IF($M$52&gt;=FATORES!$O$37,FATORES!$Q$37,0)</f>
        <v>0</v>
      </c>
      <c r="O52" s="14">
        <f t="shared" si="20"/>
        <v>0</v>
      </c>
      <c r="P52" s="13">
        <f t="shared" si="21"/>
        <v>0</v>
      </c>
      <c r="Q52" s="15">
        <f>IF($G$8=2,P52*0.05,0)</f>
        <v>0</v>
      </c>
      <c r="R52" s="15">
        <f>IF($G$8=3,P52*0.15,0)</f>
        <v>0</v>
      </c>
      <c r="S52" s="99"/>
      <c r="T52" s="102"/>
    </row>
    <row r="53" spans="2:20" x14ac:dyDescent="0.35">
      <c r="B53" s="48" t="s">
        <v>14</v>
      </c>
      <c r="C53" s="57">
        <v>0</v>
      </c>
      <c r="D53" s="58">
        <v>0</v>
      </c>
      <c r="E53" s="51">
        <f>IFERROR(D53/C53,0)</f>
        <v>0</v>
      </c>
      <c r="F53" s="16">
        <f>IF($E$53&gt;=0,FATORES!$Q$40)</f>
        <v>5.0000000000000001E-3</v>
      </c>
      <c r="G53" s="16">
        <f>IFERROR(VLOOKUP(E53,FATORES!$O$43:$Q$44,3),0)</f>
        <v>0</v>
      </c>
      <c r="H53" s="17">
        <f t="shared" si="17"/>
        <v>0</v>
      </c>
      <c r="I53" s="65">
        <f t="shared" si="16"/>
        <v>0</v>
      </c>
      <c r="J53" s="17">
        <f t="shared" si="18"/>
        <v>0</v>
      </c>
      <c r="K53" s="57">
        <v>0</v>
      </c>
      <c r="L53" s="58">
        <v>0</v>
      </c>
      <c r="M53" s="51">
        <f t="shared" si="19"/>
        <v>0</v>
      </c>
      <c r="N53" s="16">
        <f>IF($M$53&gt;=FATORES!$O$45,FATORES!$Q$45,0)</f>
        <v>0</v>
      </c>
      <c r="O53" s="14">
        <f t="shared" si="20"/>
        <v>0</v>
      </c>
      <c r="P53" s="18">
        <f t="shared" si="21"/>
        <v>0</v>
      </c>
      <c r="Q53" s="19">
        <f>IF($H$8=2,P53*0.05,0)</f>
        <v>0</v>
      </c>
      <c r="R53" s="19">
        <f>IF($H$8=3,P53*0.15,0)</f>
        <v>0</v>
      </c>
      <c r="S53" s="100"/>
      <c r="T53" s="103"/>
    </row>
    <row r="54" spans="2:20" x14ac:dyDescent="0.35">
      <c r="B54" s="66"/>
      <c r="C54" s="67"/>
      <c r="D54" s="67"/>
      <c r="E54" s="67"/>
      <c r="F54" s="67"/>
      <c r="G54" s="67"/>
      <c r="H54" s="67"/>
      <c r="I54" s="67"/>
      <c r="J54" s="68"/>
      <c r="K54" s="69"/>
      <c r="L54" s="67"/>
      <c r="M54" s="67"/>
      <c r="N54" s="67"/>
      <c r="O54" s="67"/>
      <c r="P54" s="70">
        <f>SUM(P45:P53)</f>
        <v>596</v>
      </c>
      <c r="Q54" s="70">
        <f t="shared" ref="Q54:R54" si="22">SUM(Q45:Q53)</f>
        <v>0</v>
      </c>
      <c r="R54" s="70">
        <f t="shared" si="22"/>
        <v>0</v>
      </c>
      <c r="S54" s="71" t="str">
        <f>IF($P$7="ARIEL",IF(MIN(E45,E47,E48,E49,E50,E52,E53)&gt;=99.99%,SUM(P54:R54)*S45,""),IF(MIN(E45:E53)&gt;=99.99%,SUM(P54:R54)*S45,""))</f>
        <v/>
      </c>
      <c r="T54" s="72"/>
    </row>
  </sheetData>
  <sheetProtection algorithmName="SHA-512" hashValue="OGdhU/cROC9iBBJ+tb6PMd2YGioXPA3fvsO7QW3YdIJ7xT/oJSmuBDw7PveDT/RSbc13KxIpdhhs2qjDvmvW4A==" saltValue="Y5GdOwubJs5pYY4PGdYAmw==" spinCount="100000" sheet="1" objects="1" scenarios="1"/>
  <protectedRanges>
    <protectedRange sqref="B8:H8 C45:D53 K45:L53" name="Intervalo1"/>
  </protectedRanges>
  <mergeCells count="94">
    <mergeCell ref="I13:I14"/>
    <mergeCell ref="B12:J12"/>
    <mergeCell ref="K12:T12"/>
    <mergeCell ref="B2:T4"/>
    <mergeCell ref="B6:H6"/>
    <mergeCell ref="M6:N6"/>
    <mergeCell ref="M7:N7"/>
    <mergeCell ref="B11:T11"/>
    <mergeCell ref="B13:B14"/>
    <mergeCell ref="C13:E13"/>
    <mergeCell ref="F13:F14"/>
    <mergeCell ref="G13:G14"/>
    <mergeCell ref="H13:H14"/>
    <mergeCell ref="D14:E14"/>
    <mergeCell ref="J13:J14"/>
    <mergeCell ref="K13:M13"/>
    <mergeCell ref="S13:S14"/>
    <mergeCell ref="T13:T14"/>
    <mergeCell ref="L14:M14"/>
    <mergeCell ref="N13:N14"/>
    <mergeCell ref="O13:O14"/>
    <mergeCell ref="P13:P14"/>
    <mergeCell ref="Q13:Q14"/>
    <mergeCell ref="R13:R14"/>
    <mergeCell ref="C20:C21"/>
    <mergeCell ref="E20:E21"/>
    <mergeCell ref="K20:K21"/>
    <mergeCell ref="M20:M21"/>
    <mergeCell ref="B26:T26"/>
    <mergeCell ref="S15:S23"/>
    <mergeCell ref="T15:T23"/>
    <mergeCell ref="C18:C19"/>
    <mergeCell ref="E18:E19"/>
    <mergeCell ref="K18:K19"/>
    <mergeCell ref="M18:M19"/>
    <mergeCell ref="B27:J27"/>
    <mergeCell ref="K27:T27"/>
    <mergeCell ref="B28:B29"/>
    <mergeCell ref="C28:E28"/>
    <mergeCell ref="F28:F29"/>
    <mergeCell ref="G28:G29"/>
    <mergeCell ref="H28:H29"/>
    <mergeCell ref="I28:I29"/>
    <mergeCell ref="J28:J29"/>
    <mergeCell ref="S28:S29"/>
    <mergeCell ref="T28:T29"/>
    <mergeCell ref="D29:E29"/>
    <mergeCell ref="L29:M29"/>
    <mergeCell ref="S30:S38"/>
    <mergeCell ref="T30:T38"/>
    <mergeCell ref="K28:M28"/>
    <mergeCell ref="N28:N29"/>
    <mergeCell ref="O28:O29"/>
    <mergeCell ref="P28:P29"/>
    <mergeCell ref="Q28:Q29"/>
    <mergeCell ref="R28:R29"/>
    <mergeCell ref="C33:C34"/>
    <mergeCell ref="E33:E34"/>
    <mergeCell ref="K33:K34"/>
    <mergeCell ref="M33:M34"/>
    <mergeCell ref="C35:C36"/>
    <mergeCell ref="E35:E36"/>
    <mergeCell ref="K35:K36"/>
    <mergeCell ref="M35:M36"/>
    <mergeCell ref="B41:T41"/>
    <mergeCell ref="B42:J42"/>
    <mergeCell ref="K42:O42"/>
    <mergeCell ref="B43:B44"/>
    <mergeCell ref="C43:E43"/>
    <mergeCell ref="F43:F44"/>
    <mergeCell ref="G43:G44"/>
    <mergeCell ref="H43:H44"/>
    <mergeCell ref="I43:I44"/>
    <mergeCell ref="J43:J44"/>
    <mergeCell ref="S43:S44"/>
    <mergeCell ref="T43:T44"/>
    <mergeCell ref="D44:E44"/>
    <mergeCell ref="L44:M44"/>
    <mergeCell ref="S45:S53"/>
    <mergeCell ref="T45:T53"/>
    <mergeCell ref="K43:M43"/>
    <mergeCell ref="N43:N44"/>
    <mergeCell ref="O43:O44"/>
    <mergeCell ref="P43:P44"/>
    <mergeCell ref="Q43:Q44"/>
    <mergeCell ref="R43:R44"/>
    <mergeCell ref="C48:C49"/>
    <mergeCell ref="E48:E49"/>
    <mergeCell ref="K48:K49"/>
    <mergeCell ref="M48:M49"/>
    <mergeCell ref="C50:C51"/>
    <mergeCell ref="E50:E51"/>
    <mergeCell ref="K50:K51"/>
    <mergeCell ref="M50:M51"/>
  </mergeCells>
  <conditionalFormatting sqref="E15:E18 E20 E22:E23">
    <cfRule type="cellIs" dxfId="486" priority="22" operator="between">
      <formula>0.7</formula>
      <formula>1</formula>
    </cfRule>
    <cfRule type="cellIs" dxfId="485" priority="23" operator="greaterThanOrEqual">
      <formula>1</formula>
    </cfRule>
    <cfRule type="cellIs" dxfId="484" priority="24" operator="lessThan">
      <formula>0.7</formula>
    </cfRule>
  </conditionalFormatting>
  <conditionalFormatting sqref="E30:E33 E35 E37:E38">
    <cfRule type="cellIs" dxfId="483" priority="10" operator="between">
      <formula>0.7</formula>
      <formula>1</formula>
    </cfRule>
    <cfRule type="cellIs" dxfId="482" priority="11" operator="greaterThanOrEqual">
      <formula>1</formula>
    </cfRule>
    <cfRule type="cellIs" dxfId="481" priority="12" operator="lessThan">
      <formula>0.7</formula>
    </cfRule>
  </conditionalFormatting>
  <conditionalFormatting sqref="E45:E48 E50 E52:E53">
    <cfRule type="cellIs" dxfId="480" priority="34" operator="between">
      <formula>0.7</formula>
      <formula>1</formula>
    </cfRule>
    <cfRule type="cellIs" dxfId="479" priority="35" operator="greaterThanOrEqual">
      <formula>1</formula>
    </cfRule>
    <cfRule type="cellIs" dxfId="478" priority="36" operator="lessThan">
      <formula>0.7</formula>
    </cfRule>
  </conditionalFormatting>
  <conditionalFormatting sqref="M15:M18">
    <cfRule type="cellIs" dxfId="477" priority="16" operator="between">
      <formula>0.7</formula>
      <formula>1</formula>
    </cfRule>
    <cfRule type="cellIs" dxfId="476" priority="17" operator="greaterThanOrEqual">
      <formula>1</formula>
    </cfRule>
    <cfRule type="cellIs" dxfId="475" priority="18" operator="lessThan">
      <formula>0.7</formula>
    </cfRule>
  </conditionalFormatting>
  <conditionalFormatting sqref="M20">
    <cfRule type="cellIs" dxfId="474" priority="13" operator="between">
      <formula>0.7</formula>
      <formula>1</formula>
    </cfRule>
    <cfRule type="cellIs" dxfId="473" priority="14" operator="greaterThanOrEqual">
      <formula>1</formula>
    </cfRule>
    <cfRule type="cellIs" dxfId="472" priority="15" operator="lessThan">
      <formula>0.7</formula>
    </cfRule>
  </conditionalFormatting>
  <conditionalFormatting sqref="M22:M23">
    <cfRule type="cellIs" dxfId="471" priority="19" operator="between">
      <formula>0.7</formula>
      <formula>1</formula>
    </cfRule>
    <cfRule type="cellIs" dxfId="470" priority="20" operator="greaterThanOrEqual">
      <formula>1</formula>
    </cfRule>
    <cfRule type="cellIs" dxfId="469" priority="21" operator="lessThan">
      <formula>0.7</formula>
    </cfRule>
  </conditionalFormatting>
  <conditionalFormatting sqref="M30:M33">
    <cfRule type="cellIs" dxfId="468" priority="4" operator="between">
      <formula>0.7</formula>
      <formula>1</formula>
    </cfRule>
    <cfRule type="cellIs" dxfId="467" priority="5" operator="greaterThanOrEqual">
      <formula>1</formula>
    </cfRule>
    <cfRule type="cellIs" dxfId="466" priority="6" operator="lessThan">
      <formula>0.7</formula>
    </cfRule>
  </conditionalFormatting>
  <conditionalFormatting sqref="M35">
    <cfRule type="cellIs" dxfId="465" priority="1" operator="between">
      <formula>0.7</formula>
      <formula>1</formula>
    </cfRule>
    <cfRule type="cellIs" dxfId="464" priority="2" operator="greaterThanOrEqual">
      <formula>1</formula>
    </cfRule>
    <cfRule type="cellIs" dxfId="463" priority="3" operator="lessThan">
      <formula>0.7</formula>
    </cfRule>
  </conditionalFormatting>
  <conditionalFormatting sqref="M37:M38">
    <cfRule type="cellIs" dxfId="462" priority="7" operator="between">
      <formula>0.7</formula>
      <formula>1</formula>
    </cfRule>
    <cfRule type="cellIs" dxfId="461" priority="8" operator="greaterThanOrEqual">
      <formula>1</formula>
    </cfRule>
    <cfRule type="cellIs" dxfId="460" priority="9" operator="lessThan">
      <formula>0.7</formula>
    </cfRule>
  </conditionalFormatting>
  <conditionalFormatting sqref="M45:M48">
    <cfRule type="cellIs" dxfId="459" priority="28" operator="between">
      <formula>0.7</formula>
      <formula>1</formula>
    </cfRule>
    <cfRule type="cellIs" dxfId="458" priority="29" operator="greaterThanOrEqual">
      <formula>1</formula>
    </cfRule>
    <cfRule type="cellIs" dxfId="457" priority="30" operator="lessThan">
      <formula>0.7</formula>
    </cfRule>
  </conditionalFormatting>
  <conditionalFormatting sqref="M50">
    <cfRule type="cellIs" dxfId="456" priority="25" operator="between">
      <formula>0.7</formula>
      <formula>1</formula>
    </cfRule>
    <cfRule type="cellIs" dxfId="455" priority="26" operator="greaterThanOrEqual">
      <formula>1</formula>
    </cfRule>
    <cfRule type="cellIs" dxfId="454" priority="27" operator="lessThan">
      <formula>0.7</formula>
    </cfRule>
  </conditionalFormatting>
  <conditionalFormatting sqref="M52:M53">
    <cfRule type="cellIs" dxfId="453" priority="31" operator="between">
      <formula>0.7</formula>
      <formula>1</formula>
    </cfRule>
    <cfRule type="cellIs" dxfId="452" priority="32" operator="greaterThanOrEqual">
      <formula>1</formula>
    </cfRule>
    <cfRule type="cellIs" dxfId="451" priority="33" operator="lessThan">
      <formula>0.7</formula>
    </cfRule>
  </conditionalFormatting>
  <dataValidations count="1">
    <dataValidation type="list" allowBlank="1" showInputMessage="1" showErrorMessage="1" sqref="B8:H8" xr:uid="{B982885F-5424-488E-A848-29ECCBB39FA6}">
      <formula1>$V$6:$X$6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AC60A-9795-4B92-85CB-B2207542C90C}">
  <dimension ref="B1:X54"/>
  <sheetViews>
    <sheetView showGridLines="0" zoomScale="70" zoomScaleNormal="70" workbookViewId="0">
      <selection activeCell="P8" sqref="P8"/>
    </sheetView>
  </sheetViews>
  <sheetFormatPr defaultRowHeight="14.5" x14ac:dyDescent="0.35"/>
  <cols>
    <col min="1" max="1" width="2.1796875" customWidth="1"/>
    <col min="2" max="2" width="16.453125" customWidth="1"/>
    <col min="3" max="3" width="15" bestFit="1" customWidth="1"/>
    <col min="4" max="4" width="14.54296875" customWidth="1"/>
    <col min="5" max="5" width="13.453125" bestFit="1" customWidth="1"/>
    <col min="6" max="6" width="14" customWidth="1"/>
    <col min="7" max="7" width="18.7265625" customWidth="1"/>
    <col min="8" max="8" width="15" customWidth="1"/>
    <col min="9" max="9" width="20" customWidth="1"/>
    <col min="10" max="10" width="21.1796875" customWidth="1"/>
    <col min="11" max="12" width="16.453125" customWidth="1"/>
    <col min="13" max="13" width="9.7265625" customWidth="1"/>
    <col min="14" max="14" width="20.54296875" customWidth="1"/>
    <col min="15" max="15" width="21" customWidth="1"/>
    <col min="16" max="16" width="15.26953125" customWidth="1"/>
    <col min="17" max="17" width="13" bestFit="1" customWidth="1"/>
    <col min="18" max="18" width="10.453125" bestFit="1" customWidth="1"/>
    <col min="19" max="19" width="12.7265625" bestFit="1" customWidth="1"/>
    <col min="20" max="20" width="14.453125" customWidth="1"/>
  </cols>
  <sheetData>
    <row r="1" spans="2:24" x14ac:dyDescent="0.35">
      <c r="B1" s="59"/>
    </row>
    <row r="2" spans="2:24" x14ac:dyDescent="0.35">
      <c r="B2" s="143" t="s">
        <v>207</v>
      </c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5"/>
    </row>
    <row r="3" spans="2:24" x14ac:dyDescent="0.35">
      <c r="B3" s="146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8"/>
    </row>
    <row r="4" spans="2:24" x14ac:dyDescent="0.35">
      <c r="B4" s="149"/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1"/>
    </row>
    <row r="5" spans="2:24" x14ac:dyDescent="0.35">
      <c r="B5" s="60"/>
      <c r="T5" s="61"/>
    </row>
    <row r="6" spans="2:24" ht="14.5" customHeight="1" x14ac:dyDescent="0.35">
      <c r="B6" s="152" t="s">
        <v>208</v>
      </c>
      <c r="C6" s="153"/>
      <c r="D6" s="153"/>
      <c r="E6" s="153"/>
      <c r="F6" s="153"/>
      <c r="G6" s="153"/>
      <c r="H6" s="154"/>
      <c r="M6" s="155" t="s">
        <v>54</v>
      </c>
      <c r="N6" s="156"/>
      <c r="P6" s="74" t="s">
        <v>23</v>
      </c>
      <c r="T6" s="61"/>
      <c r="V6" s="1">
        <v>0</v>
      </c>
      <c r="W6" s="1">
        <v>2</v>
      </c>
      <c r="X6" s="1">
        <v>3</v>
      </c>
    </row>
    <row r="7" spans="2:24" ht="14.5" customHeight="1" x14ac:dyDescent="0.35">
      <c r="B7" s="62" t="s">
        <v>209</v>
      </c>
      <c r="C7" s="2" t="s">
        <v>13</v>
      </c>
      <c r="D7" s="2" t="s">
        <v>210</v>
      </c>
      <c r="E7" s="2" t="s">
        <v>16</v>
      </c>
      <c r="F7" s="2" t="s">
        <v>211</v>
      </c>
      <c r="G7" s="2" t="s">
        <v>212</v>
      </c>
      <c r="H7" s="3" t="s">
        <v>14</v>
      </c>
      <c r="M7" s="157" t="s">
        <v>38</v>
      </c>
      <c r="N7" s="158"/>
      <c r="P7" s="75" t="s">
        <v>201</v>
      </c>
      <c r="T7" s="61"/>
    </row>
    <row r="8" spans="2:24" ht="14.5" customHeight="1" x14ac:dyDescent="0.35">
      <c r="B8" s="63">
        <v>3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5">
        <v>0</v>
      </c>
      <c r="T8" s="61"/>
    </row>
    <row r="9" spans="2:24" x14ac:dyDescent="0.35">
      <c r="B9" s="84"/>
      <c r="C9" s="85"/>
      <c r="D9" s="85"/>
      <c r="E9" s="85"/>
      <c r="F9" s="85"/>
      <c r="G9" s="85"/>
      <c r="H9" s="85"/>
    </row>
    <row r="10" spans="2:24" x14ac:dyDescent="0.35">
      <c r="B10" s="84"/>
      <c r="C10" s="85"/>
      <c r="D10" s="85"/>
      <c r="E10" s="85"/>
      <c r="F10" s="85"/>
      <c r="G10" s="85"/>
      <c r="H10" s="85"/>
    </row>
    <row r="11" spans="2:24" ht="18.5" x14ac:dyDescent="0.35">
      <c r="B11" s="159" t="s">
        <v>213</v>
      </c>
      <c r="C11" s="160"/>
      <c r="D11" s="160"/>
      <c r="E11" s="160"/>
      <c r="F11" s="160"/>
      <c r="G11" s="160"/>
      <c r="H11" s="160"/>
      <c r="I11" s="160"/>
      <c r="J11" s="160"/>
      <c r="K11" s="160"/>
      <c r="L11" s="160"/>
      <c r="M11" s="160"/>
      <c r="N11" s="160"/>
      <c r="O11" s="160"/>
      <c r="P11" s="160"/>
      <c r="Q11" s="160"/>
      <c r="R11" s="160"/>
      <c r="S11" s="160"/>
      <c r="T11" s="160"/>
    </row>
    <row r="12" spans="2:24" x14ac:dyDescent="0.35">
      <c r="B12" s="129" t="s">
        <v>9</v>
      </c>
      <c r="C12" s="130"/>
      <c r="D12" s="130"/>
      <c r="E12" s="130"/>
      <c r="F12" s="130"/>
      <c r="G12" s="130"/>
      <c r="H12" s="130"/>
      <c r="I12" s="130"/>
      <c r="J12" s="131"/>
      <c r="K12" s="132" t="s">
        <v>54</v>
      </c>
      <c r="L12" s="130"/>
      <c r="M12" s="130"/>
      <c r="N12" s="130"/>
      <c r="O12" s="130"/>
      <c r="P12" s="130"/>
      <c r="Q12" s="130"/>
      <c r="R12" s="130"/>
      <c r="S12" s="130"/>
      <c r="T12" s="133"/>
    </row>
    <row r="13" spans="2:24" ht="14.5" customHeight="1" x14ac:dyDescent="0.35">
      <c r="B13" s="115" t="s">
        <v>214</v>
      </c>
      <c r="C13" s="116" t="s">
        <v>215</v>
      </c>
      <c r="D13" s="117"/>
      <c r="E13" s="104"/>
      <c r="F13" s="135" t="s">
        <v>216</v>
      </c>
      <c r="G13" s="135" t="s">
        <v>217</v>
      </c>
      <c r="H13" s="135" t="s">
        <v>218</v>
      </c>
      <c r="I13" s="135" t="s">
        <v>219</v>
      </c>
      <c r="J13" s="135" t="s">
        <v>220</v>
      </c>
      <c r="K13" s="116" t="s">
        <v>221</v>
      </c>
      <c r="L13" s="117"/>
      <c r="M13" s="104"/>
      <c r="N13" s="127" t="s">
        <v>222</v>
      </c>
      <c r="O13" s="127" t="s">
        <v>223</v>
      </c>
      <c r="P13" s="127" t="s">
        <v>224</v>
      </c>
      <c r="Q13" s="127" t="s">
        <v>225</v>
      </c>
      <c r="R13" s="127" t="s">
        <v>226</v>
      </c>
      <c r="S13" s="127" t="s">
        <v>227</v>
      </c>
      <c r="T13" s="137" t="s">
        <v>228</v>
      </c>
    </row>
    <row r="14" spans="2:24" x14ac:dyDescent="0.35">
      <c r="B14" s="134"/>
      <c r="C14" s="94" t="s">
        <v>229</v>
      </c>
      <c r="D14" s="139" t="s">
        <v>230</v>
      </c>
      <c r="E14" s="140"/>
      <c r="F14" s="136"/>
      <c r="G14" s="136"/>
      <c r="H14" s="136"/>
      <c r="I14" s="136"/>
      <c r="J14" s="136"/>
      <c r="K14" s="52" t="s">
        <v>229</v>
      </c>
      <c r="L14" s="139" t="s">
        <v>230</v>
      </c>
      <c r="M14" s="140"/>
      <c r="N14" s="128"/>
      <c r="O14" s="128"/>
      <c r="P14" s="128"/>
      <c r="Q14" s="128"/>
      <c r="R14" s="128"/>
      <c r="S14" s="128"/>
      <c r="T14" s="138"/>
    </row>
    <row r="15" spans="2:24" x14ac:dyDescent="0.35">
      <c r="B15" s="45" t="s">
        <v>2</v>
      </c>
      <c r="C15" s="76">
        <f>SUMIFS(REALIZADO[META_MOVEL],REALIZADO[PDV],'CENTRO VIX'!$M$7)</f>
        <v>6200.0001000000011</v>
      </c>
      <c r="D15" s="77">
        <f>SUMIFS(PROJEÇÃO[PROJ_MOVEL],PROJEÇÃO[PDV],'CENTRO VIX'!$M$7)</f>
        <v>5450.91</v>
      </c>
      <c r="E15" s="49">
        <f>IFERROR(D15/C15,0)</f>
        <v>0.87917901807775756</v>
      </c>
      <c r="F15" s="8">
        <f>VLOOKUP($E$15,FATORES!$I$32:$K$34,3)</f>
        <v>0.02</v>
      </c>
      <c r="G15" s="8">
        <f>IFERROR(VLOOKUP($E$15,FATORES!$I$35:$K$36,3),0)</f>
        <v>0</v>
      </c>
      <c r="H15" s="9">
        <f>D15*F15</f>
        <v>109.01819999999999</v>
      </c>
      <c r="I15" s="9">
        <f t="shared" ref="I15:I23" si="0">IF($P$7="ARIEL",
   IF(AND($E$15&gt;=69.5%, AND($E$17&gt;=69.5%, $E$18&gt;=69.5%, $E$18&gt;=69.5%, $E$20&gt;=69.5%, $E$20&gt;=69.5%, $E$22&gt;=69.5%, $E$23&gt;=69.5%)),
      D15*G15,
      0),
   IF(AND($E$15&gt;=69.5%, $E$16&gt;=69.5%, $E$17&gt;=69.5%, $E$18&gt;=69.5%, $E$18&gt;=69.5%, $E$20&gt;=69.5%, $E$20&gt;=69.5%, $E$22&gt;=69.5%, $E$23&gt;=69.5%),
      D15*G15,
      0)
)</f>
        <v>0</v>
      </c>
      <c r="J15" s="9">
        <f>H15+I15</f>
        <v>109.01819999999999</v>
      </c>
      <c r="K15" s="76">
        <f>SUMIFS(REALIZADO[META_MOVEL],REALIZADO[COORDENAÇÃO],$P$7)</f>
        <v>53549.999899999995</v>
      </c>
      <c r="L15" s="77">
        <f>SUMIFS(PROJEÇÃO[PROJ_MOVEL],PROJEÇÃO[COORDENAÇÃO],$P$7)</f>
        <v>47019.827700000002</v>
      </c>
      <c r="M15" s="49">
        <f>IFERROR(L15/K15,0)</f>
        <v>0.87805467390859893</v>
      </c>
      <c r="N15" s="8">
        <f>IF($M$15&gt;=FATORES!$I$37,FATORES!$K$37,0)</f>
        <v>0</v>
      </c>
      <c r="O15" s="14">
        <f>IF(E15&gt;=100%,
   IF($P$7="ARIEL",
      IF(AND($E$15&gt;=69.5%,$E$17&gt;=69.5%,$E$18&gt;=69.5%,$E$20&gt;=69.5%,$E$22&gt;=69.5%,$E$23&gt;=69.5%),
         D15*N15,
         0
      ),
      IF(AND($E$15&gt;=69.5%,$E$16&gt;=69.5%,$E$17&gt;=69.5%,$E$18&gt;=69.5%,$E$20&gt;=69.5%,$E$22&gt;=69.5%,$E$23&gt;=69.5%),
         D15*N15,
         0
      )
   ),
0)</f>
        <v>0</v>
      </c>
      <c r="P15" s="10">
        <f>J15+O15</f>
        <v>109.01819999999999</v>
      </c>
      <c r="Q15" s="11">
        <f>IF($B$8=2,P15*0.05,0)</f>
        <v>0</v>
      </c>
      <c r="R15" s="11">
        <f>IF($B$8=3,P15*0.15,0)</f>
        <v>16.352729999999998</v>
      </c>
      <c r="S15" s="98">
        <v>0.1</v>
      </c>
      <c r="T15" s="124">
        <f>SUM(P24:S24)</f>
        <v>318.46180479999998</v>
      </c>
    </row>
    <row r="16" spans="2:24" x14ac:dyDescent="0.35">
      <c r="B16" s="46" t="s">
        <v>13</v>
      </c>
      <c r="C16" s="76">
        <f>SUMIFS(REALIZADO[META_FIXA],REALIZADO[PDV],'CENTRO VIX'!$M$7)</f>
        <v>3800.0001000000002</v>
      </c>
      <c r="D16" s="77">
        <f>SUMIFS(PROJEÇÃO[PROJ_FIXA],PROJEÇÃO[PDV],'CENTRO VIX'!$M$7)</f>
        <v>3493.8676999999998</v>
      </c>
      <c r="E16" s="50">
        <f>IFERROR(D16/C16,0)</f>
        <v>0.91943884422529343</v>
      </c>
      <c r="F16" s="12">
        <f>VLOOKUP($E$16,FATORES!$I$40:$K$42,3)</f>
        <v>0.04</v>
      </c>
      <c r="G16" s="12">
        <f>IFERROR(VLOOKUP($E$16,FATORES!$I$43:$K$44,3),0)</f>
        <v>0</v>
      </c>
      <c r="H16" s="65">
        <f t="shared" ref="H16:H23" si="1">D16*F16</f>
        <v>139.75470799999999</v>
      </c>
      <c r="I16" s="65">
        <f t="shared" si="0"/>
        <v>0</v>
      </c>
      <c r="J16" s="65">
        <f t="shared" ref="J16:J23" si="2">H16+I16</f>
        <v>139.75470799999999</v>
      </c>
      <c r="K16" s="76">
        <f>SUMIFS(REALIZADO[META_FIXA],REALIZADO[COORDENAÇÃO],$P$7)</f>
        <v>29649.999899999988</v>
      </c>
      <c r="L16" s="77">
        <f>SUMIFS(PROJEÇÃO[PROJ_FIXA],PROJEÇÃO[COORDENAÇÃO],$P$7)</f>
        <v>28246.582000000002</v>
      </c>
      <c r="M16" s="50">
        <f t="shared" ref="M16:M17" si="3">IFERROR(L16/K16,0)</f>
        <v>0.95266718702417308</v>
      </c>
      <c r="N16" s="12">
        <f>IF($M$16&gt;=FATORES!$I$45,FATORES!$K$45,0)</f>
        <v>0</v>
      </c>
      <c r="O16" s="14">
        <f t="shared" ref="O16:O23" si="4">IF(E16&gt;=100%,
   IF($P$7="ARIEL",
      IF(AND($E$15&gt;=69.5%,$E$17&gt;=69.5%,$E$18&gt;=69.5%,$E$20&gt;=69.5%,$E$22&gt;=69.5%,$E$23&gt;=69.5%),
         D16*N16,
         0
      ),
      IF(AND($E$15&gt;=69.5%,$E$16&gt;=69.5%,$E$17&gt;=69.5%,$E$18&gt;=69.5%,$E$20&gt;=69.5%,$E$22&gt;=69.5%,$E$23&gt;=69.5%),
         D16*N16,
         0
      )
   ),
0)</f>
        <v>0</v>
      </c>
      <c r="P16" s="13">
        <f t="shared" ref="P16:P23" si="5">J16+O16</f>
        <v>139.75470799999999</v>
      </c>
      <c r="Q16" s="15">
        <f>IF($C$8=2,P16*0.05,0)</f>
        <v>0</v>
      </c>
      <c r="R16" s="15">
        <f>IF($C$8=3,P16*0.15,0)</f>
        <v>0</v>
      </c>
      <c r="S16" s="99"/>
      <c r="T16" s="125"/>
    </row>
    <row r="17" spans="2:20" x14ac:dyDescent="0.35">
      <c r="B17" s="46" t="s">
        <v>231</v>
      </c>
      <c r="C17" s="53">
        <f>SUMIFS(REALIZADO[META_SMARTPHONE],REALIZADO[PDV],'CENTRO VIX'!$M$7)</f>
        <v>69000</v>
      </c>
      <c r="D17" s="78">
        <f>SUMIFS(PROJEÇÃO[PROJ_APARELHO],PROJEÇÃO[PDV],'CENTRO VIX'!$M$7)</f>
        <v>84273.444400000008</v>
      </c>
      <c r="E17" s="50">
        <f>IFERROR(D17/C17,0)</f>
        <v>1.2213542666666668</v>
      </c>
      <c r="F17" s="12">
        <f>VLOOKUP($E$17,FATORES!$B$53:$D$54,3)</f>
        <v>5.0000000000000001E-4</v>
      </c>
      <c r="G17" s="12">
        <f>IFERROR(VLOOKUP($E$17,FATORES!$B$55:$D$55,3),0)</f>
        <v>1E-3</v>
      </c>
      <c r="H17" s="65">
        <f t="shared" si="1"/>
        <v>42.136722200000001</v>
      </c>
      <c r="I17" s="65">
        <f t="shared" si="0"/>
        <v>0</v>
      </c>
      <c r="J17" s="65">
        <f t="shared" si="2"/>
        <v>42.136722200000001</v>
      </c>
      <c r="K17" s="53">
        <f>SUMIFS(REALIZADO[META_SMARTPHONE],REALIZADO[COORDENAÇÃO],$P$7)</f>
        <v>741500.00009999995</v>
      </c>
      <c r="L17" s="78">
        <f>SUMIFS(PROJEÇÃO[PROJ_APARELHO],PROJEÇÃO[COORDENAÇÃO],$P$7)</f>
        <v>560223.55000000005</v>
      </c>
      <c r="M17" s="50">
        <f t="shared" si="3"/>
        <v>0.75552737683674631</v>
      </c>
      <c r="N17" s="12">
        <f>IF($M$17&gt;=FATORES!$B$56,FATORES!$D$56,0)</f>
        <v>0</v>
      </c>
      <c r="O17" s="14">
        <f t="shared" si="4"/>
        <v>0</v>
      </c>
      <c r="P17" s="13">
        <f t="shared" si="5"/>
        <v>42.136722200000001</v>
      </c>
      <c r="Q17" s="15">
        <f>IF($D$8=2,P17*0.05,0)</f>
        <v>0</v>
      </c>
      <c r="R17" s="15">
        <f>IF($D$8=3,P17*0.15,0)</f>
        <v>0</v>
      </c>
      <c r="S17" s="99"/>
      <c r="T17" s="125"/>
    </row>
    <row r="18" spans="2:20" x14ac:dyDescent="0.35">
      <c r="B18" s="47" t="s">
        <v>232</v>
      </c>
      <c r="C18" s="121">
        <f>SUMIFS(REALIZADO[META_ACESSORIO],REALIZADO[PDV],'CENTRO VIX'!$M$7)</f>
        <v>8900.0001000000011</v>
      </c>
      <c r="D18" s="86">
        <f>SUMIFS(PROJEÇÃO[PROJ_ELETRO_A],PROJEÇÃO[PDV],'CENTRO VIX'!$M$7)</f>
        <v>441.22219999999999</v>
      </c>
      <c r="E18" s="123">
        <f>IFERROR((D18+D19)/C18,0)</f>
        <v>0.4255430626343476</v>
      </c>
      <c r="F18" s="12">
        <f>VLOOKUP($E$18,FATORES!$B$44:$E$46,3)</f>
        <v>5.0000000000000001E-4</v>
      </c>
      <c r="G18" s="12">
        <f>IFERROR(VLOOKUP($E$18,FATORES!$B$47:$E$48,3),0)</f>
        <v>0</v>
      </c>
      <c r="H18" s="65">
        <f t="shared" si="1"/>
        <v>0.2206111</v>
      </c>
      <c r="I18" s="65">
        <f t="shared" si="0"/>
        <v>0</v>
      </c>
      <c r="J18" s="65">
        <f t="shared" si="2"/>
        <v>0.2206111</v>
      </c>
      <c r="K18" s="121">
        <f>SUMIFS(REALIZADO[META_ACESSORIO],REALIZADO[COORDENAÇÃO],$P$7)</f>
        <v>82600.000300000014</v>
      </c>
      <c r="L18" s="86">
        <f>SUMIFS(PROJEÇÃO[PROJ_ELETRO_A],PROJEÇÃO[COORDENAÇÃO],$P$7)</f>
        <v>6890.6666999999998</v>
      </c>
      <c r="M18" s="97">
        <f>IFERROR((L18+L19)/K18,0)</f>
        <v>1.2683688416403067</v>
      </c>
      <c r="N18" s="12">
        <f>IF($M$18&gt;=FATORES!$B$49,FATORES!$D$49,0)</f>
        <v>2.5000000000000001E-3</v>
      </c>
      <c r="O18" s="14">
        <f t="shared" si="4"/>
        <v>0</v>
      </c>
      <c r="P18" s="13">
        <f t="shared" si="5"/>
        <v>0.2206111</v>
      </c>
      <c r="Q18" s="15">
        <f>IF($E$8=2,P18*0.05,0)</f>
        <v>0</v>
      </c>
      <c r="R18" s="15">
        <f>IF($E$8=3,P18*0.15,0)</f>
        <v>0</v>
      </c>
      <c r="S18" s="99"/>
      <c r="T18" s="125"/>
    </row>
    <row r="19" spans="2:20" x14ac:dyDescent="0.35">
      <c r="B19" s="47" t="s">
        <v>233</v>
      </c>
      <c r="C19" s="122"/>
      <c r="D19" s="87">
        <f>SUMIFS(PROJEÇÃO[PROJ_ELETRO_B],PROJEÇÃO[PDV],'CENTRO VIX'!$M$7)</f>
        <v>3346.1111000000001</v>
      </c>
      <c r="E19" s="123"/>
      <c r="F19" s="12">
        <f>VLOOKUP($E$18,FATORES!$B$44:$E$46,4)</f>
        <v>2.5000000000000001E-4</v>
      </c>
      <c r="G19" s="12">
        <f>IFERROR(VLOOKUP($E$18,FATORES!$B$47:$E$48,4),0)</f>
        <v>0</v>
      </c>
      <c r="H19" s="65">
        <f t="shared" si="1"/>
        <v>0.83652777500000008</v>
      </c>
      <c r="I19" s="65">
        <f t="shared" si="0"/>
        <v>0</v>
      </c>
      <c r="J19" s="65">
        <f t="shared" si="2"/>
        <v>0.83652777500000008</v>
      </c>
      <c r="K19" s="122"/>
      <c r="L19" s="87">
        <f>SUMIFS(PROJEÇÃO[PROJ_ELETRO_B],PROJEÇÃO[COORDENAÇÃO],$P$7)</f>
        <v>97876.6</v>
      </c>
      <c r="M19" s="97"/>
      <c r="N19" s="12">
        <f>IF($M$18&gt;=FATORES!$B$49,FATORES!$E$49,0)</f>
        <v>1.25E-3</v>
      </c>
      <c r="O19" s="14">
        <f t="shared" si="4"/>
        <v>0</v>
      </c>
      <c r="P19" s="13">
        <f t="shared" si="5"/>
        <v>0.83652777500000008</v>
      </c>
      <c r="Q19" s="15">
        <f>IF($E$8=2,P19*0.05,0)</f>
        <v>0</v>
      </c>
      <c r="R19" s="15">
        <f>IF($E$8=3,P19*0.15,0)</f>
        <v>0</v>
      </c>
      <c r="S19" s="99"/>
      <c r="T19" s="125"/>
    </row>
    <row r="20" spans="2:20" x14ac:dyDescent="0.35">
      <c r="B20" s="46" t="s">
        <v>234</v>
      </c>
      <c r="C20" s="121">
        <f>SUMIFS(REALIZADO[META_ESSENCIAIS],REALIZADO[PDV],'CENTRO VIX'!$M$7)</f>
        <v>5000.0001000000002</v>
      </c>
      <c r="D20" s="86">
        <f>SUMIFS(PROJEÇÃO[PROJ_ESSEN_A],PROJEÇÃO[PDV],'CENTRO VIX'!$M$7)</f>
        <v>2174.4445000000001</v>
      </c>
      <c r="E20" s="123">
        <f>IFERROR((D20+D21)/C20,0)</f>
        <v>0.97575554048488911</v>
      </c>
      <c r="F20" s="12">
        <f>VLOOKUP($E$20,FATORES!$B$34:$E$36,3)</f>
        <v>1.5E-3</v>
      </c>
      <c r="G20" s="12">
        <f>IFERROR(VLOOKUP($E$20,FATORES!$B$37:$E$38,3),0)</f>
        <v>0</v>
      </c>
      <c r="H20" s="65">
        <f t="shared" si="1"/>
        <v>3.2616667500000003</v>
      </c>
      <c r="I20" s="65">
        <f t="shared" si="0"/>
        <v>0</v>
      </c>
      <c r="J20" s="65">
        <f t="shared" si="2"/>
        <v>3.2616667500000003</v>
      </c>
      <c r="K20" s="121">
        <f>SUMIFS(REALIZADO[META_ESSENCIAIS],REALIZADO[COORDENAÇÃO],$P$7)</f>
        <v>41199.999999999993</v>
      </c>
      <c r="L20" s="86">
        <f>SUMIFS(PROJEÇÃO[PROJ_ESSEN_A],PROJEÇÃO[COORDENAÇÃO],$P$7)</f>
        <v>16007.2889</v>
      </c>
      <c r="M20" s="97">
        <f>IFERROR((L20+L21)/K20,0)</f>
        <v>0.92994956553398067</v>
      </c>
      <c r="N20" s="12">
        <f>IF($M$20&gt;=FATORES!$B$39,FATORES!$D$39,0)</f>
        <v>0</v>
      </c>
      <c r="O20" s="14">
        <f t="shared" si="4"/>
        <v>0</v>
      </c>
      <c r="P20" s="13">
        <f t="shared" si="5"/>
        <v>3.2616667500000003</v>
      </c>
      <c r="Q20" s="15">
        <f>IF($F$8=2,P20*0.05,0)</f>
        <v>0</v>
      </c>
      <c r="R20" s="15">
        <f>IF($F$8=3,P20*0.15,0)</f>
        <v>0</v>
      </c>
      <c r="S20" s="99"/>
      <c r="T20" s="125"/>
    </row>
    <row r="21" spans="2:20" x14ac:dyDescent="0.35">
      <c r="B21" s="46" t="s">
        <v>235</v>
      </c>
      <c r="C21" s="122"/>
      <c r="D21" s="87">
        <f>SUMIFS(PROJEÇÃO[PROJ_ESSEN_B],PROJEÇÃO[PDV],'CENTRO VIX'!$M$7)</f>
        <v>2704.3332999999998</v>
      </c>
      <c r="E21" s="123"/>
      <c r="F21" s="12">
        <f>VLOOKUP($E$20,FATORES!$B$34:$E$36,4)</f>
        <v>7.5000000000000002E-4</v>
      </c>
      <c r="G21" s="12">
        <f>IFERROR(VLOOKUP($E$20,FATORES!$B$37:$E$38,4),0)</f>
        <v>0</v>
      </c>
      <c r="H21" s="65">
        <f t="shared" si="1"/>
        <v>2.028249975</v>
      </c>
      <c r="I21" s="65">
        <f t="shared" si="0"/>
        <v>0</v>
      </c>
      <c r="J21" s="65">
        <f t="shared" si="2"/>
        <v>2.028249975</v>
      </c>
      <c r="K21" s="122"/>
      <c r="L21" s="87">
        <f>SUMIFS(PROJEÇÃO[PROJ_ESSEN_B],PROJEÇÃO[COORDENAÇÃO],$P$7)</f>
        <v>22306.6332</v>
      </c>
      <c r="M21" s="97"/>
      <c r="N21" s="12">
        <f>IF($M$20&gt;=FATORES!$B$39,FATORES!$E$39,0)</f>
        <v>0</v>
      </c>
      <c r="O21" s="14">
        <f t="shared" si="4"/>
        <v>0</v>
      </c>
      <c r="P21" s="13">
        <f t="shared" si="5"/>
        <v>2.028249975</v>
      </c>
      <c r="Q21" s="15">
        <f>IF($F$8=2,P21*0.05,0)</f>
        <v>0</v>
      </c>
      <c r="R21" s="15">
        <f>IF($F$8=3,P21*0.15,0)</f>
        <v>0</v>
      </c>
      <c r="S21" s="99"/>
      <c r="T21" s="125"/>
    </row>
    <row r="22" spans="2:20" x14ac:dyDescent="0.35">
      <c r="B22" s="46" t="s">
        <v>212</v>
      </c>
      <c r="C22" s="57">
        <f>SUMIFS(REALIZADO[META_SEGUROS],REALIZADO[PDV],'CENTRO VIX'!$M$7)</f>
        <v>690</v>
      </c>
      <c r="D22" s="79">
        <f>SUMIFS(PROJEÇÃO[PROJ_SEGURO],PROJEÇÃO[PDV],'CENTRO VIX'!$M$7)</f>
        <v>404.48890000000006</v>
      </c>
      <c r="E22" s="83">
        <f>IFERROR(D22/C22,0)</f>
        <v>0.58621579710144933</v>
      </c>
      <c r="F22" s="83">
        <f>VLOOKUP($E$22,FATORES!$O$32:$Q$34,3)</f>
        <v>5.0000000000000001E-3</v>
      </c>
      <c r="G22" s="12">
        <f>IFERROR(VLOOKUP($E$22,FATORES!$O$35:$Q$36,3),0)</f>
        <v>0</v>
      </c>
      <c r="H22" s="65">
        <f t="shared" si="1"/>
        <v>2.0224445000000002</v>
      </c>
      <c r="I22" s="65">
        <f t="shared" si="0"/>
        <v>0</v>
      </c>
      <c r="J22" s="65">
        <f t="shared" si="2"/>
        <v>2.0224445000000002</v>
      </c>
      <c r="K22" s="57">
        <f>SUMIFS(REALIZADO[META_SEGUROS],REALIZADO[COORDENAÇÃO],$P$7)</f>
        <v>5129.9997999999996</v>
      </c>
      <c r="L22" s="79">
        <f>SUMIFS(PROJEÇÃO[PROJ_SEGURO],PROJEÇÃO[COORDENAÇÃO],$P$7)</f>
        <v>4017.2332999999999</v>
      </c>
      <c r="M22" s="50">
        <f t="shared" ref="M22:M23" si="6">IFERROR(L22/K22,0)</f>
        <v>0.78308644378504655</v>
      </c>
      <c r="N22" s="12">
        <f>IF($M$22&gt;=FATORES!$O$37,FATORES!$Q$37,0)</f>
        <v>0</v>
      </c>
      <c r="O22" s="14">
        <f t="shared" si="4"/>
        <v>0</v>
      </c>
      <c r="P22" s="13">
        <f t="shared" si="5"/>
        <v>2.0224445000000002</v>
      </c>
      <c r="Q22" s="15">
        <f>IF($G$8=2,P22*0.05,0)</f>
        <v>0</v>
      </c>
      <c r="R22" s="15">
        <f>IF($G$8=3,P22*0.15,0)</f>
        <v>0</v>
      </c>
      <c r="S22" s="99"/>
      <c r="T22" s="125"/>
    </row>
    <row r="23" spans="2:20" x14ac:dyDescent="0.35">
      <c r="B23" s="48" t="s">
        <v>14</v>
      </c>
      <c r="C23" s="76">
        <f>SUMIFS(REALIZADO[META_SVA],REALIZADO[PDV],'CENTRO VIX'!$M$7)</f>
        <v>600</v>
      </c>
      <c r="D23" s="77">
        <f>SUMIFS(PROJEÇÃO[PROJ_SVA],PROJEÇÃO[PDV],'CENTRO VIX'!$M$7)</f>
        <v>565.98890000000006</v>
      </c>
      <c r="E23" s="82">
        <f>IFERROR(D23/C23,0)</f>
        <v>0.94331483333333344</v>
      </c>
      <c r="F23" s="16">
        <f>IF($E$23&gt;=0,FATORES!$Q$40)</f>
        <v>5.0000000000000001E-3</v>
      </c>
      <c r="G23" s="16">
        <f>IFERROR(VLOOKUP($E$23,FATORES!$O$43:$Q$44,3),0)</f>
        <v>0</v>
      </c>
      <c r="H23" s="17">
        <f t="shared" si="1"/>
        <v>2.8299445000000003</v>
      </c>
      <c r="I23" s="65">
        <f t="shared" si="0"/>
        <v>0</v>
      </c>
      <c r="J23" s="17">
        <f t="shared" si="2"/>
        <v>2.8299445000000003</v>
      </c>
      <c r="K23" s="76">
        <f>SUMIFS(REALIZADO[META_SVA],REALIZADO[COORDENAÇÃO],$P$7)</f>
        <v>4540.0006000000003</v>
      </c>
      <c r="L23" s="77">
        <f>SUMIFS(PROJEÇÃO[PROJ_SVA],PROJEÇÃO[COORDENAÇÃO],$P$7)</f>
        <v>5391.4400000000005</v>
      </c>
      <c r="M23" s="51">
        <f t="shared" si="6"/>
        <v>1.1875416932764282</v>
      </c>
      <c r="N23" s="16">
        <f>IF($M$23&gt;=FATORES!$O$45,FATORES!$Q$45,0)</f>
        <v>5.0000000000000001E-3</v>
      </c>
      <c r="O23" s="14">
        <f t="shared" si="4"/>
        <v>0</v>
      </c>
      <c r="P23" s="18">
        <f t="shared" si="5"/>
        <v>2.8299445000000003</v>
      </c>
      <c r="Q23" s="19">
        <f>IF($H$8=2,P23*0.05,0)</f>
        <v>0</v>
      </c>
      <c r="R23" s="19">
        <f>IF($H$8=3,P23*0.15,0)</f>
        <v>0</v>
      </c>
      <c r="S23" s="100"/>
      <c r="T23" s="126"/>
    </row>
    <row r="24" spans="2:20" x14ac:dyDescent="0.35">
      <c r="B24" s="66"/>
      <c r="C24" s="67"/>
      <c r="D24" s="67"/>
      <c r="E24" s="67"/>
      <c r="F24" s="67"/>
      <c r="G24" s="67"/>
      <c r="H24" s="67"/>
      <c r="I24" s="67"/>
      <c r="J24" s="68"/>
      <c r="K24" s="69"/>
      <c r="L24" s="67"/>
      <c r="M24" s="67"/>
      <c r="N24" s="67"/>
      <c r="O24" s="67"/>
      <c r="P24" s="70">
        <f>SUM(P15:P23)</f>
        <v>302.10907479999997</v>
      </c>
      <c r="Q24" s="70">
        <f t="shared" ref="Q24:R24" si="7">SUM(Q15:Q23)</f>
        <v>0</v>
      </c>
      <c r="R24" s="70">
        <f t="shared" si="7"/>
        <v>16.352729999999998</v>
      </c>
      <c r="S24" s="71" t="str">
        <f>IF($P$7="ARIEL",IF(MIN(E15,E17,E18,E19,E20,E22,E23)&gt;=100%,SUM(P24:R24)*S15,""),IF(MIN(E15:E23)&gt;=100%,SUM(P24:R24)*S15,""))</f>
        <v/>
      </c>
      <c r="T24" s="72"/>
    </row>
    <row r="25" spans="2:20" ht="16.149999999999999" customHeight="1" x14ac:dyDescent="0.35">
      <c r="B25" s="80"/>
      <c r="C25" s="6"/>
      <c r="D25" s="6"/>
      <c r="E25" s="6"/>
      <c r="F25" s="6"/>
      <c r="G25" s="6"/>
      <c r="H25" s="6"/>
      <c r="T25" s="61"/>
    </row>
    <row r="26" spans="2:20" ht="18.5" x14ac:dyDescent="0.35">
      <c r="B26" s="141" t="s">
        <v>236</v>
      </c>
      <c r="C26" s="142"/>
      <c r="D26" s="142"/>
      <c r="E26" s="142"/>
      <c r="F26" s="142"/>
      <c r="G26" s="142"/>
      <c r="H26" s="142"/>
      <c r="I26" s="142"/>
      <c r="J26" s="142"/>
      <c r="K26" s="142"/>
      <c r="L26" s="142"/>
      <c r="M26" s="142"/>
      <c r="N26" s="142"/>
      <c r="O26" s="142"/>
      <c r="P26" s="142"/>
      <c r="Q26" s="142"/>
      <c r="R26" s="142"/>
      <c r="S26" s="142"/>
      <c r="T26" s="142"/>
    </row>
    <row r="27" spans="2:20" x14ac:dyDescent="0.35">
      <c r="B27" s="129" t="s">
        <v>9</v>
      </c>
      <c r="C27" s="130"/>
      <c r="D27" s="130"/>
      <c r="E27" s="130"/>
      <c r="F27" s="130"/>
      <c r="G27" s="130"/>
      <c r="H27" s="130"/>
      <c r="I27" s="130"/>
      <c r="J27" s="131"/>
      <c r="K27" s="132" t="s">
        <v>54</v>
      </c>
      <c r="L27" s="130"/>
      <c r="M27" s="130"/>
      <c r="N27" s="130"/>
      <c r="O27" s="130"/>
      <c r="P27" s="130"/>
      <c r="Q27" s="130"/>
      <c r="R27" s="130"/>
      <c r="S27" s="130"/>
      <c r="T27" s="133"/>
    </row>
    <row r="28" spans="2:20" ht="14.5" customHeight="1" x14ac:dyDescent="0.35">
      <c r="B28" s="115" t="s">
        <v>214</v>
      </c>
      <c r="C28" s="116" t="s">
        <v>237</v>
      </c>
      <c r="D28" s="117"/>
      <c r="E28" s="104"/>
      <c r="F28" s="135" t="s">
        <v>216</v>
      </c>
      <c r="G28" s="135" t="s">
        <v>217</v>
      </c>
      <c r="H28" s="135" t="s">
        <v>218</v>
      </c>
      <c r="I28" s="135" t="s">
        <v>219</v>
      </c>
      <c r="J28" s="135" t="s">
        <v>220</v>
      </c>
      <c r="K28" s="116" t="s">
        <v>238</v>
      </c>
      <c r="L28" s="117"/>
      <c r="M28" s="104"/>
      <c r="N28" s="127" t="s">
        <v>222</v>
      </c>
      <c r="O28" s="127" t="s">
        <v>223</v>
      </c>
      <c r="P28" s="127" t="s">
        <v>224</v>
      </c>
      <c r="Q28" s="127" t="s">
        <v>225</v>
      </c>
      <c r="R28" s="127" t="s">
        <v>226</v>
      </c>
      <c r="S28" s="127" t="s">
        <v>227</v>
      </c>
      <c r="T28" s="137" t="s">
        <v>228</v>
      </c>
    </row>
    <row r="29" spans="2:20" ht="14.5" customHeight="1" x14ac:dyDescent="0.35">
      <c r="B29" s="134"/>
      <c r="C29" s="94" t="s">
        <v>229</v>
      </c>
      <c r="D29" s="139" t="s">
        <v>230</v>
      </c>
      <c r="E29" s="140"/>
      <c r="F29" s="136"/>
      <c r="G29" s="136"/>
      <c r="H29" s="136"/>
      <c r="I29" s="136"/>
      <c r="J29" s="136"/>
      <c r="K29" s="52" t="s">
        <v>229</v>
      </c>
      <c r="L29" s="139" t="s">
        <v>230</v>
      </c>
      <c r="M29" s="140"/>
      <c r="N29" s="128"/>
      <c r="O29" s="128"/>
      <c r="P29" s="128"/>
      <c r="Q29" s="128"/>
      <c r="R29" s="128"/>
      <c r="S29" s="128"/>
      <c r="T29" s="138"/>
    </row>
    <row r="30" spans="2:20" x14ac:dyDescent="0.35">
      <c r="B30" s="45" t="s">
        <v>2</v>
      </c>
      <c r="C30" s="76">
        <f>SUMIFS(REALIZADO[META_MOVEL],REALIZADO[PDV],'CENTRO VIX'!$M$7)</f>
        <v>6200.0001000000011</v>
      </c>
      <c r="D30" s="77">
        <f>SUMIFS(REALIZADO[AT_MOVEL],REALIZADO[PDV],'CENTRO VIX'!$M$7)</f>
        <v>527</v>
      </c>
      <c r="E30" s="49">
        <f>IFERROR(D30/C30,0)</f>
        <v>8.4999998629032264E-2</v>
      </c>
      <c r="F30" s="8">
        <f>VLOOKUP($E$30,FATORES!$I$32:$K$34,3)</f>
        <v>5.0000000000000001E-3</v>
      </c>
      <c r="G30" s="8">
        <f>IFERROR(VLOOKUP($E$30,FATORES!$I$35:$K$36,3),0)</f>
        <v>0</v>
      </c>
      <c r="H30" s="9">
        <f>D30*F30</f>
        <v>2.6350000000000002</v>
      </c>
      <c r="I30" s="9">
        <f t="shared" ref="I30:I38" si="8">IF($P$7="ARIEL",
   IF(AND($E$30&gt;=69.5%, AND($E$32&gt;=69.5%, $E$33&gt;=69.5%, $E$33&gt;=69.5%, $E$35&gt;=69.5%, $E$35&gt;=69.5%, $E$37&gt;=69.5%, $E$38&gt;=69.5%)),
      D30*G30,
      0),
   IF(AND($E$30&gt;=69.5%, $E$31&gt;=69.5%, $E$32&gt;=69.5%, $E$33&gt;=69.5%, $E$33&gt;=69.5%, $E$35&gt;=69.5%, $E$35&gt;=69.5%, $E$37&gt;=69.5%, $E$38&gt;=69.5%),
      D30*G30,
      0)
)</f>
        <v>0</v>
      </c>
      <c r="J30" s="9">
        <f>H30+I30</f>
        <v>2.6350000000000002</v>
      </c>
      <c r="K30" s="76">
        <f>SUMIFS(REALIZADO[META_MOVEL],REALIZADO[COORDENAÇÃO],$P$7)</f>
        <v>53549.999899999995</v>
      </c>
      <c r="L30" s="77">
        <f>SUMIFS(REALIZADO[AT_MOVEL],REALIZADO[COORDENAÇÃO],$P$7)</f>
        <v>4789.97</v>
      </c>
      <c r="M30" s="49">
        <f>IFERROR(L30/K30,0)</f>
        <v>8.9448552921472566E-2</v>
      </c>
      <c r="N30" s="8">
        <f>IF($M$30&gt;=FATORES!$I$37,FATORES!$K$37,0)</f>
        <v>0</v>
      </c>
      <c r="O30" s="14">
        <f>IF(E30&gt;=100%,
IF($P$7="ARIEL",
IF(AND($E$30&gt;=69.5%,$E$32&gt;=69.5%,$E$33&gt;=69.5%,$E$35&gt;=69.5%,$E$37&gt;=69.5%,$E$38&gt;=69.5%),
D30*N30,
0),
IF(AND($E$30&gt;=69.5%,$E$31&gt;=69.5%,$E$32&gt;=69.5%,$E$33&gt;=69.5%,$E$35&gt;=69.5%,$E$37&gt;=69.5%,$E$38&gt;=69.5%),
D30*N30,
0)
),0)</f>
        <v>0</v>
      </c>
      <c r="P30" s="10">
        <f>J30+O30</f>
        <v>2.6350000000000002</v>
      </c>
      <c r="Q30" s="11">
        <f>IF($B$8=2,P30*0.05,0)</f>
        <v>0</v>
      </c>
      <c r="R30" s="11">
        <f>IF($B$8=3,P30*0.15,0)</f>
        <v>0.39525000000000005</v>
      </c>
      <c r="S30" s="98">
        <v>0.1</v>
      </c>
      <c r="T30" s="124">
        <f>SUM(P39:S39)</f>
        <v>4.9579000000000004</v>
      </c>
    </row>
    <row r="31" spans="2:20" x14ac:dyDescent="0.35">
      <c r="B31" s="46" t="s">
        <v>13</v>
      </c>
      <c r="C31" s="76">
        <f>SUMIFS(REALIZADO[META_FIXA],REALIZADO[PDV],'CENTRO VIX'!$M$7)</f>
        <v>3800.0001000000002</v>
      </c>
      <c r="D31" s="77">
        <f>SUMIFS(REALIZADO[AT_FIXA],REALIZADO[PDV],'CENTRO VIX'!$M$7)</f>
        <v>85</v>
      </c>
      <c r="E31" s="50">
        <f>IFERROR(D31/C31,0)</f>
        <v>2.2368420463988934E-2</v>
      </c>
      <c r="F31" s="12">
        <f>VLOOKUP($E$31,FATORES!$I$40:$K$42,3)</f>
        <v>5.0000000000000001E-3</v>
      </c>
      <c r="G31" s="12">
        <f>IFERROR(VLOOKUP($E$31,FATORES!$I$43:$K$44,3),0)</f>
        <v>0</v>
      </c>
      <c r="H31" s="65">
        <f t="shared" ref="H31:H38" si="9">D31*F31</f>
        <v>0.42499999999999999</v>
      </c>
      <c r="I31" s="65">
        <f t="shared" si="8"/>
        <v>0</v>
      </c>
      <c r="J31" s="65">
        <f t="shared" ref="J31:J38" si="10">H31+I31</f>
        <v>0.42499999999999999</v>
      </c>
      <c r="K31" s="76">
        <f>SUMIFS(REALIZADO[META_FIXA],REALIZADO[COORDENAÇÃO],$P$7)</f>
        <v>29649.999899999988</v>
      </c>
      <c r="L31" s="77">
        <f>SUMIFS(REALIZADO[AT_FIXA],REALIZADO[COORDENAÇÃO],$P$7)</f>
        <v>3600.01</v>
      </c>
      <c r="M31" s="50">
        <f t="shared" ref="M31:M32" si="11">IFERROR(L31/K31,0)</f>
        <v>0.12141686381590854</v>
      </c>
      <c r="N31" s="12">
        <f>IF($M$31&gt;=FATORES!$I$45,FATORES!$K$45,0)</f>
        <v>0</v>
      </c>
      <c r="O31" s="14">
        <f t="shared" ref="O31:O38" si="12">IF(E31&gt;=100%,
IF($P$7="ARIEL",
IF(AND($E$30&gt;=69.5%,$E$32&gt;=69.5%,$E$33&gt;=69.5%,$E$35&gt;=69.5%,$E$37&gt;=69.5%,$E$38&gt;=69.5%),
D31*N31,
0),
IF(AND($E$30&gt;=69.5%,$E$31&gt;=69.5%,$E$32&gt;=69.5%,$E$33&gt;=69.5%,$E$35&gt;=69.5%,$E$37&gt;=69.5%,$E$38&gt;=69.5%),
D31*N31,
0)
),0)</f>
        <v>0</v>
      </c>
      <c r="P31" s="13">
        <f t="shared" ref="P31:P38" si="13">J31+O31</f>
        <v>0.42499999999999999</v>
      </c>
      <c r="Q31" s="15">
        <f>IF($C$8=2,P31*0.05,0)</f>
        <v>0</v>
      </c>
      <c r="R31" s="15">
        <f>IF($C$8=3,P31*0.15,0)</f>
        <v>0</v>
      </c>
      <c r="S31" s="99"/>
      <c r="T31" s="125"/>
    </row>
    <row r="32" spans="2:20" x14ac:dyDescent="0.35">
      <c r="B32" s="46" t="s">
        <v>231</v>
      </c>
      <c r="C32" s="53">
        <f>SUMIFS(REALIZADO[META_SMARTPHONE],REALIZADO[PDV],'CENTRO VIX'!$M$7)</f>
        <v>69000</v>
      </c>
      <c r="D32" s="78">
        <f>SUMIFS(REALIZADO[AT_SMARTPHONE],REALIZADO[PDV],'CENTRO VIX'!$M$7)</f>
        <v>5227</v>
      </c>
      <c r="E32" s="50">
        <f>IFERROR(D32/C32,0)</f>
        <v>7.5753623188405797E-2</v>
      </c>
      <c r="F32" s="12">
        <f>VLOOKUP($E$32,FATORES!$B$53:$D$54,3)</f>
        <v>2.0000000000000001E-4</v>
      </c>
      <c r="G32" s="12">
        <f>IFERROR(VLOOKUP($E$32,FATORES!$B$55:$D$55,3),0)</f>
        <v>0</v>
      </c>
      <c r="H32" s="65">
        <f t="shared" si="9"/>
        <v>1.0454000000000001</v>
      </c>
      <c r="I32" s="65">
        <f t="shared" si="8"/>
        <v>0</v>
      </c>
      <c r="J32" s="65">
        <f t="shared" si="10"/>
        <v>1.0454000000000001</v>
      </c>
      <c r="K32" s="53">
        <f>SUMIFS(REALIZADO[META_SMARTPHONE],REALIZADO[COORDENAÇÃO],$P$7)</f>
        <v>741500.00009999995</v>
      </c>
      <c r="L32" s="78">
        <f>SUMIFS(REALIZADO[AT_SMARTPHONE],REALIZADO[COORDENAÇÃO],$P$7)</f>
        <v>63660</v>
      </c>
      <c r="M32" s="50">
        <f t="shared" si="11"/>
        <v>8.585300066273055E-2</v>
      </c>
      <c r="N32" s="12">
        <f>IF($M$32&gt;=FATORES!$B$56,FATORES!$D$56,0)</f>
        <v>0</v>
      </c>
      <c r="O32" s="14">
        <f t="shared" si="12"/>
        <v>0</v>
      </c>
      <c r="P32" s="13">
        <f t="shared" si="13"/>
        <v>1.0454000000000001</v>
      </c>
      <c r="Q32" s="15">
        <f>IF($D$8=2,P32*0.05,0)</f>
        <v>0</v>
      </c>
      <c r="R32" s="15">
        <f>IF($D$8=3,P32*0.15,0)</f>
        <v>0</v>
      </c>
      <c r="S32" s="99"/>
      <c r="T32" s="125"/>
    </row>
    <row r="33" spans="2:20" x14ac:dyDescent="0.35">
      <c r="B33" s="47" t="s">
        <v>232</v>
      </c>
      <c r="C33" s="121">
        <f>SUMIFS(REALIZADO[META_ACESSORIO],REALIZADO[PDV],'CENTRO VIX'!$M$7)</f>
        <v>8900.0001000000011</v>
      </c>
      <c r="D33" s="86">
        <f>SUMIFS(REALIZADO[AT_ACESSORIOS_A],REALIZADO[PDV],'CENTRO VIX'!$M$7)</f>
        <v>209</v>
      </c>
      <c r="E33" s="123">
        <f>IFERROR((D33+D34)/C33,0)</f>
        <v>0.11539325713041283</v>
      </c>
      <c r="F33" s="12">
        <f>VLOOKUP($E$33,FATORES!$B$44:$E$46,3)</f>
        <v>5.0000000000000001E-4</v>
      </c>
      <c r="G33" s="12">
        <f>IFERROR(VLOOKUP($E$33,FATORES!$B$47:$E$48,3),0)</f>
        <v>0</v>
      </c>
      <c r="H33" s="65">
        <f t="shared" si="9"/>
        <v>0.1045</v>
      </c>
      <c r="I33" s="65">
        <f t="shared" si="8"/>
        <v>0</v>
      </c>
      <c r="J33" s="65">
        <f t="shared" si="10"/>
        <v>0.1045</v>
      </c>
      <c r="K33" s="121">
        <f>SUMIFS(REALIZADO[META_ACESSORIO],REALIZADO[COORDENAÇÃO],$P$7)</f>
        <v>82600.000300000014</v>
      </c>
      <c r="L33" s="86">
        <f>SUMIFS(REALIZADO[AT_ACESSORIOS_A],REALIZADO[COORDENAÇÃO],$P$7)</f>
        <v>209</v>
      </c>
      <c r="M33" s="97">
        <f>IFERROR((L33+L34)/K33,0)</f>
        <v>0.19131961189593358</v>
      </c>
      <c r="N33" s="12">
        <f>IF($M$33&gt;=FATORES!$B$49,FATORES!$D$49,0)</f>
        <v>0</v>
      </c>
      <c r="O33" s="14">
        <f t="shared" si="12"/>
        <v>0</v>
      </c>
      <c r="P33" s="13">
        <f t="shared" si="13"/>
        <v>0.1045</v>
      </c>
      <c r="Q33" s="15">
        <f>IF($E$8=2,P33*0.05,0)</f>
        <v>0</v>
      </c>
      <c r="R33" s="15">
        <f>IF($E$8=3,P33*0.15,0)</f>
        <v>0</v>
      </c>
      <c r="S33" s="99"/>
      <c r="T33" s="125"/>
    </row>
    <row r="34" spans="2:20" x14ac:dyDescent="0.35">
      <c r="B34" s="47" t="s">
        <v>233</v>
      </c>
      <c r="C34" s="122"/>
      <c r="D34" s="87">
        <f>SUMIFS(REALIZADO[AT_ACESSORIOS_B],REALIZADO[PDV],'CENTRO VIX'!$M$7)</f>
        <v>818</v>
      </c>
      <c r="E34" s="123"/>
      <c r="F34" s="12">
        <f>VLOOKUP($E$33,FATORES!$B$44:$E$46,4)</f>
        <v>2.5000000000000001E-4</v>
      </c>
      <c r="G34" s="12">
        <f>IFERROR(VLOOKUP($E$33,FATORES!$B$47:$E$48,4),0)</f>
        <v>0</v>
      </c>
      <c r="H34" s="65">
        <f t="shared" si="9"/>
        <v>0.20450000000000002</v>
      </c>
      <c r="I34" s="65">
        <f t="shared" si="8"/>
        <v>0</v>
      </c>
      <c r="J34" s="65">
        <f t="shared" si="10"/>
        <v>0.20450000000000002</v>
      </c>
      <c r="K34" s="122"/>
      <c r="L34" s="87">
        <f>SUMIFS(REALIZADO[AT_ACESSORIOS_B],REALIZADO[COORDENAÇÃO],$P$7)</f>
        <v>15594</v>
      </c>
      <c r="M34" s="97"/>
      <c r="N34" s="12">
        <f>IF($M$33&gt;=FATORES!$B$49,FATORES!$E$49,0)</f>
        <v>0</v>
      </c>
      <c r="O34" s="14">
        <f t="shared" si="12"/>
        <v>0</v>
      </c>
      <c r="P34" s="13">
        <f t="shared" si="13"/>
        <v>0.20450000000000002</v>
      </c>
      <c r="Q34" s="15">
        <f>IF($E$8=2,P34*0.05,0)</f>
        <v>0</v>
      </c>
      <c r="R34" s="15">
        <f>IF($E$8=3,P34*0.15,0)</f>
        <v>0</v>
      </c>
      <c r="S34" s="99"/>
      <c r="T34" s="125"/>
    </row>
    <row r="35" spans="2:20" x14ac:dyDescent="0.35">
      <c r="B35" s="46" t="s">
        <v>234</v>
      </c>
      <c r="C35" s="121">
        <f>SUMIFS(REALIZADO[META_ESSENCIAIS],REALIZADO[PDV],'CENTRO VIX'!$M$7)</f>
        <v>5000.0001000000002</v>
      </c>
      <c r="D35" s="86">
        <f>SUMIFS(REALIZADO[AT_ESSENCIAIS_A],REALIZADO[PDV],'CENTRO VIX'!$M$7)</f>
        <v>257</v>
      </c>
      <c r="E35" s="123">
        <f>IFERROR((D35+D36)/C35,0)</f>
        <v>6.7199998656000029E-2</v>
      </c>
      <c r="F35" s="12">
        <f>VLOOKUP($E$35,FATORES!$B$34:$E$36,3)</f>
        <v>5.0000000000000001E-4</v>
      </c>
      <c r="G35" s="12">
        <f>IFERROR(VLOOKUP($E$35,FATORES!$B$37:$E$38,3),0)</f>
        <v>0</v>
      </c>
      <c r="H35" s="65">
        <f t="shared" si="9"/>
        <v>0.1285</v>
      </c>
      <c r="I35" s="65">
        <f t="shared" si="8"/>
        <v>0</v>
      </c>
      <c r="J35" s="65">
        <f t="shared" si="10"/>
        <v>0.1285</v>
      </c>
      <c r="K35" s="121">
        <f>SUMIFS(REALIZADO[META_ESSENCIAIS],REALIZADO[COORDENAÇÃO],$P$7)</f>
        <v>41199.999999999993</v>
      </c>
      <c r="L35" s="86">
        <f>SUMIFS(REALIZADO[AT_ESSENCIAIS_A],REALIZADO[COORDENAÇÃO],$P$7)</f>
        <v>1616.6499999999999</v>
      </c>
      <c r="M35" s="97">
        <f>IFERROR((L35+L36)/K35,0)</f>
        <v>0.10509466019417477</v>
      </c>
      <c r="N35" s="12">
        <f>IF($M$35&gt;=FATORES!$B$39,FATORES!$D$39,0)</f>
        <v>0</v>
      </c>
      <c r="O35" s="14">
        <f t="shared" si="12"/>
        <v>0</v>
      </c>
      <c r="P35" s="13">
        <f t="shared" si="13"/>
        <v>0.1285</v>
      </c>
      <c r="Q35" s="15">
        <f>IF($F$8=2,P35*0.05,0)</f>
        <v>0</v>
      </c>
      <c r="R35" s="15">
        <f>IF($F$8=3,P35*0.15,0)</f>
        <v>0</v>
      </c>
      <c r="S35" s="99"/>
      <c r="T35" s="125"/>
    </row>
    <row r="36" spans="2:20" x14ac:dyDescent="0.35">
      <c r="B36" s="46" t="s">
        <v>235</v>
      </c>
      <c r="C36" s="122"/>
      <c r="D36" s="87">
        <f>SUMIFS(REALIZADO[AT_ESSENCIAIS_B],REALIZADO[PDV],'CENTRO VIX'!$M$7)</f>
        <v>79</v>
      </c>
      <c r="E36" s="123"/>
      <c r="F36" s="12">
        <f>VLOOKUP($E$35,FATORES!$B$34:$E$36,4)</f>
        <v>2.5000000000000001E-4</v>
      </c>
      <c r="G36" s="12">
        <f>IFERROR(VLOOKUP($E$35,FATORES!$B$37:$E$38,4),0)</f>
        <v>0</v>
      </c>
      <c r="H36" s="65">
        <f t="shared" si="9"/>
        <v>1.975E-2</v>
      </c>
      <c r="I36" s="65">
        <f t="shared" si="8"/>
        <v>0</v>
      </c>
      <c r="J36" s="65">
        <f t="shared" si="10"/>
        <v>1.975E-2</v>
      </c>
      <c r="K36" s="122"/>
      <c r="L36" s="87">
        <f>SUMIFS(REALIZADO[AT_ESSENCIAIS_B],REALIZADO[COORDENAÇÃO],$P$7)</f>
        <v>2713.25</v>
      </c>
      <c r="M36" s="97"/>
      <c r="N36" s="12">
        <f>IF($M$35&gt;=FATORES!$B$39,FATORES!$E$39,0)</f>
        <v>0</v>
      </c>
      <c r="O36" s="14">
        <f t="shared" si="12"/>
        <v>0</v>
      </c>
      <c r="P36" s="13">
        <f t="shared" si="13"/>
        <v>1.975E-2</v>
      </c>
      <c r="Q36" s="15">
        <f>IF($F$8=2,P36*0.05,0)</f>
        <v>0</v>
      </c>
      <c r="R36" s="15">
        <f>IF($F$8=3,P36*0.15,0)</f>
        <v>0</v>
      </c>
      <c r="S36" s="99"/>
      <c r="T36" s="125"/>
    </row>
    <row r="37" spans="2:20" x14ac:dyDescent="0.35">
      <c r="B37" s="46" t="s">
        <v>212</v>
      </c>
      <c r="C37" s="57">
        <f>SUMIFS(REALIZADO[META_SEGUROS],REALIZADO[PDV],'CENTRO VIX'!$M$7)</f>
        <v>690</v>
      </c>
      <c r="D37" s="79">
        <f>SUMIFS(REALIZADO[AT_SEGUROS],REALIZADO[PDV],'CENTRO VIX'!$M$7)</f>
        <v>0</v>
      </c>
      <c r="E37" s="83">
        <f>IFERROR(D37/C37,0)</f>
        <v>0</v>
      </c>
      <c r="F37" s="83">
        <f>VLOOKUP($E$37,FATORES!$O$32:$Q$34,3)</f>
        <v>5.0000000000000001E-3</v>
      </c>
      <c r="G37" s="12">
        <f>IFERROR(VLOOKUP($E$37,FATORES!$O$35:$Q$36,3),0)</f>
        <v>0</v>
      </c>
      <c r="H37" s="65">
        <f t="shared" si="9"/>
        <v>0</v>
      </c>
      <c r="I37" s="65">
        <f t="shared" si="8"/>
        <v>0</v>
      </c>
      <c r="J37" s="65">
        <f t="shared" si="10"/>
        <v>0</v>
      </c>
      <c r="K37" s="57">
        <f>SUMIFS(REALIZADO[META_SEGUROS],REALIZADO[COORDENAÇÃO],$P$7)</f>
        <v>5129.9997999999996</v>
      </c>
      <c r="L37" s="79">
        <f>SUMIFS(REALIZADO[AT_SEGUROS],REALIZADO[COORDENAÇÃO],$P$7)</f>
        <v>328.9</v>
      </c>
      <c r="M37" s="50">
        <f t="shared" ref="M37:M38" si="14">IFERROR(L37/K37,0)</f>
        <v>6.411306292838452E-2</v>
      </c>
      <c r="N37" s="12">
        <f>IF($M$37&gt;=FATORES!$O$37,FATORES!$Q$37,0)</f>
        <v>0</v>
      </c>
      <c r="O37" s="14">
        <f t="shared" si="12"/>
        <v>0</v>
      </c>
      <c r="P37" s="13">
        <f t="shared" si="13"/>
        <v>0</v>
      </c>
      <c r="Q37" s="15">
        <f>IF($G$8=2,P37*0.05,0)</f>
        <v>0</v>
      </c>
      <c r="R37" s="15">
        <f>IF($G$8=3,P37*0.15,0)</f>
        <v>0</v>
      </c>
      <c r="S37" s="99"/>
      <c r="T37" s="125"/>
    </row>
    <row r="38" spans="2:20" x14ac:dyDescent="0.35">
      <c r="B38" s="48" t="s">
        <v>14</v>
      </c>
      <c r="C38" s="76">
        <f>SUMIFS(REALIZADO[META_SVA],REALIZADO[PDV],'CENTRO VIX'!$M$7)</f>
        <v>600</v>
      </c>
      <c r="D38" s="77">
        <f>SUMIFS(REALIZADO[AT_SVA],REALIZADO[PDV],'CENTRO VIX'!$M$7)</f>
        <v>0</v>
      </c>
      <c r="E38" s="82">
        <f>IFERROR(D38/C38,0)</f>
        <v>0</v>
      </c>
      <c r="F38" s="16">
        <f>IF($E$38&gt;=0,FATORES!$Q$40)</f>
        <v>5.0000000000000001E-3</v>
      </c>
      <c r="G38" s="16">
        <f>IFERROR(VLOOKUP($E$38,FATORES!$O$43:$Q$44,3),0)</f>
        <v>0</v>
      </c>
      <c r="H38" s="17">
        <f t="shared" si="9"/>
        <v>0</v>
      </c>
      <c r="I38" s="65">
        <f t="shared" si="8"/>
        <v>0</v>
      </c>
      <c r="J38" s="17">
        <f t="shared" si="10"/>
        <v>0</v>
      </c>
      <c r="K38" s="76">
        <f>SUMIFS(REALIZADO[META_SVA],REALIZADO[COORDENAÇÃO],$P$7)</f>
        <v>4540.0006000000003</v>
      </c>
      <c r="L38" s="77">
        <f>SUMIFS(REALIZADO[AT_SVA],REALIZADO[COORDENAÇÃO],$P$7)</f>
        <v>882.62999999999988</v>
      </c>
      <c r="M38" s="51">
        <f t="shared" si="14"/>
        <v>0.19441186857992923</v>
      </c>
      <c r="N38" s="16">
        <f>IF($M$38&gt;=FATORES!$O$45,FATORES!$Q$45,0)</f>
        <v>0</v>
      </c>
      <c r="O38" s="14">
        <f t="shared" si="12"/>
        <v>0</v>
      </c>
      <c r="P38" s="18">
        <f t="shared" si="13"/>
        <v>0</v>
      </c>
      <c r="Q38" s="19">
        <f>IF($H$8=2,P38*0.05,0)</f>
        <v>0</v>
      </c>
      <c r="R38" s="19">
        <f>IF($H$8=3,P38*0.15,0)</f>
        <v>0</v>
      </c>
      <c r="S38" s="100"/>
      <c r="T38" s="126"/>
    </row>
    <row r="39" spans="2:20" x14ac:dyDescent="0.35">
      <c r="B39" s="66"/>
      <c r="C39" s="67"/>
      <c r="D39" s="67"/>
      <c r="E39" s="67"/>
      <c r="F39" s="67"/>
      <c r="G39" s="67"/>
      <c r="H39" s="67"/>
      <c r="I39" s="67"/>
      <c r="J39" s="68"/>
      <c r="K39" s="69"/>
      <c r="L39" s="67"/>
      <c r="M39" s="67"/>
      <c r="N39" s="67"/>
      <c r="O39" s="67"/>
      <c r="P39" s="70">
        <f>SUM(P30:P38)</f>
        <v>4.5626500000000005</v>
      </c>
      <c r="Q39" s="70">
        <f t="shared" ref="Q39:R39" si="15">SUM(Q30:Q38)</f>
        <v>0</v>
      </c>
      <c r="R39" s="70">
        <f t="shared" si="15"/>
        <v>0.39525000000000005</v>
      </c>
      <c r="S39" s="71" t="str">
        <f>IF($P$7="ARIEL",IF(MIN(E30,E32,E33,E34,E35,E37,E38)&gt;=100%,SUM(P39:R39)*S30,""),IF(MIN(E30:E38)&gt;=100%,SUM(P39:R39)*S30,""))</f>
        <v/>
      </c>
      <c r="T39" s="72"/>
    </row>
    <row r="41" spans="2:20" ht="18.5" x14ac:dyDescent="0.35">
      <c r="B41" s="107" t="s">
        <v>239</v>
      </c>
      <c r="C41" s="108"/>
      <c r="D41" s="108"/>
      <c r="E41" s="108"/>
      <c r="F41" s="108"/>
      <c r="G41" s="108"/>
      <c r="H41" s="108"/>
      <c r="I41" s="108"/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T41" s="108"/>
    </row>
    <row r="42" spans="2:20" x14ac:dyDescent="0.35">
      <c r="B42" s="109" t="s">
        <v>9</v>
      </c>
      <c r="C42" s="110"/>
      <c r="D42" s="110"/>
      <c r="E42" s="110"/>
      <c r="F42" s="110"/>
      <c r="G42" s="110"/>
      <c r="H42" s="110"/>
      <c r="I42" s="110"/>
      <c r="J42" s="111"/>
      <c r="K42" s="112" t="s">
        <v>54</v>
      </c>
      <c r="L42" s="113"/>
      <c r="M42" s="113"/>
      <c r="N42" s="113"/>
      <c r="O42" s="113"/>
      <c r="P42" s="7"/>
      <c r="Q42" s="7"/>
      <c r="R42" s="7"/>
      <c r="S42" s="7"/>
      <c r="T42" s="64"/>
    </row>
    <row r="43" spans="2:20" ht="14.5" customHeight="1" x14ac:dyDescent="0.35">
      <c r="B43" s="114" t="s">
        <v>214</v>
      </c>
      <c r="C43" s="116" t="s">
        <v>237</v>
      </c>
      <c r="D43" s="117"/>
      <c r="E43" s="104"/>
      <c r="F43" s="118" t="s">
        <v>216</v>
      </c>
      <c r="G43" s="118" t="s">
        <v>217</v>
      </c>
      <c r="H43" s="118" t="s">
        <v>218</v>
      </c>
      <c r="I43" s="118" t="s">
        <v>219</v>
      </c>
      <c r="J43" s="118" t="s">
        <v>220</v>
      </c>
      <c r="K43" s="104" t="s">
        <v>238</v>
      </c>
      <c r="L43" s="105"/>
      <c r="M43" s="105"/>
      <c r="N43" s="106" t="s">
        <v>222</v>
      </c>
      <c r="O43" s="106" t="s">
        <v>223</v>
      </c>
      <c r="P43" s="106" t="s">
        <v>224</v>
      </c>
      <c r="Q43" s="106" t="s">
        <v>225</v>
      </c>
      <c r="R43" s="106" t="s">
        <v>226</v>
      </c>
      <c r="S43" s="106" t="s">
        <v>227</v>
      </c>
      <c r="T43" s="119" t="s">
        <v>228</v>
      </c>
    </row>
    <row r="44" spans="2:20" x14ac:dyDescent="0.35">
      <c r="B44" s="115"/>
      <c r="C44" s="94" t="s">
        <v>229</v>
      </c>
      <c r="D44" s="120" t="s">
        <v>230</v>
      </c>
      <c r="E44" s="120"/>
      <c r="F44" s="118"/>
      <c r="G44" s="118"/>
      <c r="H44" s="118"/>
      <c r="I44" s="118"/>
      <c r="J44" s="118"/>
      <c r="K44" s="52" t="s">
        <v>229</v>
      </c>
      <c r="L44" s="120" t="s">
        <v>230</v>
      </c>
      <c r="M44" s="120"/>
      <c r="N44" s="106"/>
      <c r="O44" s="106"/>
      <c r="P44" s="106"/>
      <c r="Q44" s="106"/>
      <c r="R44" s="106"/>
      <c r="S44" s="106"/>
      <c r="T44" s="119"/>
    </row>
    <row r="45" spans="2:20" x14ac:dyDescent="0.35">
      <c r="B45" s="45" t="s">
        <v>2</v>
      </c>
      <c r="C45" s="53">
        <v>6200</v>
      </c>
      <c r="D45" s="54">
        <f>C45*126%</f>
        <v>7812</v>
      </c>
      <c r="E45" s="49">
        <f>IFERROR(D45/C45,0)</f>
        <v>1.26</v>
      </c>
      <c r="F45" s="8">
        <f>VLOOKUP($E$45,FATORES!$I$32:$K$34,3)</f>
        <v>0.04</v>
      </c>
      <c r="G45" s="8">
        <f>IFERROR(VLOOKUP(E45,FATORES!$I$35:$K$36,3),0)</f>
        <v>0.13</v>
      </c>
      <c r="H45" s="9">
        <f>D45*F45</f>
        <v>312.48</v>
      </c>
      <c r="I45" s="9">
        <f t="shared" ref="I45:I53" si="16">IF($P$7="ARIEL",
   IF(AND($E$45&gt;=69.5%, AND($E$47&gt;=69.5%, $E$48&gt;=69.5%, $E$48&gt;=69.5%, $E$50&gt;=69.5%, $E$50&gt;=69.5%, $E$52&gt;=69.5%, $E$53&gt;=69.5%)),
      D45*G45,
      0),
   IF(AND($E$45&gt;=69.5%, $E$46&gt;=69.5%, $E$47&gt;=69.5%, $E$48&gt;=69.5%, $E$48&gt;=69.5%, $E$50&gt;=69.5%, $E$50&gt;=69.5%, $E$52&gt;=69.5%, $E$53&gt;=69.5%),
      D45*G45,
      0)
)</f>
        <v>1015.5600000000001</v>
      </c>
      <c r="J45" s="9">
        <f>H45+I45</f>
        <v>1328.04</v>
      </c>
      <c r="K45" s="53">
        <v>57000</v>
      </c>
      <c r="L45" s="54">
        <v>57001</v>
      </c>
      <c r="M45" s="49">
        <f>IFERROR(L45/K45,0)</f>
        <v>1.000017543859649</v>
      </c>
      <c r="N45" s="8">
        <f>IF($M$45&gt;=FATORES!$I$37,FATORES!$K$37,0)</f>
        <v>0.03</v>
      </c>
      <c r="O45" s="14">
        <f>IF(E45&gt;=100%,
IF($P$7="ARIEL",
   IF(AND($E$45&gt;=69.5%, AND($E$47&gt;=69.5%, $E$48&gt;=69.5%, $E$48&gt;=69.5%, $E$50&gt;=69.5%, $E$50&gt;=69.5%, $E$52&gt;=69.5%, $E$53&gt;=69.5%)),
      D45*N45,
      0),
   IF(AND($E$45&gt;=69.5%, $E$46&gt;=69.5%, $E$47&gt;=69.5%, $E$48&gt;=69.5%, $E$48&gt;=69.5%, $E$50&gt;=69.5%, $E$50&gt;=69.5%, $E$52&gt;=69.5%, $E$53&gt;=69.5%),
      D45*N45,
      0)
),0)</f>
        <v>234.35999999999999</v>
      </c>
      <c r="P45" s="10">
        <f>J45+O45</f>
        <v>1562.3999999999999</v>
      </c>
      <c r="Q45" s="11">
        <f>IF($B$8=2,P45*0.05,0)</f>
        <v>0</v>
      </c>
      <c r="R45" s="11">
        <f>IF($B$8=3,P45*0.15,0)</f>
        <v>234.35999999999996</v>
      </c>
      <c r="S45" s="98">
        <v>0.1</v>
      </c>
      <c r="T45" s="101">
        <f>SUM($P$54:$S$54)</f>
        <v>3148.3484999999996</v>
      </c>
    </row>
    <row r="46" spans="2:20" x14ac:dyDescent="0.35">
      <c r="B46" s="46" t="s">
        <v>13</v>
      </c>
      <c r="C46" s="55">
        <v>4100</v>
      </c>
      <c r="D46" s="56">
        <v>4200</v>
      </c>
      <c r="E46" s="50">
        <f>IFERROR(D46/C46,0)</f>
        <v>1.024390243902439</v>
      </c>
      <c r="F46" s="12">
        <f>VLOOKUP($E$46,FATORES!$I$40:$K$42,3)</f>
        <v>0.04</v>
      </c>
      <c r="G46" s="12">
        <f>IFERROR(VLOOKUP(E46,FATORES!$I$43:$K$44,3),0)</f>
        <v>0.1</v>
      </c>
      <c r="H46" s="65">
        <f t="shared" ref="H46:H53" si="17">D46*F46</f>
        <v>168</v>
      </c>
      <c r="I46" s="65">
        <f t="shared" si="16"/>
        <v>420</v>
      </c>
      <c r="J46" s="65">
        <f t="shared" ref="J46:J53" si="18">H46+I46</f>
        <v>588</v>
      </c>
      <c r="K46" s="55">
        <v>33000</v>
      </c>
      <c r="L46" s="56">
        <v>33001</v>
      </c>
      <c r="M46" s="50">
        <f t="shared" ref="M46:M53" si="19">IFERROR(L46/K46,0)</f>
        <v>1.000030303030303</v>
      </c>
      <c r="N46" s="12">
        <f>IF($M$46&gt;=FATORES!$I$45,FATORES!$K$45,0)</f>
        <v>0.03</v>
      </c>
      <c r="O46" s="14">
        <f t="shared" ref="O46:O53" si="20">IF(E46&gt;=100%,
IF($P$7="ARIEL",
   IF(AND($E$45&gt;=69.5%, AND($E$47&gt;=69.5%, $E$48&gt;=69.5%, $E$48&gt;=69.5%, $E$50&gt;=69.5%, $E$50&gt;=69.5%, $E$52&gt;=69.5%, $E$53&gt;=69.5%)),
      D46*N46,
      0),
   IF(AND($E$45&gt;=69.5%, $E$46&gt;=69.5%, $E$47&gt;=69.5%, $E$48&gt;=69.5%, $E$48&gt;=69.5%, $E$50&gt;=69.5%, $E$50&gt;=69.5%, $E$52&gt;=69.5%, $E$53&gt;=69.5%),
      D46*N46,
      0)
),0)</f>
        <v>126</v>
      </c>
      <c r="P46" s="13">
        <f t="shared" ref="P46:P53" si="21">J46+O46</f>
        <v>714</v>
      </c>
      <c r="Q46" s="15">
        <f>IF($C$8=2,P46*0.05,0)</f>
        <v>0</v>
      </c>
      <c r="R46" s="15">
        <f>IF($C$8=3,P46*0.15,0)</f>
        <v>0</v>
      </c>
      <c r="S46" s="99"/>
      <c r="T46" s="102"/>
    </row>
    <row r="47" spans="2:20" x14ac:dyDescent="0.35">
      <c r="B47" s="46" t="s">
        <v>231</v>
      </c>
      <c r="C47" s="55">
        <f>SUMIFS(REALIZADO[META_SMARTPHONE],REALIZADO[PDV],'CENTRO VIX'!$M$7)</f>
        <v>69000</v>
      </c>
      <c r="D47" s="56">
        <v>80000</v>
      </c>
      <c r="E47" s="50">
        <f>IFERROR(D47/C47,0)</f>
        <v>1.1594202898550725</v>
      </c>
      <c r="F47" s="12">
        <f>VLOOKUP($E$47,FATORES!$B$53:$D$54,3)</f>
        <v>5.0000000000000001E-4</v>
      </c>
      <c r="G47" s="12">
        <f>IFERROR(VLOOKUP(E47,FATORES!$B$55:$D$55,3),0)</f>
        <v>1E-3</v>
      </c>
      <c r="H47" s="65">
        <f t="shared" si="17"/>
        <v>40</v>
      </c>
      <c r="I47" s="65">
        <f t="shared" si="16"/>
        <v>80</v>
      </c>
      <c r="J47" s="65">
        <f t="shared" si="18"/>
        <v>120</v>
      </c>
      <c r="K47" s="55">
        <v>850000</v>
      </c>
      <c r="L47" s="56">
        <v>850000</v>
      </c>
      <c r="M47" s="50">
        <f t="shared" si="19"/>
        <v>1</v>
      </c>
      <c r="N47" s="12">
        <f>IF($M$47&gt;=FATORES!$B$56,FATORES!$D$56,0)</f>
        <v>5.0000000000000001E-4</v>
      </c>
      <c r="O47" s="14">
        <f t="shared" si="20"/>
        <v>40</v>
      </c>
      <c r="P47" s="13">
        <f t="shared" si="21"/>
        <v>160</v>
      </c>
      <c r="Q47" s="15">
        <f>IF($D$8=2,P47*0.05,0)</f>
        <v>0</v>
      </c>
      <c r="R47" s="15">
        <f>IF($D$8=3,P47*0.15,0)</f>
        <v>0</v>
      </c>
      <c r="S47" s="99"/>
      <c r="T47" s="102"/>
    </row>
    <row r="48" spans="2:20" x14ac:dyDescent="0.35">
      <c r="B48" s="47" t="s">
        <v>232</v>
      </c>
      <c r="C48" s="96">
        <f>SUMIFS(REALIZADO[META_ACESSORIO],REALIZADO[PDV],'CENTRO VIX'!$M$7)</f>
        <v>8900.0001000000011</v>
      </c>
      <c r="D48" s="56"/>
      <c r="E48" s="97">
        <f>IFERROR((D48+D49)/C48,0)</f>
        <v>1.134831447923242</v>
      </c>
      <c r="F48" s="12">
        <f>VLOOKUP($E$48,FATORES!$B$44:$E$46,3)</f>
        <v>1.5E-3</v>
      </c>
      <c r="G48" s="12">
        <f>IFERROR(VLOOKUP(E48,FATORES!$B$47:$E$48,3),0)</f>
        <v>6.0000000000000001E-3</v>
      </c>
      <c r="H48" s="65">
        <f t="shared" si="17"/>
        <v>0</v>
      </c>
      <c r="I48" s="65">
        <f t="shared" si="16"/>
        <v>0</v>
      </c>
      <c r="J48" s="65">
        <f t="shared" si="18"/>
        <v>0</v>
      </c>
      <c r="K48" s="96"/>
      <c r="L48" s="56">
        <f>SUMIFS(REALIZADO[AT_ACESSORIOS_A],REALIZADO[COORDENAÇÃO],$P$7)</f>
        <v>209</v>
      </c>
      <c r="M48" s="97">
        <f>IFERROR((L48+L49)/K48,0)</f>
        <v>0</v>
      </c>
      <c r="N48" s="12">
        <f>IF($M$48&gt;=FATORES!$B$49,FATORES!$D$49,0)</f>
        <v>0</v>
      </c>
      <c r="O48" s="14">
        <f t="shared" si="20"/>
        <v>0</v>
      </c>
      <c r="P48" s="13">
        <f t="shared" si="21"/>
        <v>0</v>
      </c>
      <c r="Q48" s="15">
        <f>IF($E$8=2,P48*0.05,0)</f>
        <v>0</v>
      </c>
      <c r="R48" s="15">
        <f>IF($E$8=3,P48*0.15,0)</f>
        <v>0</v>
      </c>
      <c r="S48" s="99"/>
      <c r="T48" s="102"/>
    </row>
    <row r="49" spans="2:20" x14ac:dyDescent="0.35">
      <c r="B49" s="47" t="s">
        <v>233</v>
      </c>
      <c r="C49" s="96"/>
      <c r="D49" s="56">
        <v>10100</v>
      </c>
      <c r="E49" s="97"/>
      <c r="F49" s="12">
        <f>VLOOKUP($E$48,FATORES!$B$44:$E$46,4)</f>
        <v>7.5000000000000002E-4</v>
      </c>
      <c r="G49" s="12">
        <f>IFERROR(VLOOKUP(E48,FATORES!$B$47:$E$48,4),0)</f>
        <v>3.0000000000000001E-3</v>
      </c>
      <c r="H49" s="65">
        <f t="shared" si="17"/>
        <v>7.5750000000000002</v>
      </c>
      <c r="I49" s="65">
        <f t="shared" si="16"/>
        <v>30.3</v>
      </c>
      <c r="J49" s="65">
        <f t="shared" si="18"/>
        <v>37.875</v>
      </c>
      <c r="K49" s="96"/>
      <c r="L49" s="56">
        <f>SUMIFS(REALIZADO[AT_ACESSORIOS_B],REALIZADO[COORDENAÇÃO],$P$7)</f>
        <v>15594</v>
      </c>
      <c r="M49" s="97"/>
      <c r="N49" s="12">
        <f>IF($M$48&gt;=FATORES!$B$49,FATORES!$E$49,0)</f>
        <v>0</v>
      </c>
      <c r="O49" s="14">
        <f t="shared" si="20"/>
        <v>0</v>
      </c>
      <c r="P49" s="13">
        <f t="shared" si="21"/>
        <v>37.875</v>
      </c>
      <c r="Q49" s="15">
        <f>IF($E$8=2,P49*0.05,0)</f>
        <v>0</v>
      </c>
      <c r="R49" s="15">
        <f>IF($E$8=3,P49*0.15,0)</f>
        <v>0</v>
      </c>
      <c r="S49" s="99"/>
      <c r="T49" s="102"/>
    </row>
    <row r="50" spans="2:20" x14ac:dyDescent="0.35">
      <c r="B50" s="46" t="s">
        <v>234</v>
      </c>
      <c r="C50" s="96">
        <f>SUMIFS(REALIZADO[META_ESSENCIAIS],REALIZADO[PDV],'CENTRO VIX'!$M$7)</f>
        <v>5000.0001000000002</v>
      </c>
      <c r="D50" s="56"/>
      <c r="E50" s="97">
        <f>IFERROR((D50+D51)/C50,0)</f>
        <v>1.0799999784000003</v>
      </c>
      <c r="F50" s="12">
        <f>VLOOKUP($E$50,FATORES!$B$34:$E$36,3)</f>
        <v>1.5E-3</v>
      </c>
      <c r="G50" s="12">
        <f>IFERROR(VLOOKUP(E50,FATORES!$B$37:$E$38,3),0)</f>
        <v>6.0000000000000001E-3</v>
      </c>
      <c r="H50" s="65">
        <f t="shared" si="17"/>
        <v>0</v>
      </c>
      <c r="I50" s="65">
        <f t="shared" si="16"/>
        <v>0</v>
      </c>
      <c r="J50" s="65">
        <f t="shared" si="18"/>
        <v>0</v>
      </c>
      <c r="K50" s="96">
        <f>SUMIFS(REALIZADO[META_ESSENCIAIS],REALIZADO[COORDENAÇÃO],$P$7)</f>
        <v>41199.999999999993</v>
      </c>
      <c r="L50" s="56">
        <v>27000</v>
      </c>
      <c r="M50" s="97">
        <f>IFERROR((L50+L51)/K50,0)</f>
        <v>0.72119538834951469</v>
      </c>
      <c r="N50" s="12">
        <f>IF($M$50&gt;=FATORES!$B$39,FATORES!$D$39,0)</f>
        <v>0</v>
      </c>
      <c r="O50" s="14">
        <f t="shared" si="20"/>
        <v>0</v>
      </c>
      <c r="P50" s="13">
        <f t="shared" si="21"/>
        <v>0</v>
      </c>
      <c r="Q50" s="15">
        <f>IF($F$8=2,P50*0.05,0)</f>
        <v>0</v>
      </c>
      <c r="R50" s="15">
        <f>IF($F$8=3,P50*0.15,0)</f>
        <v>0</v>
      </c>
      <c r="S50" s="99"/>
      <c r="T50" s="102"/>
    </row>
    <row r="51" spans="2:20" x14ac:dyDescent="0.35">
      <c r="B51" s="46" t="s">
        <v>235</v>
      </c>
      <c r="C51" s="96"/>
      <c r="D51" s="56">
        <v>5400</v>
      </c>
      <c r="E51" s="97"/>
      <c r="F51" s="12">
        <f>VLOOKUP($E$50,FATORES!$B$34:$E$36,4)</f>
        <v>7.5000000000000002E-4</v>
      </c>
      <c r="G51" s="12">
        <f>IFERROR(VLOOKUP(E50,FATORES!$B$37:$E$38,4),0)</f>
        <v>3.0000000000000001E-3</v>
      </c>
      <c r="H51" s="65">
        <f t="shared" si="17"/>
        <v>4.05</v>
      </c>
      <c r="I51" s="65">
        <f t="shared" si="16"/>
        <v>16.2</v>
      </c>
      <c r="J51" s="65">
        <f t="shared" si="18"/>
        <v>20.25</v>
      </c>
      <c r="K51" s="96"/>
      <c r="L51" s="56">
        <f>SUMIFS(REALIZADO[AT_ESSENCIAIS_B],REALIZADO[COORDENAÇÃO],$P$7)</f>
        <v>2713.25</v>
      </c>
      <c r="M51" s="97"/>
      <c r="N51" s="12">
        <f>IF($M$50&gt;=FATORES!$B$39,FATORES!$E$39,0)</f>
        <v>0</v>
      </c>
      <c r="O51" s="14">
        <f t="shared" si="20"/>
        <v>0</v>
      </c>
      <c r="P51" s="13">
        <f t="shared" si="21"/>
        <v>20.25</v>
      </c>
      <c r="Q51" s="15">
        <f>IF($F$8=2,P51*0.05,0)</f>
        <v>0</v>
      </c>
      <c r="R51" s="15">
        <f>IF($F$8=3,P51*0.15,0)</f>
        <v>0</v>
      </c>
      <c r="S51" s="99"/>
      <c r="T51" s="102"/>
    </row>
    <row r="52" spans="2:20" x14ac:dyDescent="0.35">
      <c r="B52" s="46" t="s">
        <v>212</v>
      </c>
      <c r="C52" s="55">
        <f>SUMIFS(REALIZADO[META_SEGUROS],REALIZADO[PDV],'CENTRO VIX'!$M$7)</f>
        <v>690</v>
      </c>
      <c r="D52" s="56">
        <v>730</v>
      </c>
      <c r="E52" s="50">
        <f>IFERROR(D52/C52,0)</f>
        <v>1.0579710144927537</v>
      </c>
      <c r="F52" s="83">
        <f>VLOOKUP($E$52,FATORES!$O$32:$Q$34,3)</f>
        <v>0.04</v>
      </c>
      <c r="G52" s="12">
        <f>IFERROR(VLOOKUP(E52,FATORES!$O$35:$Q$36,3),0)</f>
        <v>0.1</v>
      </c>
      <c r="H52" s="65">
        <f t="shared" si="17"/>
        <v>29.2</v>
      </c>
      <c r="I52" s="65">
        <f t="shared" si="16"/>
        <v>73</v>
      </c>
      <c r="J52" s="65">
        <f t="shared" si="18"/>
        <v>102.2</v>
      </c>
      <c r="K52" s="55">
        <f>SUMIFS(REALIZADO[META_SEGUROS],REALIZADO[COORDENAÇÃO],$P$7)</f>
        <v>5129.9997999999996</v>
      </c>
      <c r="L52" s="56">
        <v>5200</v>
      </c>
      <c r="M52" s="50">
        <f t="shared" si="19"/>
        <v>1.0136452636898738</v>
      </c>
      <c r="N52" s="12">
        <f>IF($M$52&gt;=FATORES!$O$37,FATORES!$Q$37,0)</f>
        <v>0.03</v>
      </c>
      <c r="O52" s="14">
        <f t="shared" si="20"/>
        <v>21.9</v>
      </c>
      <c r="P52" s="13">
        <f t="shared" si="21"/>
        <v>124.1</v>
      </c>
      <c r="Q52" s="15">
        <f>IF($G$8=2,P52*0.05,0)</f>
        <v>0</v>
      </c>
      <c r="R52" s="15">
        <f>IF($G$8=3,P52*0.15,0)</f>
        <v>0</v>
      </c>
      <c r="S52" s="99"/>
      <c r="T52" s="102"/>
    </row>
    <row r="53" spans="2:20" x14ac:dyDescent="0.35">
      <c r="B53" s="48" t="s">
        <v>14</v>
      </c>
      <c r="C53" s="57">
        <f>SUMIFS(REALIZADO[META_SVA],REALIZADO[PDV],'CENTRO VIX'!$M$7)</f>
        <v>600</v>
      </c>
      <c r="D53" s="58">
        <v>610</v>
      </c>
      <c r="E53" s="51">
        <f>IFERROR(D53/C53,0)</f>
        <v>1.0166666666666666</v>
      </c>
      <c r="F53" s="16">
        <f>IF($E$53&gt;=0,FATORES!$Q$40)</f>
        <v>5.0000000000000001E-3</v>
      </c>
      <c r="G53" s="16">
        <f>IFERROR(VLOOKUP(E53,FATORES!$O$43:$Q$44,3),0)</f>
        <v>5.0000000000000001E-3</v>
      </c>
      <c r="H53" s="17">
        <f t="shared" si="17"/>
        <v>3.0500000000000003</v>
      </c>
      <c r="I53" s="65">
        <f t="shared" si="16"/>
        <v>3.0500000000000003</v>
      </c>
      <c r="J53" s="17">
        <f t="shared" si="18"/>
        <v>6.1000000000000005</v>
      </c>
      <c r="K53" s="57">
        <f>SUMIFS(REALIZADO[META_SVA],REALIZADO[COORDENAÇÃO],$P$7)</f>
        <v>4540.0006000000003</v>
      </c>
      <c r="L53" s="58">
        <v>4900</v>
      </c>
      <c r="M53" s="51">
        <f t="shared" si="19"/>
        <v>1.0792950115469147</v>
      </c>
      <c r="N53" s="16">
        <f>IF($M$53&gt;=FATORES!$O$45,FATORES!$Q$45,0)</f>
        <v>5.0000000000000001E-3</v>
      </c>
      <c r="O53" s="14">
        <f t="shared" si="20"/>
        <v>3.0500000000000003</v>
      </c>
      <c r="P53" s="18">
        <f t="shared" si="21"/>
        <v>9.15</v>
      </c>
      <c r="Q53" s="19">
        <f>IF($H$8=2,P53*0.05,0)</f>
        <v>0</v>
      </c>
      <c r="R53" s="19">
        <f>IF($H$8=3,P53*0.15,0)</f>
        <v>0</v>
      </c>
      <c r="S53" s="100"/>
      <c r="T53" s="103"/>
    </row>
    <row r="54" spans="2:20" x14ac:dyDescent="0.35">
      <c r="B54" s="66"/>
      <c r="C54" s="67"/>
      <c r="D54" s="67"/>
      <c r="E54" s="67"/>
      <c r="F54" s="67"/>
      <c r="G54" s="67"/>
      <c r="H54" s="67"/>
      <c r="I54" s="67"/>
      <c r="J54" s="68"/>
      <c r="K54" s="69"/>
      <c r="L54" s="67"/>
      <c r="M54" s="67"/>
      <c r="N54" s="67"/>
      <c r="O54" s="67"/>
      <c r="P54" s="70">
        <f>SUM(P45:P53)</f>
        <v>2627.7749999999996</v>
      </c>
      <c r="Q54" s="70">
        <f t="shared" ref="Q54:R54" si="22">SUM(Q45:Q53)</f>
        <v>0</v>
      </c>
      <c r="R54" s="70">
        <f t="shared" si="22"/>
        <v>234.35999999999996</v>
      </c>
      <c r="S54" s="71">
        <f>IF($P$7="ARIEL",IF(MIN(E45,E47,E48,E49,E50,E52,E53)&gt;=99.99%,SUM(P54:R54)*S45,""),IF(MIN(E45:E53)&gt;=99.99%,SUM(P54:R54)*S45,""))</f>
        <v>286.21350000000001</v>
      </c>
      <c r="T54" s="72"/>
    </row>
  </sheetData>
  <sheetProtection algorithmName="SHA-512" hashValue="n5NptPtuX9bmCydPDxwS9PWSEgkgzpqlcZE/6e7IdYc1Sl81IU0WTEslpUL+UYYL9L7dFheDB/NJzULncsZryQ==" saltValue="kMWkTru9Tyxy5yxPkXTsVA==" spinCount="100000" sheet="1" objects="1" scenarios="1"/>
  <protectedRanges>
    <protectedRange sqref="B8:H8 C45:D53 K45:L53" name="Intervalo1"/>
  </protectedRanges>
  <mergeCells count="94">
    <mergeCell ref="I13:I14"/>
    <mergeCell ref="B12:J12"/>
    <mergeCell ref="K12:T12"/>
    <mergeCell ref="B2:T4"/>
    <mergeCell ref="B6:H6"/>
    <mergeCell ref="M6:N6"/>
    <mergeCell ref="M7:N7"/>
    <mergeCell ref="B11:T11"/>
    <mergeCell ref="B13:B14"/>
    <mergeCell ref="C13:E13"/>
    <mergeCell ref="F13:F14"/>
    <mergeCell ref="G13:G14"/>
    <mergeCell ref="H13:H14"/>
    <mergeCell ref="D14:E14"/>
    <mergeCell ref="J13:J14"/>
    <mergeCell ref="K13:M13"/>
    <mergeCell ref="S13:S14"/>
    <mergeCell ref="T13:T14"/>
    <mergeCell ref="L14:M14"/>
    <mergeCell ref="N13:N14"/>
    <mergeCell ref="O13:O14"/>
    <mergeCell ref="P13:P14"/>
    <mergeCell ref="Q13:Q14"/>
    <mergeCell ref="R13:R14"/>
    <mergeCell ref="C20:C21"/>
    <mergeCell ref="E20:E21"/>
    <mergeCell ref="K20:K21"/>
    <mergeCell ref="M20:M21"/>
    <mergeCell ref="B26:T26"/>
    <mergeCell ref="S15:S23"/>
    <mergeCell ref="T15:T23"/>
    <mergeCell ref="C18:C19"/>
    <mergeCell ref="E18:E19"/>
    <mergeCell ref="K18:K19"/>
    <mergeCell ref="M18:M19"/>
    <mergeCell ref="B27:J27"/>
    <mergeCell ref="K27:T27"/>
    <mergeCell ref="B28:B29"/>
    <mergeCell ref="C28:E28"/>
    <mergeCell ref="F28:F29"/>
    <mergeCell ref="G28:G29"/>
    <mergeCell ref="H28:H29"/>
    <mergeCell ref="I28:I29"/>
    <mergeCell ref="J28:J29"/>
    <mergeCell ref="S28:S29"/>
    <mergeCell ref="T28:T29"/>
    <mergeCell ref="D29:E29"/>
    <mergeCell ref="L29:M29"/>
    <mergeCell ref="S30:S38"/>
    <mergeCell ref="T30:T38"/>
    <mergeCell ref="K28:M28"/>
    <mergeCell ref="N28:N29"/>
    <mergeCell ref="O28:O29"/>
    <mergeCell ref="P28:P29"/>
    <mergeCell ref="Q28:Q29"/>
    <mergeCell ref="R28:R29"/>
    <mergeCell ref="C33:C34"/>
    <mergeCell ref="E33:E34"/>
    <mergeCell ref="K33:K34"/>
    <mergeCell ref="M33:M34"/>
    <mergeCell ref="C35:C36"/>
    <mergeCell ref="E35:E36"/>
    <mergeCell ref="K35:K36"/>
    <mergeCell ref="M35:M36"/>
    <mergeCell ref="B41:T41"/>
    <mergeCell ref="B42:J42"/>
    <mergeCell ref="K42:O42"/>
    <mergeCell ref="B43:B44"/>
    <mergeCell ref="C43:E43"/>
    <mergeCell ref="F43:F44"/>
    <mergeCell ref="G43:G44"/>
    <mergeCell ref="H43:H44"/>
    <mergeCell ref="I43:I44"/>
    <mergeCell ref="J43:J44"/>
    <mergeCell ref="S43:S44"/>
    <mergeCell ref="T43:T44"/>
    <mergeCell ref="D44:E44"/>
    <mergeCell ref="L44:M44"/>
    <mergeCell ref="S45:S53"/>
    <mergeCell ref="T45:T53"/>
    <mergeCell ref="K43:M43"/>
    <mergeCell ref="N43:N44"/>
    <mergeCell ref="O43:O44"/>
    <mergeCell ref="P43:P44"/>
    <mergeCell ref="Q43:Q44"/>
    <mergeCell ref="R43:R44"/>
    <mergeCell ref="C48:C49"/>
    <mergeCell ref="E48:E49"/>
    <mergeCell ref="K48:K49"/>
    <mergeCell ref="M48:M49"/>
    <mergeCell ref="C50:C51"/>
    <mergeCell ref="E50:E51"/>
    <mergeCell ref="K50:K51"/>
    <mergeCell ref="M50:M51"/>
  </mergeCells>
  <conditionalFormatting sqref="E15:E18 E20 E22:E23">
    <cfRule type="cellIs" dxfId="450" priority="22" operator="between">
      <formula>0.7</formula>
      <formula>1</formula>
    </cfRule>
    <cfRule type="cellIs" dxfId="449" priority="23" operator="greaterThanOrEqual">
      <formula>1</formula>
    </cfRule>
    <cfRule type="cellIs" dxfId="448" priority="24" operator="lessThan">
      <formula>0.7</formula>
    </cfRule>
  </conditionalFormatting>
  <conditionalFormatting sqref="E30:E33 E35 E37:E38">
    <cfRule type="cellIs" dxfId="447" priority="10" operator="between">
      <formula>0.7</formula>
      <formula>1</formula>
    </cfRule>
    <cfRule type="cellIs" dxfId="446" priority="11" operator="greaterThanOrEqual">
      <formula>1</formula>
    </cfRule>
    <cfRule type="cellIs" dxfId="445" priority="12" operator="lessThan">
      <formula>0.7</formula>
    </cfRule>
  </conditionalFormatting>
  <conditionalFormatting sqref="E45:E48 E50 E52:E53">
    <cfRule type="cellIs" dxfId="444" priority="34" operator="between">
      <formula>0.7</formula>
      <formula>1</formula>
    </cfRule>
    <cfRule type="cellIs" dxfId="443" priority="35" operator="greaterThanOrEqual">
      <formula>1</formula>
    </cfRule>
    <cfRule type="cellIs" dxfId="442" priority="36" operator="lessThan">
      <formula>0.7</formula>
    </cfRule>
  </conditionalFormatting>
  <conditionalFormatting sqref="M15:M18">
    <cfRule type="cellIs" dxfId="441" priority="16" operator="between">
      <formula>0.7</formula>
      <formula>1</formula>
    </cfRule>
    <cfRule type="cellIs" dxfId="440" priority="17" operator="greaterThanOrEqual">
      <formula>1</formula>
    </cfRule>
    <cfRule type="cellIs" dxfId="439" priority="18" operator="lessThan">
      <formula>0.7</formula>
    </cfRule>
  </conditionalFormatting>
  <conditionalFormatting sqref="M20">
    <cfRule type="cellIs" dxfId="438" priority="13" operator="between">
      <formula>0.7</formula>
      <formula>1</formula>
    </cfRule>
    <cfRule type="cellIs" dxfId="437" priority="14" operator="greaterThanOrEqual">
      <formula>1</formula>
    </cfRule>
    <cfRule type="cellIs" dxfId="436" priority="15" operator="lessThan">
      <formula>0.7</formula>
    </cfRule>
  </conditionalFormatting>
  <conditionalFormatting sqref="M22:M23">
    <cfRule type="cellIs" dxfId="435" priority="19" operator="between">
      <formula>0.7</formula>
      <formula>1</formula>
    </cfRule>
    <cfRule type="cellIs" dxfId="434" priority="20" operator="greaterThanOrEqual">
      <formula>1</formula>
    </cfRule>
    <cfRule type="cellIs" dxfId="433" priority="21" operator="lessThan">
      <formula>0.7</formula>
    </cfRule>
  </conditionalFormatting>
  <conditionalFormatting sqref="M30:M33">
    <cfRule type="cellIs" dxfId="432" priority="4" operator="between">
      <formula>0.7</formula>
      <formula>1</formula>
    </cfRule>
    <cfRule type="cellIs" dxfId="431" priority="5" operator="greaterThanOrEqual">
      <formula>1</formula>
    </cfRule>
    <cfRule type="cellIs" dxfId="430" priority="6" operator="lessThan">
      <formula>0.7</formula>
    </cfRule>
  </conditionalFormatting>
  <conditionalFormatting sqref="M35">
    <cfRule type="cellIs" dxfId="429" priority="1" operator="between">
      <formula>0.7</formula>
      <formula>1</formula>
    </cfRule>
    <cfRule type="cellIs" dxfId="428" priority="2" operator="greaterThanOrEqual">
      <formula>1</formula>
    </cfRule>
    <cfRule type="cellIs" dxfId="427" priority="3" operator="lessThan">
      <formula>0.7</formula>
    </cfRule>
  </conditionalFormatting>
  <conditionalFormatting sqref="M37:M38">
    <cfRule type="cellIs" dxfId="426" priority="7" operator="between">
      <formula>0.7</formula>
      <formula>1</formula>
    </cfRule>
    <cfRule type="cellIs" dxfId="425" priority="8" operator="greaterThanOrEqual">
      <formula>1</formula>
    </cfRule>
    <cfRule type="cellIs" dxfId="424" priority="9" operator="lessThan">
      <formula>0.7</formula>
    </cfRule>
  </conditionalFormatting>
  <conditionalFormatting sqref="M45:M48">
    <cfRule type="cellIs" dxfId="423" priority="28" operator="between">
      <formula>0.7</formula>
      <formula>1</formula>
    </cfRule>
    <cfRule type="cellIs" dxfId="422" priority="29" operator="greaterThanOrEqual">
      <formula>1</formula>
    </cfRule>
    <cfRule type="cellIs" dxfId="421" priority="30" operator="lessThan">
      <formula>0.7</formula>
    </cfRule>
  </conditionalFormatting>
  <conditionalFormatting sqref="M50">
    <cfRule type="cellIs" dxfId="420" priority="25" operator="between">
      <formula>0.7</formula>
      <formula>1</formula>
    </cfRule>
    <cfRule type="cellIs" dxfId="419" priority="26" operator="greaterThanOrEqual">
      <formula>1</formula>
    </cfRule>
    <cfRule type="cellIs" dxfId="418" priority="27" operator="lessThan">
      <formula>0.7</formula>
    </cfRule>
  </conditionalFormatting>
  <conditionalFormatting sqref="M52:M53">
    <cfRule type="cellIs" dxfId="417" priority="31" operator="between">
      <formula>0.7</formula>
      <formula>1</formula>
    </cfRule>
    <cfRule type="cellIs" dxfId="416" priority="32" operator="greaterThanOrEqual">
      <formula>1</formula>
    </cfRule>
    <cfRule type="cellIs" dxfId="415" priority="33" operator="lessThan">
      <formula>0.7</formula>
    </cfRule>
  </conditionalFormatting>
  <dataValidations count="1">
    <dataValidation type="list" allowBlank="1" showInputMessage="1" showErrorMessage="1" sqref="B8:H8" xr:uid="{FF8AF47D-29D8-4681-90F3-ED2C276EA249}">
      <formula1>$V$6:$X$6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473E3-1725-47FB-B303-F2E426A0E09E}">
  <dimension ref="B1:X54"/>
  <sheetViews>
    <sheetView showGridLines="0" zoomScale="70" zoomScaleNormal="70" workbookViewId="0">
      <selection activeCell="P8" sqref="P8"/>
    </sheetView>
  </sheetViews>
  <sheetFormatPr defaultRowHeight="14.5" x14ac:dyDescent="0.35"/>
  <cols>
    <col min="1" max="1" width="2.1796875" customWidth="1"/>
    <col min="2" max="2" width="16.453125" customWidth="1"/>
    <col min="3" max="3" width="15" bestFit="1" customWidth="1"/>
    <col min="4" max="4" width="14.54296875" customWidth="1"/>
    <col min="5" max="5" width="13.453125" bestFit="1" customWidth="1"/>
    <col min="6" max="6" width="14" customWidth="1"/>
    <col min="7" max="7" width="18.7265625" customWidth="1"/>
    <col min="8" max="8" width="15" customWidth="1"/>
    <col min="9" max="9" width="20" customWidth="1"/>
    <col min="10" max="10" width="21.1796875" customWidth="1"/>
    <col min="11" max="12" width="16.453125" customWidth="1"/>
    <col min="13" max="13" width="9.7265625" customWidth="1"/>
    <col min="14" max="14" width="20.54296875" customWidth="1"/>
    <col min="15" max="15" width="21" customWidth="1"/>
    <col min="16" max="16" width="15.26953125" customWidth="1"/>
    <col min="17" max="17" width="13" bestFit="1" customWidth="1"/>
    <col min="18" max="18" width="10.453125" bestFit="1" customWidth="1"/>
    <col min="19" max="19" width="12.7265625" bestFit="1" customWidth="1"/>
    <col min="20" max="20" width="14.453125" customWidth="1"/>
    <col min="21" max="21" width="13.7265625" customWidth="1"/>
  </cols>
  <sheetData>
    <row r="1" spans="2:24" x14ac:dyDescent="0.35">
      <c r="B1" s="59"/>
    </row>
    <row r="2" spans="2:24" ht="14.5" customHeight="1" x14ac:dyDescent="0.35">
      <c r="B2" s="146" t="s">
        <v>207</v>
      </c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</row>
    <row r="3" spans="2:24" ht="14.5" customHeight="1" x14ac:dyDescent="0.35">
      <c r="B3" s="146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7"/>
    </row>
    <row r="4" spans="2:24" ht="14.5" customHeight="1" x14ac:dyDescent="0.35">
      <c r="B4" s="146"/>
      <c r="C4" s="147"/>
      <c r="D4" s="147"/>
      <c r="E4" s="147"/>
      <c r="F4" s="147"/>
      <c r="G4" s="147"/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7"/>
      <c r="U4" s="147"/>
    </row>
    <row r="5" spans="2:24" x14ac:dyDescent="0.35">
      <c r="B5" s="60"/>
    </row>
    <row r="6" spans="2:24" ht="14.5" customHeight="1" x14ac:dyDescent="0.35">
      <c r="B6" s="152" t="s">
        <v>208</v>
      </c>
      <c r="C6" s="153"/>
      <c r="D6" s="153"/>
      <c r="E6" s="153"/>
      <c r="F6" s="153"/>
      <c r="G6" s="153"/>
      <c r="H6" s="154"/>
      <c r="M6" s="155" t="s">
        <v>54</v>
      </c>
      <c r="N6" s="156"/>
      <c r="P6" s="74" t="s">
        <v>23</v>
      </c>
      <c r="V6" s="1">
        <v>0</v>
      </c>
      <c r="W6" s="1">
        <v>2</v>
      </c>
      <c r="X6" s="1">
        <v>3</v>
      </c>
    </row>
    <row r="7" spans="2:24" ht="14.5" customHeight="1" x14ac:dyDescent="0.35">
      <c r="B7" s="62" t="s">
        <v>209</v>
      </c>
      <c r="C7" s="2" t="s">
        <v>13</v>
      </c>
      <c r="D7" s="2" t="s">
        <v>210</v>
      </c>
      <c r="E7" s="2" t="s">
        <v>16</v>
      </c>
      <c r="F7" s="2" t="s">
        <v>211</v>
      </c>
      <c r="G7" s="2" t="s">
        <v>212</v>
      </c>
      <c r="H7" s="3" t="s">
        <v>14</v>
      </c>
      <c r="M7" s="157" t="s">
        <v>39</v>
      </c>
      <c r="N7" s="158"/>
      <c r="P7" s="75" t="s">
        <v>201</v>
      </c>
    </row>
    <row r="8" spans="2:24" ht="14.5" customHeight="1" x14ac:dyDescent="0.35">
      <c r="B8" s="63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5">
        <v>0</v>
      </c>
    </row>
    <row r="9" spans="2:24" x14ac:dyDescent="0.35">
      <c r="B9" s="84"/>
      <c r="C9" s="85"/>
      <c r="D9" s="85"/>
      <c r="E9" s="85"/>
      <c r="F9" s="85"/>
      <c r="G9" s="85"/>
      <c r="H9" s="85"/>
    </row>
    <row r="10" spans="2:24" x14ac:dyDescent="0.35">
      <c r="B10" s="80"/>
      <c r="C10" s="6"/>
      <c r="D10" s="6"/>
      <c r="E10" s="6"/>
      <c r="F10" s="6"/>
      <c r="G10" s="6"/>
      <c r="H10" s="6"/>
    </row>
    <row r="11" spans="2:24" ht="18.5" x14ac:dyDescent="0.35">
      <c r="B11" s="222" t="s">
        <v>213</v>
      </c>
      <c r="C11" s="223"/>
      <c r="D11" s="223"/>
      <c r="E11" s="223"/>
      <c r="F11" s="223"/>
      <c r="G11" s="223"/>
      <c r="H11" s="223"/>
      <c r="I11" s="223"/>
      <c r="J11" s="223"/>
      <c r="K11" s="223"/>
      <c r="L11" s="223"/>
      <c r="M11" s="223"/>
      <c r="N11" s="223"/>
      <c r="O11" s="223"/>
      <c r="P11" s="223"/>
      <c r="Q11" s="223"/>
      <c r="R11" s="223"/>
      <c r="S11" s="223"/>
      <c r="T11" s="223"/>
      <c r="U11" s="224"/>
    </row>
    <row r="12" spans="2:24" x14ac:dyDescent="0.35">
      <c r="B12" s="232" t="s">
        <v>9</v>
      </c>
      <c r="C12" s="233"/>
      <c r="D12" s="233"/>
      <c r="E12" s="233"/>
      <c r="F12" s="233"/>
      <c r="G12" s="233"/>
      <c r="H12" s="233"/>
      <c r="I12" s="233"/>
      <c r="J12" s="234"/>
      <c r="K12" s="225" t="s">
        <v>54</v>
      </c>
      <c r="L12" s="156"/>
      <c r="M12" s="156"/>
      <c r="N12" s="156"/>
      <c r="O12" s="156"/>
      <c r="P12" s="156"/>
      <c r="Q12" s="156"/>
      <c r="R12" s="156"/>
      <c r="S12" s="156"/>
      <c r="T12" s="156"/>
      <c r="U12" s="156"/>
    </row>
    <row r="13" spans="2:24" ht="14.5" customHeight="1" x14ac:dyDescent="0.35">
      <c r="B13" s="115" t="s">
        <v>214</v>
      </c>
      <c r="C13" s="116" t="s">
        <v>215</v>
      </c>
      <c r="D13" s="117"/>
      <c r="E13" s="104"/>
      <c r="F13" s="135" t="s">
        <v>216</v>
      </c>
      <c r="G13" s="135" t="s">
        <v>217</v>
      </c>
      <c r="H13" s="135" t="s">
        <v>218</v>
      </c>
      <c r="I13" s="135" t="s">
        <v>219</v>
      </c>
      <c r="J13" s="135" t="s">
        <v>220</v>
      </c>
      <c r="K13" s="116" t="s">
        <v>221</v>
      </c>
      <c r="L13" s="117"/>
      <c r="M13" s="104"/>
      <c r="N13" s="127" t="s">
        <v>222</v>
      </c>
      <c r="O13" s="127" t="s">
        <v>223</v>
      </c>
      <c r="P13" s="127" t="s">
        <v>224</v>
      </c>
      <c r="Q13" s="127" t="s">
        <v>225</v>
      </c>
      <c r="R13" s="127" t="s">
        <v>226</v>
      </c>
      <c r="S13" s="127" t="s">
        <v>227</v>
      </c>
      <c r="T13" s="226" t="s">
        <v>240</v>
      </c>
      <c r="U13" s="215" t="s">
        <v>241</v>
      </c>
    </row>
    <row r="14" spans="2:24" x14ac:dyDescent="0.35">
      <c r="B14" s="134"/>
      <c r="C14" s="94" t="s">
        <v>229</v>
      </c>
      <c r="D14" s="139" t="s">
        <v>230</v>
      </c>
      <c r="E14" s="140"/>
      <c r="F14" s="136"/>
      <c r="G14" s="136"/>
      <c r="H14" s="136"/>
      <c r="I14" s="136"/>
      <c r="J14" s="136"/>
      <c r="K14" s="52" t="s">
        <v>229</v>
      </c>
      <c r="L14" s="139" t="s">
        <v>230</v>
      </c>
      <c r="M14" s="140"/>
      <c r="N14" s="128"/>
      <c r="O14" s="128"/>
      <c r="P14" s="128"/>
      <c r="Q14" s="128"/>
      <c r="R14" s="128"/>
      <c r="S14" s="128"/>
      <c r="T14" s="227"/>
      <c r="U14" s="216"/>
    </row>
    <row r="15" spans="2:24" x14ac:dyDescent="0.35">
      <c r="B15" s="45" t="s">
        <v>2</v>
      </c>
      <c r="C15" s="76">
        <f>SUMIFS(REALIZADO[META_MOVEL],REALIZADO[PDV],GLORIA!$M$7)</f>
        <v>16699.999799999998</v>
      </c>
      <c r="D15" s="77">
        <f>SUMIFS(PROJEÇÃO[PROJ_MOVEL],PROJEÇÃO[PDV],GLORIA!$M$7)</f>
        <v>10166.287700000001</v>
      </c>
      <c r="E15" s="49">
        <f>IFERROR(D15/C15,0)</f>
        <v>0.60875974980550607</v>
      </c>
      <c r="F15" s="8">
        <f>VLOOKUP($E$15,FATORES!$I$32:$K$34,3)</f>
        <v>5.0000000000000001E-3</v>
      </c>
      <c r="G15" s="8">
        <f>IFERROR(VLOOKUP($E$15,FATORES!$I$35:$K$36,3),0)</f>
        <v>0</v>
      </c>
      <c r="H15" s="9">
        <f>D15*F15</f>
        <v>50.831438500000004</v>
      </c>
      <c r="I15" s="9">
        <f t="shared" ref="I15:I23" si="0">IF($P$7="ARIEL",
   IF(AND($E$15&gt;=69.5%, AND($E$17&gt;=69.5%, $E$18&gt;=69.5%, $E$18&gt;=69.5%, $E$20&gt;=69.5%, $E$20&gt;=69.5%, $E$22&gt;=69.5%, $E$23&gt;=69.5%)),
      D15*G15,
      0),
   IF(AND($E$15&gt;=69.5%, $E$16&gt;=69.5%, $E$17&gt;=69.5%, $E$18&gt;=69.5%, $E$18&gt;=69.5%, $E$20&gt;=69.5%, $E$20&gt;=69.5%, $E$22&gt;=69.5%, $E$23&gt;=69.5%),
      D15*G15,
      0)
)</f>
        <v>0</v>
      </c>
      <c r="J15" s="9">
        <f>H15+I15</f>
        <v>50.831438500000004</v>
      </c>
      <c r="K15" s="76">
        <f>SUMIFS(REALIZADO[META_MOVEL],REALIZADO[COORDENAÇÃO],$P$7)</f>
        <v>53549.999899999995</v>
      </c>
      <c r="L15" s="77">
        <f>SUMIFS(PROJEÇÃO[PROJ_MOVEL],PROJEÇÃO[COORDENAÇÃO],$P$7)</f>
        <v>47019.827700000002</v>
      </c>
      <c r="M15" s="49">
        <f>IFERROR(L15/K15,0)</f>
        <v>0.87805467390859893</v>
      </c>
      <c r="N15" s="8">
        <f>IF($M$15&gt;=FATORES!$I$37,FATORES!$K$37,0)</f>
        <v>0</v>
      </c>
      <c r="O15" s="14">
        <f>IF(E15&gt;=100%,
   IF($P$7="ARIEL",
      IF(AND($E$15&gt;=69.5%,$E$17&gt;=69.5%,$E$18&gt;=69.5%,$E$20&gt;=69.5%,$E$22&gt;=69.5%,$E$23&gt;=69.5%),
         D15*N15,
         0
      ),
      IF(AND($E$15&gt;=69.5%,$E$16&gt;=69.5%,$E$17&gt;=69.5%,$E$18&gt;=69.5%,$E$20&gt;=69.5%,$E$22&gt;=69.5%,$E$23&gt;=69.5%),
         D15*N15,
         0
      )
   ),
0)</f>
        <v>0</v>
      </c>
      <c r="P15" s="10">
        <f>J15+O15</f>
        <v>50.831438500000004</v>
      </c>
      <c r="Q15" s="11">
        <f>IF($B$8=2,P15*0.05,0)</f>
        <v>0</v>
      </c>
      <c r="R15" s="11">
        <f>IF($B$8=3,P15*0.15,0)</f>
        <v>0</v>
      </c>
      <c r="S15" s="98">
        <v>0.1</v>
      </c>
      <c r="T15" s="124">
        <f>SUM(P24:S24)</f>
        <v>187.94612093999999</v>
      </c>
      <c r="U15" s="124">
        <f>T15*0.75</f>
        <v>140.95959070499998</v>
      </c>
    </row>
    <row r="16" spans="2:24" x14ac:dyDescent="0.35">
      <c r="B16" s="46" t="s">
        <v>13</v>
      </c>
      <c r="C16" s="76">
        <f>SUMIFS(REALIZADO[META_FIXA],REALIZADO[PDV],GLORIA!$M$7)</f>
        <v>9100.0000999999993</v>
      </c>
      <c r="D16" s="77">
        <f>SUMIFS(PROJEÇÃO[PROJ_FIXA],PROJEÇÃO[PDV],GLORIA!$M$7)</f>
        <v>7125</v>
      </c>
      <c r="E16" s="50">
        <f>IFERROR(D16/C16,0)</f>
        <v>0.78296702436299981</v>
      </c>
      <c r="F16" s="12">
        <f>VLOOKUP($E$16,FATORES!$I$40:$K$42,3)</f>
        <v>5.0000000000000001E-3</v>
      </c>
      <c r="G16" s="12">
        <f>IFERROR(VLOOKUP($E$16,FATORES!$I$43:$K$44,3),0)</f>
        <v>0</v>
      </c>
      <c r="H16" s="65">
        <f t="shared" ref="H16:H23" si="1">D16*F16</f>
        <v>35.625</v>
      </c>
      <c r="I16" s="65">
        <f t="shared" si="0"/>
        <v>0</v>
      </c>
      <c r="J16" s="65">
        <f t="shared" ref="J16:J23" si="2">H16+I16</f>
        <v>35.625</v>
      </c>
      <c r="K16" s="76">
        <f>SUMIFS(REALIZADO[META_FIXA],REALIZADO[COORDENAÇÃO],$P$7)</f>
        <v>29649.999899999988</v>
      </c>
      <c r="L16" s="77">
        <f>SUMIFS(PROJEÇÃO[PROJ_FIXA],PROJEÇÃO[COORDENAÇÃO],$P$7)</f>
        <v>28246.582000000002</v>
      </c>
      <c r="M16" s="50">
        <f t="shared" ref="M16:M17" si="3">IFERROR(L16/K16,0)</f>
        <v>0.95266718702417308</v>
      </c>
      <c r="N16" s="12">
        <f>IF($M$16&gt;=FATORES!$I$45,FATORES!$K$45,0)</f>
        <v>0</v>
      </c>
      <c r="O16" s="14">
        <f t="shared" ref="O16:O23" si="4">IF(E16&gt;=100%,
   IF($P$7="ARIEL",
      IF(AND($E$15&gt;=69.5%,$E$17&gt;=69.5%,$E$18&gt;=69.5%,$E$20&gt;=69.5%,$E$22&gt;=69.5%,$E$23&gt;=69.5%),
         D16*N16,
         0
      ),
      IF(AND($E$15&gt;=69.5%,$E$16&gt;=69.5%,$E$17&gt;=69.5%,$E$18&gt;=69.5%,$E$20&gt;=69.5%,$E$22&gt;=69.5%,$E$23&gt;=69.5%),
         D16*N16,
         0
      )
   ),
0)</f>
        <v>0</v>
      </c>
      <c r="P16" s="13">
        <f t="shared" ref="P16:P23" si="5">J16+O16</f>
        <v>35.625</v>
      </c>
      <c r="Q16" s="15">
        <f>IF($C$8=2,P16*0.05,0)</f>
        <v>0</v>
      </c>
      <c r="R16" s="15">
        <f>IF($C$8=3,P16*0.15,0)</f>
        <v>0</v>
      </c>
      <c r="S16" s="99"/>
      <c r="T16" s="125"/>
      <c r="U16" s="125"/>
    </row>
    <row r="17" spans="2:21" x14ac:dyDescent="0.35">
      <c r="B17" s="46" t="s">
        <v>231</v>
      </c>
      <c r="C17" s="53">
        <f>SUMIFS(REALIZADO[META_SMARTPHONE],REALIZADO[PDV],GLORIA!$M$7)</f>
        <v>200000</v>
      </c>
      <c r="D17" s="78">
        <f>SUMIFS(PROJEÇÃO[PROJ_APARELHO],PROJEÇÃO[PDV],GLORIA!$M$7)</f>
        <v>143574.6612</v>
      </c>
      <c r="E17" s="50">
        <f>IFERROR(D17/C17,0)</f>
        <v>0.71787330599999999</v>
      </c>
      <c r="F17" s="12">
        <f>VLOOKUP($E$17,FATORES!$B$53:$D$54,3)</f>
        <v>2.0000000000000001E-4</v>
      </c>
      <c r="G17" s="12">
        <f>IFERROR(VLOOKUP($E$17,FATORES!$B$55:$D$55,3),0)</f>
        <v>0</v>
      </c>
      <c r="H17" s="65">
        <f t="shared" si="1"/>
        <v>28.714932240000003</v>
      </c>
      <c r="I17" s="65">
        <f t="shared" si="0"/>
        <v>0</v>
      </c>
      <c r="J17" s="65">
        <f t="shared" si="2"/>
        <v>28.714932240000003</v>
      </c>
      <c r="K17" s="53">
        <f>SUMIFS(REALIZADO[META_SMARTPHONE],REALIZADO[COORDENAÇÃO],$P$7)</f>
        <v>741500.00009999995</v>
      </c>
      <c r="L17" s="78">
        <f>SUMIFS(PROJEÇÃO[PROJ_APARELHO],PROJEÇÃO[COORDENAÇÃO],$P$7)</f>
        <v>560223.55000000005</v>
      </c>
      <c r="M17" s="50">
        <f t="shared" si="3"/>
        <v>0.75552737683674631</v>
      </c>
      <c r="N17" s="12">
        <f>IF($M$17&gt;=FATORES!$B$56,FATORES!$D$56,0)</f>
        <v>0</v>
      </c>
      <c r="O17" s="14">
        <f t="shared" si="4"/>
        <v>0</v>
      </c>
      <c r="P17" s="13">
        <f t="shared" si="5"/>
        <v>28.714932240000003</v>
      </c>
      <c r="Q17" s="15">
        <f>IF($D$8=2,P17*0.05,0)</f>
        <v>0</v>
      </c>
      <c r="R17" s="15">
        <f>IF($D$8=3,P17*0.15,0)</f>
        <v>0</v>
      </c>
      <c r="S17" s="99"/>
      <c r="T17" s="125"/>
      <c r="U17" s="125"/>
    </row>
    <row r="18" spans="2:21" x14ac:dyDescent="0.35">
      <c r="B18" s="47" t="s">
        <v>232</v>
      </c>
      <c r="C18" s="121">
        <f>SUMIFS(REALIZADO[META_ACESSORIO],REALIZADO[PDV],GLORIA!$M$7)</f>
        <v>25500.000199999999</v>
      </c>
      <c r="D18" s="86">
        <f>SUMIFS(PROJEÇÃO[PROJ_ELETRO_A],PROJEÇÃO[PDV],GLORIA!$M$7)</f>
        <v>5486.7777999999998</v>
      </c>
      <c r="E18" s="123">
        <f>IFERROR((D18+D19)/C18,0)</f>
        <v>1.3109585936395405</v>
      </c>
      <c r="F18" s="12">
        <f>VLOOKUP($E$18,FATORES!$B$44:$E$46,3)</f>
        <v>1.5E-3</v>
      </c>
      <c r="G18" s="12">
        <f>IFERROR(VLOOKUP($E$18,FATORES!$B$47:$E$48,3),0)</f>
        <v>6.0000000000000001E-3</v>
      </c>
      <c r="H18" s="65">
        <f t="shared" si="1"/>
        <v>8.2301666999999998</v>
      </c>
      <c r="I18" s="65">
        <f t="shared" si="0"/>
        <v>0</v>
      </c>
      <c r="J18" s="65">
        <f t="shared" si="2"/>
        <v>8.2301666999999998</v>
      </c>
      <c r="K18" s="121">
        <f>SUMIFS(REALIZADO[META_ACESSORIO],REALIZADO[COORDENAÇÃO],$P$7)</f>
        <v>82600.000300000014</v>
      </c>
      <c r="L18" s="86">
        <f>SUMIFS(PROJEÇÃO[PROJ_ELETRO_A],PROJEÇÃO[COORDENAÇÃO],$P$7)</f>
        <v>6890.6666999999998</v>
      </c>
      <c r="M18" s="97">
        <f>IFERROR((L18+L19)/K18,0)</f>
        <v>1.2683688416403067</v>
      </c>
      <c r="N18" s="12">
        <f>IF($M$18&gt;=FATORES!$B$49,FATORES!$D$49,0)</f>
        <v>2.5000000000000001E-3</v>
      </c>
      <c r="O18" s="14">
        <f t="shared" si="4"/>
        <v>0</v>
      </c>
      <c r="P18" s="13">
        <f t="shared" si="5"/>
        <v>8.2301666999999998</v>
      </c>
      <c r="Q18" s="15">
        <f>IF($E$8=2,P18*0.05,0)</f>
        <v>0</v>
      </c>
      <c r="R18" s="15">
        <f>IF($E$8=3,P18*0.15,0)</f>
        <v>0</v>
      </c>
      <c r="S18" s="99"/>
      <c r="T18" s="125"/>
      <c r="U18" s="125"/>
    </row>
    <row r="19" spans="2:21" x14ac:dyDescent="0.35">
      <c r="B19" s="47" t="s">
        <v>233</v>
      </c>
      <c r="C19" s="122"/>
      <c r="D19" s="87">
        <f>SUMIFS(PROJEÇÃO[PROJ_ELETRO_B],PROJEÇÃO[PDV],GLORIA!$M$7)</f>
        <v>27942.6666</v>
      </c>
      <c r="E19" s="123"/>
      <c r="F19" s="12">
        <f>VLOOKUP($E$18,FATORES!$B$44:$E$46,4)</f>
        <v>7.5000000000000002E-4</v>
      </c>
      <c r="G19" s="12">
        <f>IFERROR(VLOOKUP($E$18,FATORES!$B$47:$E$48,4),0)</f>
        <v>3.0000000000000001E-3</v>
      </c>
      <c r="H19" s="65">
        <f t="shared" si="1"/>
        <v>20.95699995</v>
      </c>
      <c r="I19" s="65">
        <f t="shared" si="0"/>
        <v>0</v>
      </c>
      <c r="J19" s="65">
        <f t="shared" si="2"/>
        <v>20.95699995</v>
      </c>
      <c r="K19" s="122"/>
      <c r="L19" s="87">
        <f>SUMIFS(PROJEÇÃO[PROJ_ELETRO_B],PROJEÇÃO[COORDENAÇÃO],$P$7)</f>
        <v>97876.6</v>
      </c>
      <c r="M19" s="97"/>
      <c r="N19" s="12">
        <f>IF($M$18&gt;=FATORES!$B$49,FATORES!$E$49,0)</f>
        <v>1.25E-3</v>
      </c>
      <c r="O19" s="14">
        <f t="shared" si="4"/>
        <v>0</v>
      </c>
      <c r="P19" s="13">
        <f t="shared" si="5"/>
        <v>20.95699995</v>
      </c>
      <c r="Q19" s="15">
        <f>IF($E$8=2,P19*0.05,0)</f>
        <v>0</v>
      </c>
      <c r="R19" s="15">
        <f>IF($E$8=3,P19*0.15,0)</f>
        <v>0</v>
      </c>
      <c r="S19" s="99"/>
      <c r="T19" s="125"/>
      <c r="U19" s="125"/>
    </row>
    <row r="20" spans="2:21" x14ac:dyDescent="0.35">
      <c r="B20" s="46" t="s">
        <v>234</v>
      </c>
      <c r="C20" s="121">
        <f>SUMIFS(REALIZADO[META_ESSENCIAIS],REALIZADO[PDV],GLORIA!$M$7)</f>
        <v>9900</v>
      </c>
      <c r="D20" s="86">
        <f>SUMIFS(PROJEÇÃO[PROJ_ESSEN_A],PROJEÇÃO[PDV],GLORIA!$M$7)</f>
        <v>4508.3833999999997</v>
      </c>
      <c r="E20" s="123">
        <f>IFERROR((D20+D21)/C20,0)</f>
        <v>0.96391414141414145</v>
      </c>
      <c r="F20" s="12">
        <f>VLOOKUP($E$20,FATORES!$B$34:$E$36,3)</f>
        <v>1.5E-3</v>
      </c>
      <c r="G20" s="12">
        <f>IFERROR(VLOOKUP($E$20,FATORES!$B$37:$E$38,3),0)</f>
        <v>0</v>
      </c>
      <c r="H20" s="65">
        <f t="shared" si="1"/>
        <v>6.7625750999999994</v>
      </c>
      <c r="I20" s="65">
        <f t="shared" si="0"/>
        <v>0</v>
      </c>
      <c r="J20" s="65">
        <f t="shared" si="2"/>
        <v>6.7625750999999994</v>
      </c>
      <c r="K20" s="121">
        <f>SUMIFS(REALIZADO[META_ESSENCIAIS],REALIZADO[COORDENAÇÃO],$P$7)</f>
        <v>41199.999999999993</v>
      </c>
      <c r="L20" s="86">
        <f>SUMIFS(PROJEÇÃO[PROJ_ESSEN_A],PROJEÇÃO[COORDENAÇÃO],$P$7)</f>
        <v>16007.2889</v>
      </c>
      <c r="M20" s="97">
        <f>IFERROR((L20+L21)/K20,0)</f>
        <v>0.92994956553398067</v>
      </c>
      <c r="N20" s="12">
        <f>IF($M$20&gt;=FATORES!$B$39,FATORES!$D$39,0)</f>
        <v>0</v>
      </c>
      <c r="O20" s="14">
        <f t="shared" si="4"/>
        <v>0</v>
      </c>
      <c r="P20" s="13">
        <f t="shared" si="5"/>
        <v>6.7625750999999994</v>
      </c>
      <c r="Q20" s="15">
        <f>IF($F$8=2,P20*0.05,0)</f>
        <v>0</v>
      </c>
      <c r="R20" s="15">
        <f>IF($F$8=3,P20*0.15,0)</f>
        <v>0</v>
      </c>
      <c r="S20" s="99"/>
      <c r="T20" s="125"/>
      <c r="U20" s="125"/>
    </row>
    <row r="21" spans="2:21" x14ac:dyDescent="0.35">
      <c r="B21" s="46" t="s">
        <v>235</v>
      </c>
      <c r="C21" s="122"/>
      <c r="D21" s="87">
        <f>SUMIFS(PROJEÇÃO[PROJ_ESSEN_B],PROJEÇÃO[PDV],GLORIA!$M$7)</f>
        <v>5034.3666000000003</v>
      </c>
      <c r="E21" s="123"/>
      <c r="F21" s="12">
        <f>VLOOKUP($E$20,FATORES!$B$34:$E$36,4)</f>
        <v>7.5000000000000002E-4</v>
      </c>
      <c r="G21" s="12">
        <f>IFERROR(VLOOKUP($E$20,FATORES!$B$37:$E$38,4),0)</f>
        <v>0</v>
      </c>
      <c r="H21" s="65">
        <f t="shared" si="1"/>
        <v>3.7757749500000002</v>
      </c>
      <c r="I21" s="65">
        <f t="shared" si="0"/>
        <v>0</v>
      </c>
      <c r="J21" s="65">
        <f t="shared" si="2"/>
        <v>3.7757749500000002</v>
      </c>
      <c r="K21" s="122"/>
      <c r="L21" s="87">
        <f>SUMIFS(PROJEÇÃO[PROJ_ESSEN_B],PROJEÇÃO[COORDENAÇÃO],$P$7)</f>
        <v>22306.6332</v>
      </c>
      <c r="M21" s="97"/>
      <c r="N21" s="12">
        <f>IF($M$20&gt;=FATORES!$B$39,FATORES!$E$39,0)</f>
        <v>0</v>
      </c>
      <c r="O21" s="14">
        <f t="shared" si="4"/>
        <v>0</v>
      </c>
      <c r="P21" s="13">
        <f t="shared" si="5"/>
        <v>3.7757749500000002</v>
      </c>
      <c r="Q21" s="15">
        <f>IF($F$8=2,P21*0.05,0)</f>
        <v>0</v>
      </c>
      <c r="R21" s="15">
        <f>IF($F$8=3,P21*0.15,0)</f>
        <v>0</v>
      </c>
      <c r="S21" s="99"/>
      <c r="T21" s="125"/>
      <c r="U21" s="125"/>
    </row>
    <row r="22" spans="2:21" x14ac:dyDescent="0.35">
      <c r="B22" s="46" t="s">
        <v>212</v>
      </c>
      <c r="C22" s="57">
        <f>SUMIFS(REALIZADO[META_SEGUROS],REALIZADO[PDV],GLORIA!$M$7)</f>
        <v>1499.9997999999998</v>
      </c>
      <c r="D22" s="79">
        <f>SUMIFS(PROJEÇÃO[PROJ_SEGURO],PROJEÇÃO[PDV],GLORIA!$M$7)</f>
        <v>1219.3778</v>
      </c>
      <c r="E22" s="83">
        <f>IFERROR(D22/C22,0)</f>
        <v>0.81291864172248562</v>
      </c>
      <c r="F22" s="83">
        <f>VLOOKUP($E$22,FATORES!$O$32:$Q$34,3)</f>
        <v>0.02</v>
      </c>
      <c r="G22" s="12">
        <f>IFERROR(VLOOKUP($E$22,FATORES!$O$35:$Q$36,3),0)</f>
        <v>0</v>
      </c>
      <c r="H22" s="65">
        <f t="shared" si="1"/>
        <v>24.387556</v>
      </c>
      <c r="I22" s="65">
        <f t="shared" si="0"/>
        <v>0</v>
      </c>
      <c r="J22" s="65">
        <f t="shared" si="2"/>
        <v>24.387556</v>
      </c>
      <c r="K22" s="57">
        <f>SUMIFS(REALIZADO[META_SEGUROS],REALIZADO[COORDENAÇÃO],$P$7)</f>
        <v>5129.9997999999996</v>
      </c>
      <c r="L22" s="79">
        <f>SUMIFS(PROJEÇÃO[PROJ_SEGURO],PROJEÇÃO[COORDENAÇÃO],$P$7)</f>
        <v>4017.2332999999999</v>
      </c>
      <c r="M22" s="50">
        <f t="shared" ref="M22:M23" si="6">IFERROR(L22/K22,0)</f>
        <v>0.78308644378504655</v>
      </c>
      <c r="N22" s="12">
        <f>IF($M$22&gt;=FATORES!$O$37,FATORES!$Q$37,0)</f>
        <v>0</v>
      </c>
      <c r="O22" s="14">
        <f t="shared" si="4"/>
        <v>0</v>
      </c>
      <c r="P22" s="13">
        <f t="shared" si="5"/>
        <v>24.387556</v>
      </c>
      <c r="Q22" s="15">
        <f>IF($G$8=2,P22*0.05,0)</f>
        <v>0</v>
      </c>
      <c r="R22" s="15">
        <f>IF($G$8=3,P22*0.15,0)</f>
        <v>0</v>
      </c>
      <c r="S22" s="99"/>
      <c r="T22" s="125"/>
      <c r="U22" s="125"/>
    </row>
    <row r="23" spans="2:21" x14ac:dyDescent="0.35">
      <c r="B23" s="48" t="s">
        <v>14</v>
      </c>
      <c r="C23" s="76">
        <f>SUMIFS(REALIZADO[META_SVA],REALIZADO[PDV],GLORIA!$M$7)</f>
        <v>1000.0002999999999</v>
      </c>
      <c r="D23" s="77">
        <f>SUMIFS(PROJEÇÃO[PROJ_SVA],PROJEÇÃO[PDV],GLORIA!$M$7)</f>
        <v>1732.3355000000001</v>
      </c>
      <c r="E23" s="82">
        <f>IFERROR(D23/C23,0)</f>
        <v>1.7323349802995063</v>
      </c>
      <c r="F23" s="16">
        <f>IF($E$23&gt;=0,FATORES!$Q$40)</f>
        <v>5.0000000000000001E-3</v>
      </c>
      <c r="G23" s="16">
        <f>IFERROR(VLOOKUP($E$23,FATORES!$O$43:$Q$44,3),0)</f>
        <v>5.0000000000000001E-3</v>
      </c>
      <c r="H23" s="17">
        <f t="shared" si="1"/>
        <v>8.6616775000000015</v>
      </c>
      <c r="I23" s="65">
        <f t="shared" si="0"/>
        <v>0</v>
      </c>
      <c r="J23" s="17">
        <f t="shared" si="2"/>
        <v>8.6616775000000015</v>
      </c>
      <c r="K23" s="76">
        <f>SUMIFS(REALIZADO[META_SVA],REALIZADO[COORDENAÇÃO],$P$7)</f>
        <v>4540.0006000000003</v>
      </c>
      <c r="L23" s="77">
        <f>SUMIFS(PROJEÇÃO[PROJ_SVA],PROJEÇÃO[COORDENAÇÃO],$P$7)</f>
        <v>5391.4400000000005</v>
      </c>
      <c r="M23" s="51">
        <f t="shared" si="6"/>
        <v>1.1875416932764282</v>
      </c>
      <c r="N23" s="16">
        <f>IF($M$23&gt;=FATORES!$O$45,FATORES!$Q$45,0)</f>
        <v>5.0000000000000001E-3</v>
      </c>
      <c r="O23" s="14">
        <f t="shared" si="4"/>
        <v>0</v>
      </c>
      <c r="P23" s="18">
        <f t="shared" si="5"/>
        <v>8.6616775000000015</v>
      </c>
      <c r="Q23" s="19">
        <f>IF($H$8=2,P23*0.05,0)</f>
        <v>0</v>
      </c>
      <c r="R23" s="19">
        <f>IF($H$8=3,P23*0.15,0)</f>
        <v>0</v>
      </c>
      <c r="S23" s="100"/>
      <c r="T23" s="126"/>
      <c r="U23" s="126"/>
    </row>
    <row r="24" spans="2:21" x14ac:dyDescent="0.35">
      <c r="B24" s="66"/>
      <c r="C24" s="67"/>
      <c r="D24" s="67"/>
      <c r="E24" s="67"/>
      <c r="F24" s="67"/>
      <c r="G24" s="67"/>
      <c r="H24" s="67"/>
      <c r="I24" s="67"/>
      <c r="J24" s="68"/>
      <c r="K24" s="69"/>
      <c r="L24" s="67"/>
      <c r="M24" s="67"/>
      <c r="N24" s="67"/>
      <c r="O24" s="67"/>
      <c r="P24" s="70">
        <f>SUM(P15:P23)</f>
        <v>187.94612093999999</v>
      </c>
      <c r="Q24" s="70">
        <f t="shared" ref="Q24:R24" si="7">SUM(Q15:Q23)</f>
        <v>0</v>
      </c>
      <c r="R24" s="70">
        <f t="shared" si="7"/>
        <v>0</v>
      </c>
      <c r="S24" s="71" t="str">
        <f>IF($P$7="ARIEL",IF(MIN(E15,E17,E18,E19,E20,E22,E23)&gt;=100%,SUM(P24:R24)*S15,""),IF(MIN(E15:E23)&gt;=100%,SUM(P24:R24)*S15,""))</f>
        <v/>
      </c>
      <c r="T24" s="153"/>
      <c r="U24" s="153"/>
    </row>
    <row r="25" spans="2:21" ht="16.149999999999999" customHeight="1" x14ac:dyDescent="0.35">
      <c r="B25" s="80"/>
      <c r="C25" s="6"/>
      <c r="D25" s="6"/>
      <c r="E25" s="6"/>
      <c r="F25" s="6"/>
      <c r="G25" s="6"/>
      <c r="H25" s="6"/>
      <c r="T25" s="61"/>
    </row>
    <row r="26" spans="2:21" ht="18.5" x14ac:dyDescent="0.35">
      <c r="B26" s="217" t="s">
        <v>236</v>
      </c>
      <c r="C26" s="218"/>
      <c r="D26" s="218"/>
      <c r="E26" s="218"/>
      <c r="F26" s="218"/>
      <c r="G26" s="218"/>
      <c r="H26" s="218"/>
      <c r="I26" s="218"/>
      <c r="J26" s="218"/>
      <c r="K26" s="218"/>
      <c r="L26" s="218"/>
      <c r="M26" s="218"/>
      <c r="N26" s="218"/>
      <c r="O26" s="218"/>
      <c r="P26" s="218"/>
      <c r="Q26" s="218"/>
      <c r="R26" s="218"/>
      <c r="S26" s="218"/>
      <c r="T26" s="218"/>
      <c r="U26" s="218"/>
    </row>
    <row r="27" spans="2:21" x14ac:dyDescent="0.35">
      <c r="B27" s="129" t="s">
        <v>9</v>
      </c>
      <c r="C27" s="130"/>
      <c r="D27" s="130"/>
      <c r="E27" s="130"/>
      <c r="F27" s="130"/>
      <c r="G27" s="130"/>
      <c r="H27" s="130"/>
      <c r="I27" s="130"/>
      <c r="J27" s="131"/>
      <c r="K27" s="112" t="s">
        <v>54</v>
      </c>
      <c r="L27" s="113"/>
      <c r="M27" s="113"/>
      <c r="N27" s="113"/>
      <c r="O27" s="113"/>
      <c r="P27" s="113"/>
      <c r="Q27" s="113"/>
      <c r="R27" s="113"/>
      <c r="S27" s="113"/>
      <c r="T27" s="113"/>
      <c r="U27" s="219"/>
    </row>
    <row r="28" spans="2:21" ht="14.5" customHeight="1" x14ac:dyDescent="0.35">
      <c r="B28" s="115" t="s">
        <v>214</v>
      </c>
      <c r="C28" s="116" t="s">
        <v>237</v>
      </c>
      <c r="D28" s="117"/>
      <c r="E28" s="104"/>
      <c r="F28" s="135" t="s">
        <v>216</v>
      </c>
      <c r="G28" s="135" t="s">
        <v>217</v>
      </c>
      <c r="H28" s="135" t="s">
        <v>218</v>
      </c>
      <c r="I28" s="135" t="s">
        <v>219</v>
      </c>
      <c r="J28" s="135" t="s">
        <v>220</v>
      </c>
      <c r="K28" s="229" t="s">
        <v>238</v>
      </c>
      <c r="L28" s="230"/>
      <c r="M28" s="231"/>
      <c r="N28" s="228" t="s">
        <v>222</v>
      </c>
      <c r="O28" s="127" t="s">
        <v>223</v>
      </c>
      <c r="P28" s="228" t="s">
        <v>224</v>
      </c>
      <c r="Q28" s="228" t="s">
        <v>225</v>
      </c>
      <c r="R28" s="228" t="s">
        <v>226</v>
      </c>
      <c r="S28" s="228" t="s">
        <v>227</v>
      </c>
      <c r="T28" s="226" t="s">
        <v>240</v>
      </c>
      <c r="U28" s="215" t="s">
        <v>241</v>
      </c>
    </row>
    <row r="29" spans="2:21" ht="14.5" customHeight="1" x14ac:dyDescent="0.35">
      <c r="B29" s="134"/>
      <c r="C29" s="94" t="s">
        <v>229</v>
      </c>
      <c r="D29" s="139" t="s">
        <v>230</v>
      </c>
      <c r="E29" s="140"/>
      <c r="F29" s="136"/>
      <c r="G29" s="136"/>
      <c r="H29" s="136"/>
      <c r="I29" s="136"/>
      <c r="J29" s="136"/>
      <c r="K29" s="52" t="s">
        <v>229</v>
      </c>
      <c r="L29" s="139" t="s">
        <v>230</v>
      </c>
      <c r="M29" s="140"/>
      <c r="N29" s="128"/>
      <c r="O29" s="128"/>
      <c r="P29" s="128"/>
      <c r="Q29" s="128"/>
      <c r="R29" s="128"/>
      <c r="S29" s="128"/>
      <c r="T29" s="227"/>
      <c r="U29" s="216"/>
    </row>
    <row r="30" spans="2:21" x14ac:dyDescent="0.35">
      <c r="B30" s="45" t="s">
        <v>2</v>
      </c>
      <c r="C30" s="76">
        <f>SUMIFS(REALIZADO[META_MOVEL],REALIZADO[PDV],GLORIA!$M$7)</f>
        <v>16699.999799999998</v>
      </c>
      <c r="D30" s="77">
        <f>SUMIFS(REALIZADO[AT_MOVEL],REALIZADO[PDV],GLORIA!$M$7)</f>
        <v>881.99</v>
      </c>
      <c r="E30" s="49">
        <f>IFERROR(D30/C30,0)</f>
        <v>5.2813773087590103E-2</v>
      </c>
      <c r="F30" s="8">
        <f>VLOOKUP($E$30,FATORES!$I$32:$K$34,3)</f>
        <v>5.0000000000000001E-3</v>
      </c>
      <c r="G30" s="8">
        <f>IFERROR(VLOOKUP($E$30,FATORES!$I$35:$K$36,3),0)</f>
        <v>0</v>
      </c>
      <c r="H30" s="9">
        <f>D30*F30</f>
        <v>4.4099500000000003</v>
      </c>
      <c r="I30" s="9">
        <f t="shared" ref="I30:I38" si="8">IF($P$7="ARIEL",
   IF(AND($E$30&gt;=69.5%, AND($E$32&gt;=69.5%, $E$33&gt;=69.5%, $E$33&gt;=69.5%, $E$35&gt;=69.5%, $E$35&gt;=69.5%, $E$37&gt;=69.5%, $E$38&gt;=69.5%)),
      D30*G30,
      0),
   IF(AND($E$30&gt;=69.5%, $E$31&gt;=69.5%, $E$32&gt;=69.5%, $E$33&gt;=69.5%, $E$33&gt;=69.5%, $E$35&gt;=69.5%, $E$35&gt;=69.5%, $E$37&gt;=69.5%, $E$38&gt;=69.5%),
      D30*G30,
      0)
)</f>
        <v>0</v>
      </c>
      <c r="J30" s="9">
        <f>H30+I30</f>
        <v>4.4099500000000003</v>
      </c>
      <c r="K30" s="76">
        <f>SUMIFS(REALIZADO[META_MOVEL],REALIZADO[COORDENAÇÃO],$P$7)</f>
        <v>53549.999899999995</v>
      </c>
      <c r="L30" s="77">
        <f>SUMIFS(REALIZADO[AT_MOVEL],REALIZADO[COORDENAÇÃO],$P$7)</f>
        <v>4789.97</v>
      </c>
      <c r="M30" s="49">
        <f>IFERROR(L30/K30,0)</f>
        <v>8.9448552921472566E-2</v>
      </c>
      <c r="N30" s="8">
        <f>IF($M$30&gt;=FATORES!$I$37,FATORES!$K$37,0)</f>
        <v>0</v>
      </c>
      <c r="O30" s="14">
        <f>IF(E30&gt;=100%,
IF($P$7="ARIEL",
IF(AND($E$30&gt;=69.5%,$E$32&gt;=69.5%,$E$33&gt;=69.5%,$E$35&gt;=69.5%,$E$37&gt;=69.5%,$E$38&gt;=69.5%),
D30*N30,
0),
IF(AND($E$30&gt;=69.5%,$E$31&gt;=69.5%,$E$32&gt;=69.5%,$E$33&gt;=69.5%,$E$35&gt;=69.5%,$E$37&gt;=69.5%,$E$38&gt;=69.5%),
D30*N30,
0)
),0)</f>
        <v>0</v>
      </c>
      <c r="P30" s="10">
        <f>J30+O30</f>
        <v>4.4099500000000003</v>
      </c>
      <c r="Q30" s="11">
        <f>IF($B$8=2,P30*0.05,0)</f>
        <v>0</v>
      </c>
      <c r="R30" s="11">
        <f>IF($B$8=3,P30*0.15,0)</f>
        <v>0</v>
      </c>
      <c r="S30" s="98">
        <v>0.1</v>
      </c>
      <c r="T30" s="124">
        <f>SUM(P39:S39)</f>
        <v>17.131899999999998</v>
      </c>
      <c r="U30" s="124">
        <f>T30*0.75</f>
        <v>12.848924999999998</v>
      </c>
    </row>
    <row r="31" spans="2:21" x14ac:dyDescent="0.35">
      <c r="B31" s="46" t="s">
        <v>13</v>
      </c>
      <c r="C31" s="76">
        <f>SUMIFS(REALIZADO[META_FIXA],REALIZADO[PDV],GLORIA!$M$7)</f>
        <v>9100.0000999999993</v>
      </c>
      <c r="D31" s="77">
        <f>SUMIFS(REALIZADO[AT_FIXA],REALIZADO[PDV],GLORIA!$M$7)</f>
        <v>900</v>
      </c>
      <c r="E31" s="50">
        <f>IFERROR(D31/C31,0)</f>
        <v>9.8901097814273656E-2</v>
      </c>
      <c r="F31" s="12">
        <f>VLOOKUP($E$31,FATORES!$I$40:$K$42,3)</f>
        <v>5.0000000000000001E-3</v>
      </c>
      <c r="G31" s="12">
        <f>IFERROR(VLOOKUP($E$31,FATORES!$I$43:$K$44,3),0)</f>
        <v>0</v>
      </c>
      <c r="H31" s="65">
        <f t="shared" ref="H31:H38" si="9">D31*F31</f>
        <v>4.5</v>
      </c>
      <c r="I31" s="65">
        <f t="shared" si="8"/>
        <v>0</v>
      </c>
      <c r="J31" s="65">
        <f t="shared" ref="J31:J38" si="10">H31+I31</f>
        <v>4.5</v>
      </c>
      <c r="K31" s="76">
        <f>SUMIFS(REALIZADO[META_FIXA],REALIZADO[COORDENAÇÃO],$P$7)</f>
        <v>29649.999899999988</v>
      </c>
      <c r="L31" s="77">
        <f>SUMIFS(REALIZADO[AT_FIXA],REALIZADO[COORDENAÇÃO],$P$7)</f>
        <v>3600.01</v>
      </c>
      <c r="M31" s="50">
        <f t="shared" ref="M31:M32" si="11">IFERROR(L31/K31,0)</f>
        <v>0.12141686381590854</v>
      </c>
      <c r="N31" s="12">
        <f>IF($M$31&gt;=FATORES!$I$45,FATORES!$K$45,0)</f>
        <v>0</v>
      </c>
      <c r="O31" s="14">
        <f t="shared" ref="O31:O38" si="12">IF(E31&gt;=100%,
IF($P$7="ARIEL",
IF(AND($E$30&gt;=69.5%,$E$32&gt;=69.5%,$E$33&gt;=69.5%,$E$35&gt;=69.5%,$E$37&gt;=69.5%,$E$38&gt;=69.5%),
D31*N31,
0),
IF(AND($E$30&gt;=69.5%,$E$31&gt;=69.5%,$E$32&gt;=69.5%,$E$33&gt;=69.5%,$E$35&gt;=69.5%,$E$37&gt;=69.5%,$E$38&gt;=69.5%),
D31*N31,
0)
),0)</f>
        <v>0</v>
      </c>
      <c r="P31" s="13">
        <f t="shared" ref="P31:P38" si="13">J31+O31</f>
        <v>4.5</v>
      </c>
      <c r="Q31" s="15">
        <f>IF($C$8=2,P31*0.05,0)</f>
        <v>0</v>
      </c>
      <c r="R31" s="15">
        <f>IF($C$8=3,P31*0.15,0)</f>
        <v>0</v>
      </c>
      <c r="S31" s="99"/>
      <c r="T31" s="125"/>
      <c r="U31" s="125"/>
    </row>
    <row r="32" spans="2:21" x14ac:dyDescent="0.35">
      <c r="B32" s="46" t="s">
        <v>231</v>
      </c>
      <c r="C32" s="53">
        <f>SUMIFS(REALIZADO[META_SMARTPHONE],REALIZADO[PDV],GLORIA!$M$7)</f>
        <v>200000</v>
      </c>
      <c r="D32" s="78">
        <f>SUMIFS(REALIZADO[AT_SMARTPHONE],REALIZADO[PDV],GLORIA!$M$7)</f>
        <v>20645</v>
      </c>
      <c r="E32" s="50">
        <f>IFERROR(D32/C32,0)</f>
        <v>0.103225</v>
      </c>
      <c r="F32" s="12">
        <f>VLOOKUP($E$32,FATORES!$B$53:$D$54,3)</f>
        <v>2.0000000000000001E-4</v>
      </c>
      <c r="G32" s="12">
        <f>IFERROR(VLOOKUP($E$32,FATORES!$B$55:$D$55,3),0)</f>
        <v>0</v>
      </c>
      <c r="H32" s="65">
        <f t="shared" si="9"/>
        <v>4.1290000000000004</v>
      </c>
      <c r="I32" s="65">
        <f t="shared" si="8"/>
        <v>0</v>
      </c>
      <c r="J32" s="65">
        <f t="shared" si="10"/>
        <v>4.1290000000000004</v>
      </c>
      <c r="K32" s="53">
        <f>SUMIFS(REALIZADO[META_SMARTPHONE],REALIZADO[COORDENAÇÃO],$P$7)</f>
        <v>741500.00009999995</v>
      </c>
      <c r="L32" s="78">
        <f>SUMIFS(REALIZADO[AT_SMARTPHONE],REALIZADO[COORDENAÇÃO],$P$7)</f>
        <v>63660</v>
      </c>
      <c r="M32" s="50">
        <f t="shared" si="11"/>
        <v>8.585300066273055E-2</v>
      </c>
      <c r="N32" s="12">
        <f>IF($M$32&gt;=FATORES!$B$56,FATORES!$D$56,0)</f>
        <v>0</v>
      </c>
      <c r="O32" s="14">
        <f t="shared" si="12"/>
        <v>0</v>
      </c>
      <c r="P32" s="13">
        <f t="shared" si="13"/>
        <v>4.1290000000000004</v>
      </c>
      <c r="Q32" s="15">
        <f>IF($D$8=2,P32*0.05,0)</f>
        <v>0</v>
      </c>
      <c r="R32" s="15">
        <f>IF($D$8=3,P32*0.15,0)</f>
        <v>0</v>
      </c>
      <c r="S32" s="99"/>
      <c r="T32" s="125"/>
      <c r="U32" s="125"/>
    </row>
    <row r="33" spans="2:21" x14ac:dyDescent="0.35">
      <c r="B33" s="47" t="s">
        <v>232</v>
      </c>
      <c r="C33" s="121">
        <f>SUMIFS(REALIZADO[META_ACESSORIO],REALIZADO[PDV],GLORIA!$M$7)</f>
        <v>25500.000199999999</v>
      </c>
      <c r="D33" s="86">
        <f>SUMIFS(REALIZADO[AT_ACESSORIOS_A],REALIZADO[PDV],GLORIA!$M$7)</f>
        <v>0</v>
      </c>
      <c r="E33" s="123">
        <f>IFERROR((D33+D34)/C33,0)</f>
        <v>0.31423529165305658</v>
      </c>
      <c r="F33" s="12">
        <f>VLOOKUP($E$33,FATORES!$B$44:$E$46,3)</f>
        <v>5.0000000000000001E-4</v>
      </c>
      <c r="G33" s="12">
        <f>IFERROR(VLOOKUP($E$33,FATORES!$B$47:$E$48,3),0)</f>
        <v>0</v>
      </c>
      <c r="H33" s="65">
        <f t="shared" si="9"/>
        <v>0</v>
      </c>
      <c r="I33" s="65">
        <f t="shared" si="8"/>
        <v>0</v>
      </c>
      <c r="J33" s="65">
        <f t="shared" si="10"/>
        <v>0</v>
      </c>
      <c r="K33" s="121">
        <f>SUMIFS(REALIZADO[META_ACESSORIO],REALIZADO[COORDENAÇÃO],$P$7)</f>
        <v>82600.000300000014</v>
      </c>
      <c r="L33" s="86">
        <f>SUMIFS(REALIZADO[AT_ACESSORIOS_A],REALIZADO[COORDENAÇÃO],$P$7)</f>
        <v>209</v>
      </c>
      <c r="M33" s="97">
        <f>IFERROR((L33+L34)/K33,0)</f>
        <v>0.19131961189593358</v>
      </c>
      <c r="N33" s="12">
        <f>IF($M$33&gt;=FATORES!$B$49,FATORES!$D$49,0)</f>
        <v>0</v>
      </c>
      <c r="O33" s="14">
        <f t="shared" si="12"/>
        <v>0</v>
      </c>
      <c r="P33" s="13">
        <f t="shared" si="13"/>
        <v>0</v>
      </c>
      <c r="Q33" s="15">
        <f>IF($E$8=2,P33*0.05,0)</f>
        <v>0</v>
      </c>
      <c r="R33" s="15">
        <f>IF($E$8=3,P33*0.15,0)</f>
        <v>0</v>
      </c>
      <c r="S33" s="99"/>
      <c r="T33" s="125"/>
      <c r="U33" s="125"/>
    </row>
    <row r="34" spans="2:21" x14ac:dyDescent="0.35">
      <c r="B34" s="47" t="s">
        <v>233</v>
      </c>
      <c r="C34" s="122"/>
      <c r="D34" s="87">
        <f>SUMIFS(REALIZADO[AT_ACESSORIOS_B],REALIZADO[PDV],GLORIA!$M$7)</f>
        <v>8013</v>
      </c>
      <c r="E34" s="123"/>
      <c r="F34" s="12">
        <f>VLOOKUP($E$33,FATORES!$B$44:$E$46,4)</f>
        <v>2.5000000000000001E-4</v>
      </c>
      <c r="G34" s="12">
        <f>IFERROR(VLOOKUP($E$33,FATORES!$B$47:$E$48,4),0)</f>
        <v>0</v>
      </c>
      <c r="H34" s="65">
        <f t="shared" si="9"/>
        <v>2.00325</v>
      </c>
      <c r="I34" s="65">
        <f t="shared" si="8"/>
        <v>0</v>
      </c>
      <c r="J34" s="65">
        <f t="shared" si="10"/>
        <v>2.00325</v>
      </c>
      <c r="K34" s="122"/>
      <c r="L34" s="87">
        <f>SUMIFS(REALIZADO[AT_ACESSORIOS_B],REALIZADO[COORDENAÇÃO],$P$7)</f>
        <v>15594</v>
      </c>
      <c r="M34" s="97"/>
      <c r="N34" s="12">
        <f>IF($M$33&gt;=FATORES!$B$49,FATORES!$E$49,0)</f>
        <v>0</v>
      </c>
      <c r="O34" s="14">
        <f t="shared" si="12"/>
        <v>0</v>
      </c>
      <c r="P34" s="13">
        <f t="shared" si="13"/>
        <v>2.00325</v>
      </c>
      <c r="Q34" s="15">
        <f>IF($E$8=2,P34*0.05,0)</f>
        <v>0</v>
      </c>
      <c r="R34" s="15">
        <f>IF($E$8=3,P34*0.15,0)</f>
        <v>0</v>
      </c>
      <c r="S34" s="99"/>
      <c r="T34" s="125"/>
      <c r="U34" s="125"/>
    </row>
    <row r="35" spans="2:21" x14ac:dyDescent="0.35">
      <c r="B35" s="46" t="s">
        <v>234</v>
      </c>
      <c r="C35" s="121">
        <f>SUMIFS(REALIZADO[META_ESSENCIAIS],REALIZADO[PDV],GLORIA!$M$7)</f>
        <v>9900</v>
      </c>
      <c r="D35" s="86">
        <f>SUMIFS(REALIZADO[AT_ESSENCIAIS_A],REALIZADO[PDV],GLORIA!$M$7)</f>
        <v>398.55</v>
      </c>
      <c r="E35" s="123">
        <f>IFERROR((D35+D36)/C35,0)</f>
        <v>9.5984848484848478E-2</v>
      </c>
      <c r="F35" s="12">
        <f>VLOOKUP($E$35,FATORES!$B$34:$E$36,3)</f>
        <v>5.0000000000000001E-4</v>
      </c>
      <c r="G35" s="12">
        <f>IFERROR(VLOOKUP($E$35,FATORES!$B$37:$E$38,3),0)</f>
        <v>0</v>
      </c>
      <c r="H35" s="65">
        <f t="shared" si="9"/>
        <v>0.19927500000000001</v>
      </c>
      <c r="I35" s="65">
        <f t="shared" si="8"/>
        <v>0</v>
      </c>
      <c r="J35" s="65">
        <f t="shared" si="10"/>
        <v>0.19927500000000001</v>
      </c>
      <c r="K35" s="121">
        <f>SUMIFS(REALIZADO[META_ESSENCIAIS],REALIZADO[COORDENAÇÃO],$P$7)</f>
        <v>41199.999999999993</v>
      </c>
      <c r="L35" s="86">
        <f>SUMIFS(REALIZADO[AT_ESSENCIAIS_A],REALIZADO[COORDENAÇÃO],$P$7)</f>
        <v>1616.6499999999999</v>
      </c>
      <c r="M35" s="97">
        <f>IFERROR((L35+L36)/K35,0)</f>
        <v>0.10509466019417477</v>
      </c>
      <c r="N35" s="12">
        <f>IF($M$35&gt;=FATORES!$B$39,FATORES!$D$39,0)</f>
        <v>0</v>
      </c>
      <c r="O35" s="14">
        <f t="shared" si="12"/>
        <v>0</v>
      </c>
      <c r="P35" s="13">
        <f t="shared" si="13"/>
        <v>0.19927500000000001</v>
      </c>
      <c r="Q35" s="15">
        <f>IF($F$8=2,P35*0.05,0)</f>
        <v>0</v>
      </c>
      <c r="R35" s="15">
        <f>IF($F$8=3,P35*0.15,0)</f>
        <v>0</v>
      </c>
      <c r="S35" s="99"/>
      <c r="T35" s="125"/>
      <c r="U35" s="125"/>
    </row>
    <row r="36" spans="2:21" x14ac:dyDescent="0.35">
      <c r="B36" s="46" t="s">
        <v>235</v>
      </c>
      <c r="C36" s="122"/>
      <c r="D36" s="87">
        <f>SUMIFS(REALIZADO[AT_ESSENCIAIS_B],REALIZADO[PDV],GLORIA!$M$7)</f>
        <v>551.70000000000005</v>
      </c>
      <c r="E36" s="123"/>
      <c r="F36" s="12">
        <f>VLOOKUP($E$35,FATORES!$B$34:$E$36,4)</f>
        <v>2.5000000000000001E-4</v>
      </c>
      <c r="G36" s="12">
        <f>IFERROR(VLOOKUP($E$35,FATORES!$B$37:$E$38,4),0)</f>
        <v>0</v>
      </c>
      <c r="H36" s="65">
        <f t="shared" si="9"/>
        <v>0.13792500000000002</v>
      </c>
      <c r="I36" s="65">
        <f t="shared" si="8"/>
        <v>0</v>
      </c>
      <c r="J36" s="65">
        <f t="shared" si="10"/>
        <v>0.13792500000000002</v>
      </c>
      <c r="K36" s="122"/>
      <c r="L36" s="87">
        <f>SUMIFS(REALIZADO[AT_ESSENCIAIS_B],REALIZADO[COORDENAÇÃO],$P$7)</f>
        <v>2713.25</v>
      </c>
      <c r="M36" s="97"/>
      <c r="N36" s="12">
        <f>IF($M$35&gt;=FATORES!$B$39,FATORES!$E$39,0)</f>
        <v>0</v>
      </c>
      <c r="O36" s="14">
        <f t="shared" si="12"/>
        <v>0</v>
      </c>
      <c r="P36" s="13">
        <f t="shared" si="13"/>
        <v>0.13792500000000002</v>
      </c>
      <c r="Q36" s="15">
        <f>IF($F$8=2,P36*0.05,0)</f>
        <v>0</v>
      </c>
      <c r="R36" s="15">
        <f>IF($F$8=3,P36*0.15,0)</f>
        <v>0</v>
      </c>
      <c r="S36" s="99"/>
      <c r="T36" s="125"/>
      <c r="U36" s="125"/>
    </row>
    <row r="37" spans="2:21" x14ac:dyDescent="0.35">
      <c r="B37" s="46" t="s">
        <v>212</v>
      </c>
      <c r="C37" s="57">
        <f>SUMIFS(REALIZADO[META_SEGUROS],REALIZADO[PDV],GLORIA!$M$7)</f>
        <v>1499.9997999999998</v>
      </c>
      <c r="D37" s="79">
        <f>SUMIFS(REALIZADO[AT_SEGUROS],REALIZADO[PDV],GLORIA!$M$7)</f>
        <v>85.6</v>
      </c>
      <c r="E37" s="83">
        <f>IFERROR(D37/C37,0)</f>
        <v>5.7066674275556575E-2</v>
      </c>
      <c r="F37" s="83">
        <f>VLOOKUP($E$37,FATORES!$O$32:$Q$34,3)</f>
        <v>5.0000000000000001E-3</v>
      </c>
      <c r="G37" s="12">
        <f>IFERROR(VLOOKUP($E$37,FATORES!$O$35:$Q$36,3),0)</f>
        <v>0</v>
      </c>
      <c r="H37" s="65">
        <f t="shared" si="9"/>
        <v>0.42799999999999999</v>
      </c>
      <c r="I37" s="65">
        <f t="shared" si="8"/>
        <v>0</v>
      </c>
      <c r="J37" s="65">
        <f t="shared" si="10"/>
        <v>0.42799999999999999</v>
      </c>
      <c r="K37" s="57">
        <f>SUMIFS(REALIZADO[META_SEGUROS],REALIZADO[COORDENAÇÃO],$P$7)</f>
        <v>5129.9997999999996</v>
      </c>
      <c r="L37" s="79">
        <f>SUMIFS(REALIZADO[AT_SEGUROS],REALIZADO[COORDENAÇÃO],$P$7)</f>
        <v>328.9</v>
      </c>
      <c r="M37" s="50">
        <f t="shared" ref="M37:M38" si="14">IFERROR(L37/K37,0)</f>
        <v>6.411306292838452E-2</v>
      </c>
      <c r="N37" s="12">
        <f>IF($M$37&gt;=FATORES!$O$37,FATORES!$Q$37,0)</f>
        <v>0</v>
      </c>
      <c r="O37" s="14">
        <f t="shared" si="12"/>
        <v>0</v>
      </c>
      <c r="P37" s="13">
        <f t="shared" si="13"/>
        <v>0.42799999999999999</v>
      </c>
      <c r="Q37" s="15">
        <f>IF($G$8=2,P37*0.05,0)</f>
        <v>0</v>
      </c>
      <c r="R37" s="15">
        <f>IF($G$8=3,P37*0.15,0)</f>
        <v>0</v>
      </c>
      <c r="S37" s="99"/>
      <c r="T37" s="125"/>
      <c r="U37" s="125"/>
    </row>
    <row r="38" spans="2:21" x14ac:dyDescent="0.35">
      <c r="B38" s="48" t="s">
        <v>14</v>
      </c>
      <c r="C38" s="76">
        <f>SUMIFS(REALIZADO[META_SVA],REALIZADO[PDV],GLORIA!$M$7)</f>
        <v>1000.0002999999999</v>
      </c>
      <c r="D38" s="77">
        <f>SUMIFS(REALIZADO[AT_SVA],REALIZADO[PDV],GLORIA!$M$7)</f>
        <v>264.89999999999998</v>
      </c>
      <c r="E38" s="82">
        <f>IFERROR(D38/C38,0)</f>
        <v>0.26489992053002381</v>
      </c>
      <c r="F38" s="16">
        <f>IF($E$38&gt;=0,FATORES!$Q$40)</f>
        <v>5.0000000000000001E-3</v>
      </c>
      <c r="G38" s="16">
        <f>IFERROR(VLOOKUP($E$38,FATORES!$O$43:$Q$44,3),0)</f>
        <v>0</v>
      </c>
      <c r="H38" s="17">
        <f t="shared" si="9"/>
        <v>1.3245</v>
      </c>
      <c r="I38" s="65">
        <f t="shared" si="8"/>
        <v>0</v>
      </c>
      <c r="J38" s="17">
        <f t="shared" si="10"/>
        <v>1.3245</v>
      </c>
      <c r="K38" s="76">
        <f>SUMIFS(REALIZADO[META_SVA],REALIZADO[COORDENAÇÃO],$P$7)</f>
        <v>4540.0006000000003</v>
      </c>
      <c r="L38" s="77">
        <f>SUMIFS(REALIZADO[AT_SVA],REALIZADO[COORDENAÇÃO],$P$7)</f>
        <v>882.62999999999988</v>
      </c>
      <c r="M38" s="51">
        <f t="shared" si="14"/>
        <v>0.19441186857992923</v>
      </c>
      <c r="N38" s="16">
        <f>IF($M$38&gt;=FATORES!$O$45,FATORES!$Q$45,0)</f>
        <v>0</v>
      </c>
      <c r="O38" s="14">
        <f t="shared" si="12"/>
        <v>0</v>
      </c>
      <c r="P38" s="18">
        <f t="shared" si="13"/>
        <v>1.3245</v>
      </c>
      <c r="Q38" s="19">
        <f>IF($H$8=2,P38*0.05,0)</f>
        <v>0</v>
      </c>
      <c r="R38" s="19">
        <f>IF($H$8=3,P38*0.15,0)</f>
        <v>0</v>
      </c>
      <c r="S38" s="100"/>
      <c r="T38" s="126"/>
      <c r="U38" s="126"/>
    </row>
    <row r="39" spans="2:21" x14ac:dyDescent="0.35">
      <c r="B39" s="66"/>
      <c r="C39" s="67"/>
      <c r="D39" s="67"/>
      <c r="E39" s="67"/>
      <c r="F39" s="67"/>
      <c r="G39" s="67"/>
      <c r="H39" s="67"/>
      <c r="I39" s="67"/>
      <c r="J39" s="68"/>
      <c r="K39" s="69"/>
      <c r="L39" s="67"/>
      <c r="M39" s="67"/>
      <c r="N39" s="67"/>
      <c r="O39" s="67"/>
      <c r="P39" s="70">
        <f>SUM(P30:P38)</f>
        <v>17.131899999999998</v>
      </c>
      <c r="Q39" s="70">
        <f t="shared" ref="Q39:R39" si="15">SUM(Q30:Q38)</f>
        <v>0</v>
      </c>
      <c r="R39" s="70">
        <f t="shared" si="15"/>
        <v>0</v>
      </c>
      <c r="S39" s="71" t="str">
        <f>IF($P$7="ARIEL",IF(MIN(E30,E32,E33,E34,E35,E37,E38)&gt;=100%,SUM(P39:R39)*S30,""),IF(MIN(E30:E38)&gt;=100%,SUM(P39:R39)*S30,""))</f>
        <v/>
      </c>
      <c r="T39" s="153"/>
      <c r="U39" s="153"/>
    </row>
    <row r="41" spans="2:21" ht="18.5" x14ac:dyDescent="0.35">
      <c r="B41" s="220" t="s">
        <v>239</v>
      </c>
      <c r="C41" s="221"/>
      <c r="D41" s="221"/>
      <c r="E41" s="221"/>
      <c r="F41" s="221"/>
      <c r="G41" s="221"/>
      <c r="H41" s="221"/>
      <c r="I41" s="221"/>
      <c r="J41" s="221"/>
      <c r="K41" s="221"/>
      <c r="L41" s="221"/>
      <c r="M41" s="221"/>
      <c r="N41" s="221"/>
      <c r="O41" s="221"/>
      <c r="P41" s="221"/>
      <c r="Q41" s="221"/>
      <c r="R41" s="221"/>
      <c r="S41" s="221"/>
      <c r="T41" s="221"/>
      <c r="U41" s="221"/>
    </row>
    <row r="42" spans="2:21" x14ac:dyDescent="0.35">
      <c r="B42" s="109" t="s">
        <v>9</v>
      </c>
      <c r="C42" s="110"/>
      <c r="D42" s="110"/>
      <c r="E42" s="110"/>
      <c r="F42" s="110"/>
      <c r="G42" s="110"/>
      <c r="H42" s="110"/>
      <c r="I42" s="110"/>
      <c r="J42" s="111"/>
      <c r="K42" s="112" t="s">
        <v>54</v>
      </c>
      <c r="L42" s="113"/>
      <c r="M42" s="113"/>
      <c r="N42" s="113"/>
      <c r="O42" s="113"/>
      <c r="P42" s="7"/>
      <c r="Q42" s="7"/>
      <c r="R42" s="7"/>
      <c r="S42" s="212"/>
      <c r="T42" s="213"/>
      <c r="U42" s="214"/>
    </row>
    <row r="43" spans="2:21" ht="14.5" customHeight="1" x14ac:dyDescent="0.35">
      <c r="B43" s="114" t="s">
        <v>214</v>
      </c>
      <c r="C43" s="116" t="s">
        <v>237</v>
      </c>
      <c r="D43" s="117"/>
      <c r="E43" s="104"/>
      <c r="F43" s="118" t="s">
        <v>216</v>
      </c>
      <c r="G43" s="118" t="s">
        <v>217</v>
      </c>
      <c r="H43" s="118" t="s">
        <v>218</v>
      </c>
      <c r="I43" s="118" t="s">
        <v>219</v>
      </c>
      <c r="J43" s="118" t="s">
        <v>220</v>
      </c>
      <c r="K43" s="104" t="s">
        <v>238</v>
      </c>
      <c r="L43" s="105"/>
      <c r="M43" s="105"/>
      <c r="N43" s="106" t="s">
        <v>222</v>
      </c>
      <c r="O43" s="106" t="s">
        <v>223</v>
      </c>
      <c r="P43" s="106" t="s">
        <v>224</v>
      </c>
      <c r="Q43" s="106" t="s">
        <v>225</v>
      </c>
      <c r="R43" s="106" t="s">
        <v>226</v>
      </c>
      <c r="S43" s="128" t="s">
        <v>227</v>
      </c>
      <c r="T43" s="226" t="s">
        <v>240</v>
      </c>
      <c r="U43" s="215" t="s">
        <v>241</v>
      </c>
    </row>
    <row r="44" spans="2:21" x14ac:dyDescent="0.35">
      <c r="B44" s="115"/>
      <c r="C44" s="94" t="s">
        <v>229</v>
      </c>
      <c r="D44" s="120" t="s">
        <v>230</v>
      </c>
      <c r="E44" s="120"/>
      <c r="F44" s="118"/>
      <c r="G44" s="118"/>
      <c r="H44" s="118"/>
      <c r="I44" s="118"/>
      <c r="J44" s="118"/>
      <c r="K44" s="52" t="s">
        <v>229</v>
      </c>
      <c r="L44" s="120" t="s">
        <v>230</v>
      </c>
      <c r="M44" s="120"/>
      <c r="N44" s="106"/>
      <c r="O44" s="106"/>
      <c r="P44" s="106"/>
      <c r="Q44" s="106"/>
      <c r="R44" s="106"/>
      <c r="S44" s="106"/>
      <c r="T44" s="227"/>
      <c r="U44" s="216"/>
    </row>
    <row r="45" spans="2:21" x14ac:dyDescent="0.35">
      <c r="B45" s="45" t="s">
        <v>2</v>
      </c>
      <c r="C45" s="53">
        <v>16300</v>
      </c>
      <c r="D45" s="54">
        <v>24500</v>
      </c>
      <c r="E45" s="49">
        <f>IFERROR(D45/C45,0)</f>
        <v>1.5030674846625767</v>
      </c>
      <c r="F45" s="8">
        <f>VLOOKUP($E$45,FATORES!$I$32:$K$34,3)</f>
        <v>0.04</v>
      </c>
      <c r="G45" s="8">
        <f>IFERROR(VLOOKUP(E45,FATORES!$I$35:$K$36,3),0)</f>
        <v>0.13</v>
      </c>
      <c r="H45" s="9">
        <f>D45*F45</f>
        <v>980</v>
      </c>
      <c r="I45" s="9">
        <f t="shared" ref="I45:I53" si="16">IF($P$7="ARIEL",
   IF(AND($E$45&gt;=69.5%, AND($E$47&gt;=69.5%, $E$48&gt;=69.5%, $E$48&gt;=69.5%, $E$50&gt;=69.5%, $E$50&gt;=69.5%, $E$52&gt;=69.5%, $E$53&gt;=69.5%)),
      D45*G45,
      0),
   IF(AND($E$45&gt;=69.5%, $E$46&gt;=69.5%, $E$47&gt;=69.5%, $E$48&gt;=69.5%, $E$48&gt;=69.5%, $E$50&gt;=69.5%, $E$50&gt;=69.5%, $E$52&gt;=69.5%, $E$53&gt;=69.5%),
      D45*G45,
      0)
)</f>
        <v>3185</v>
      </c>
      <c r="J45" s="9">
        <f>H45+I45</f>
        <v>4165</v>
      </c>
      <c r="K45" s="53">
        <f>SUMIFS(REALIZADO[META_MOVEL],REALIZADO[COORDENAÇÃO],$P$7)</f>
        <v>53549.999899999995</v>
      </c>
      <c r="L45" s="54"/>
      <c r="M45" s="49">
        <f>IFERROR(L45/K45,0)</f>
        <v>0</v>
      </c>
      <c r="N45" s="8">
        <f>IF($M$45&gt;=FATORES!$I$37,FATORES!$K$37,0)</f>
        <v>0</v>
      </c>
      <c r="O45" s="14">
        <f>IF(E45&gt;=100%,
IF($P$7="ARIEL",
   IF(AND($E$45&gt;=69.5%, AND($E$47&gt;=69.5%, $E$48&gt;=69.5%, $E$48&gt;=69.5%, $E$50&gt;=69.5%, $E$50&gt;=69.5%, $E$52&gt;=69.5%, $E$53&gt;=69.5%)),
      D45*N45,
      0),
   IF(AND($E$45&gt;=69.5%, $E$46&gt;=69.5%, $E$47&gt;=69.5%, $E$48&gt;=69.5%, $E$48&gt;=69.5%, $E$50&gt;=69.5%, $E$50&gt;=69.5%, $E$52&gt;=69.5%, $E$53&gt;=69.5%),
      D45*N45,
      0)
),0)</f>
        <v>0</v>
      </c>
      <c r="P45" s="10">
        <f>J45+O45</f>
        <v>4165</v>
      </c>
      <c r="Q45" s="11">
        <f>IF($B$8=2,P45*0.05,0)</f>
        <v>0</v>
      </c>
      <c r="R45" s="11">
        <f>IF($B$8=3,P45*0.15,0)</f>
        <v>0</v>
      </c>
      <c r="S45" s="98">
        <v>0.1</v>
      </c>
      <c r="T45" s="101">
        <f>SUM($P$54:$S$54)</f>
        <v>6172.9693335000002</v>
      </c>
      <c r="U45" s="101">
        <f>T45*0.75</f>
        <v>4629.7270001249999</v>
      </c>
    </row>
    <row r="46" spans="2:21" x14ac:dyDescent="0.35">
      <c r="B46" s="46" t="s">
        <v>13</v>
      </c>
      <c r="C46" s="55">
        <f>SUMIFS(REALIZADO[META_FIXA],REALIZADO[PDV],GLORIA!$M$7)</f>
        <v>9100.0000999999993</v>
      </c>
      <c r="D46" s="56">
        <v>10098</v>
      </c>
      <c r="E46" s="50">
        <f>IFERROR(D46/C46,0)</f>
        <v>1.1096703174761504</v>
      </c>
      <c r="F46" s="12">
        <f>VLOOKUP($E$46,FATORES!$I$40:$K$42,3)</f>
        <v>0.04</v>
      </c>
      <c r="G46" s="12">
        <f>IFERROR(VLOOKUP(E46,FATORES!$I$43:$K$44,3),0)</f>
        <v>0.1</v>
      </c>
      <c r="H46" s="65">
        <f t="shared" ref="H46:H53" si="17">D46*F46</f>
        <v>403.92</v>
      </c>
      <c r="I46" s="65">
        <f t="shared" si="16"/>
        <v>1009.8000000000001</v>
      </c>
      <c r="J46" s="65">
        <f t="shared" ref="J46:J53" si="18">H46+I46</f>
        <v>1413.72</v>
      </c>
      <c r="K46" s="55">
        <f>SUMIFS(REALIZADO[META_FIXA],REALIZADO[COORDENAÇÃO],$P$7)</f>
        <v>29649.999899999988</v>
      </c>
      <c r="L46" s="56"/>
      <c r="M46" s="50">
        <f t="shared" ref="M46:M53" si="19">IFERROR(L46/K46,0)</f>
        <v>0</v>
      </c>
      <c r="N46" s="12">
        <f>IF($M$46&gt;=FATORES!$I$45,FATORES!$K$45,0)</f>
        <v>0</v>
      </c>
      <c r="O46" s="14">
        <f t="shared" ref="O46:O53" si="20">IF(E46&gt;=100%,
IF($P$7="ARIEL",
   IF(AND($E$45&gt;=69.5%, AND($E$47&gt;=69.5%, $E$48&gt;=69.5%, $E$48&gt;=69.5%, $E$50&gt;=69.5%, $E$50&gt;=69.5%, $E$52&gt;=69.5%, $E$53&gt;=69.5%)),
      D46*N46,
      0),
   IF(AND($E$45&gt;=69.5%, $E$46&gt;=69.5%, $E$47&gt;=69.5%, $E$48&gt;=69.5%, $E$48&gt;=69.5%, $E$50&gt;=69.5%, $E$50&gt;=69.5%, $E$52&gt;=69.5%, $E$53&gt;=69.5%),
      D46*N46,
      0)
),0)</f>
        <v>0</v>
      </c>
      <c r="P46" s="13">
        <f t="shared" ref="P46:P53" si="21">J46+O46</f>
        <v>1413.72</v>
      </c>
      <c r="Q46" s="15">
        <f>IF($C$8=2,P46*0.05,0)</f>
        <v>0</v>
      </c>
      <c r="R46" s="15">
        <f>IF($C$8=3,P46*0.15,0)</f>
        <v>0</v>
      </c>
      <c r="S46" s="99"/>
      <c r="T46" s="102"/>
      <c r="U46" s="102"/>
    </row>
    <row r="47" spans="2:21" x14ac:dyDescent="0.35">
      <c r="B47" s="46" t="s">
        <v>231</v>
      </c>
      <c r="C47" s="55">
        <f>SUMIFS(REALIZADO[META_SMARTPHONE],REALIZADO[PDV],GLORIA!$M$7)</f>
        <v>200000</v>
      </c>
      <c r="D47" s="56">
        <v>192827</v>
      </c>
      <c r="E47" s="50">
        <f>IFERROR(D47/C47,0)</f>
        <v>0.96413499999999996</v>
      </c>
      <c r="F47" s="12">
        <f>VLOOKUP($E$47,FATORES!$B$53:$D$54,3)</f>
        <v>5.0000000000000001E-4</v>
      </c>
      <c r="G47" s="12">
        <f>IFERROR(VLOOKUP(E47,FATORES!$B$55:$D$55,3),0)</f>
        <v>0</v>
      </c>
      <c r="H47" s="65">
        <f t="shared" si="17"/>
        <v>96.413499999999999</v>
      </c>
      <c r="I47" s="65">
        <f t="shared" si="16"/>
        <v>0</v>
      </c>
      <c r="J47" s="65">
        <f t="shared" si="18"/>
        <v>96.413499999999999</v>
      </c>
      <c r="K47" s="55">
        <f>SUMIFS(REALIZADO[META_SMARTPHONE],REALIZADO[COORDENAÇÃO],$P$7)</f>
        <v>741500.00009999995</v>
      </c>
      <c r="L47" s="56"/>
      <c r="M47" s="50">
        <f t="shared" si="19"/>
        <v>0</v>
      </c>
      <c r="N47" s="12">
        <f>IF($M$47&gt;=FATORES!$B$56,FATORES!$D$56,0)</f>
        <v>0</v>
      </c>
      <c r="O47" s="14">
        <f t="shared" si="20"/>
        <v>0</v>
      </c>
      <c r="P47" s="13">
        <f t="shared" si="21"/>
        <v>96.413499999999999</v>
      </c>
      <c r="Q47" s="15">
        <f>IF($D$8=2,P47*0.05,0)</f>
        <v>0</v>
      </c>
      <c r="R47" s="15">
        <f>IF($D$8=3,P47*0.15,0)</f>
        <v>0</v>
      </c>
      <c r="S47" s="99"/>
      <c r="T47" s="102"/>
      <c r="U47" s="102"/>
    </row>
    <row r="48" spans="2:21" x14ac:dyDescent="0.35">
      <c r="B48" s="47" t="s">
        <v>232</v>
      </c>
      <c r="C48" s="96">
        <v>25000</v>
      </c>
      <c r="D48" s="56">
        <f>SUMIFS(PROJEÇÃO[PROJ_ELETRO_A],PROJEÇÃO[PDV],GLORIA!$M$7)</f>
        <v>5486.7777999999998</v>
      </c>
      <c r="E48" s="97">
        <f>IFERROR((D48+D49)/C48,0)</f>
        <v>1.2451511120000001</v>
      </c>
      <c r="F48" s="12">
        <f>VLOOKUP($E$48,FATORES!$B$44:$E$46,3)</f>
        <v>1.5E-3</v>
      </c>
      <c r="G48" s="12">
        <f>IFERROR(VLOOKUP(E48,FATORES!$B$47:$E$48,3),0)</f>
        <v>6.0000000000000001E-3</v>
      </c>
      <c r="H48" s="65">
        <f t="shared" si="17"/>
        <v>8.2301666999999998</v>
      </c>
      <c r="I48" s="65">
        <f t="shared" si="16"/>
        <v>32.920666799999999</v>
      </c>
      <c r="J48" s="65">
        <f t="shared" si="18"/>
        <v>41.150833499999997</v>
      </c>
      <c r="K48" s="96">
        <f>SUMIFS(REALIZADO[META_ACESSORIO],REALIZADO[COORDENAÇÃO],$P$7)</f>
        <v>82600.000300000014</v>
      </c>
      <c r="L48" s="56"/>
      <c r="M48" s="97">
        <f>IFERROR((L48+L49)/K48,0)</f>
        <v>0</v>
      </c>
      <c r="N48" s="12">
        <f>IF($M$48&gt;=FATORES!$B$49,FATORES!$D$49,0)</f>
        <v>0</v>
      </c>
      <c r="O48" s="14">
        <f t="shared" si="20"/>
        <v>0</v>
      </c>
      <c r="P48" s="13">
        <f t="shared" si="21"/>
        <v>41.150833499999997</v>
      </c>
      <c r="Q48" s="15">
        <f>IF($E$8=2,P48*0.05,0)</f>
        <v>0</v>
      </c>
      <c r="R48" s="15">
        <f>IF($E$8=3,P48*0.15,0)</f>
        <v>0</v>
      </c>
      <c r="S48" s="99"/>
      <c r="T48" s="102"/>
      <c r="U48" s="102"/>
    </row>
    <row r="49" spans="2:21" x14ac:dyDescent="0.35">
      <c r="B49" s="47" t="s">
        <v>233</v>
      </c>
      <c r="C49" s="96"/>
      <c r="D49" s="56">
        <v>25642</v>
      </c>
      <c r="E49" s="97"/>
      <c r="F49" s="12">
        <f>VLOOKUP($E$48,FATORES!$B$44:$E$46,4)</f>
        <v>7.5000000000000002E-4</v>
      </c>
      <c r="G49" s="12">
        <f>IFERROR(VLOOKUP(E48,FATORES!$B$47:$E$48,4),0)</f>
        <v>3.0000000000000001E-3</v>
      </c>
      <c r="H49" s="65">
        <f t="shared" si="17"/>
        <v>19.2315</v>
      </c>
      <c r="I49" s="65">
        <f t="shared" si="16"/>
        <v>76.926000000000002</v>
      </c>
      <c r="J49" s="65">
        <f t="shared" si="18"/>
        <v>96.157499999999999</v>
      </c>
      <c r="K49" s="96"/>
      <c r="L49" s="56"/>
      <c r="M49" s="97"/>
      <c r="N49" s="12">
        <f>IF($M$48&gt;=FATORES!$B$49,FATORES!$E$49,0)</f>
        <v>0</v>
      </c>
      <c r="O49" s="14">
        <f t="shared" si="20"/>
        <v>0</v>
      </c>
      <c r="P49" s="13">
        <f t="shared" si="21"/>
        <v>96.157499999999999</v>
      </c>
      <c r="Q49" s="15">
        <f>IF($E$8=2,P49*0.05,0)</f>
        <v>0</v>
      </c>
      <c r="R49" s="15">
        <f>IF($E$8=3,P49*0.15,0)</f>
        <v>0</v>
      </c>
      <c r="S49" s="99"/>
      <c r="T49" s="102"/>
      <c r="U49" s="102"/>
    </row>
    <row r="50" spans="2:21" x14ac:dyDescent="0.35">
      <c r="B50" s="46" t="s">
        <v>234</v>
      </c>
      <c r="C50" s="96">
        <v>8100</v>
      </c>
      <c r="D50" s="56"/>
      <c r="E50" s="97">
        <f>IFERROR((D50+D51)/C50,0)</f>
        <v>1.5024691358024691</v>
      </c>
      <c r="F50" s="12">
        <f>VLOOKUP($E$50,FATORES!$B$34:$E$36,3)</f>
        <v>1.5E-3</v>
      </c>
      <c r="G50" s="12">
        <f>IFERROR(VLOOKUP(E50,FATORES!$B$37:$E$38,3),0)</f>
        <v>2.5000000000000001E-2</v>
      </c>
      <c r="H50" s="65">
        <f t="shared" si="17"/>
        <v>0</v>
      </c>
      <c r="I50" s="65">
        <f t="shared" si="16"/>
        <v>0</v>
      </c>
      <c r="J50" s="65">
        <f t="shared" si="18"/>
        <v>0</v>
      </c>
      <c r="K50" s="96">
        <f>SUMIFS(REALIZADO[META_ESSENCIAIS],REALIZADO[COORDENAÇÃO],$P$7)</f>
        <v>41199.999999999993</v>
      </c>
      <c r="L50" s="56"/>
      <c r="M50" s="97">
        <f>IFERROR((L50+L51)/K50,0)</f>
        <v>0</v>
      </c>
      <c r="N50" s="12">
        <f>IF($M$50&gt;=FATORES!$B$39,FATORES!$D$39,0)</f>
        <v>0</v>
      </c>
      <c r="O50" s="14">
        <f t="shared" si="20"/>
        <v>0</v>
      </c>
      <c r="P50" s="13">
        <f t="shared" si="21"/>
        <v>0</v>
      </c>
      <c r="Q50" s="15">
        <f>IF($F$8=2,P50*0.05,0)</f>
        <v>0</v>
      </c>
      <c r="R50" s="15">
        <f>IF($F$8=3,P50*0.15,0)</f>
        <v>0</v>
      </c>
      <c r="S50" s="99"/>
      <c r="T50" s="102"/>
      <c r="U50" s="102"/>
    </row>
    <row r="51" spans="2:21" x14ac:dyDescent="0.35">
      <c r="B51" s="46" t="s">
        <v>235</v>
      </c>
      <c r="C51" s="96"/>
      <c r="D51" s="56">
        <v>12170</v>
      </c>
      <c r="E51" s="97"/>
      <c r="F51" s="12">
        <f>VLOOKUP($E$50,FATORES!$B$34:$E$36,4)</f>
        <v>7.5000000000000002E-4</v>
      </c>
      <c r="G51" s="12">
        <f>IFERROR(VLOOKUP(E50,FATORES!$B$37:$E$38,4),0)</f>
        <v>0.01</v>
      </c>
      <c r="H51" s="65">
        <f t="shared" si="17"/>
        <v>9.1274999999999995</v>
      </c>
      <c r="I51" s="65">
        <f t="shared" si="16"/>
        <v>121.7</v>
      </c>
      <c r="J51" s="65">
        <f t="shared" si="18"/>
        <v>130.82750000000001</v>
      </c>
      <c r="K51" s="96"/>
      <c r="L51" s="56"/>
      <c r="M51" s="97"/>
      <c r="N51" s="12">
        <f>IF($M$50&gt;=FATORES!$B$39,FATORES!$E$39,0)</f>
        <v>0</v>
      </c>
      <c r="O51" s="14">
        <f t="shared" si="20"/>
        <v>0</v>
      </c>
      <c r="P51" s="13">
        <f t="shared" si="21"/>
        <v>130.82750000000001</v>
      </c>
      <c r="Q51" s="15">
        <f>IF($F$8=2,P51*0.05,0)</f>
        <v>0</v>
      </c>
      <c r="R51" s="15">
        <f>IF($F$8=3,P51*0.15,0)</f>
        <v>0</v>
      </c>
      <c r="S51" s="99"/>
      <c r="T51" s="102"/>
      <c r="U51" s="102"/>
    </row>
    <row r="52" spans="2:21" x14ac:dyDescent="0.35">
      <c r="B52" s="46" t="s">
        <v>212</v>
      </c>
      <c r="C52" s="55">
        <v>1400</v>
      </c>
      <c r="D52" s="56">
        <v>1556</v>
      </c>
      <c r="E52" s="50">
        <f>IFERROR(D52/C52,0)</f>
        <v>1.1114285714285714</v>
      </c>
      <c r="F52" s="83">
        <f>VLOOKUP($E$52,FATORES!$O$32:$Q$34,3)</f>
        <v>0.04</v>
      </c>
      <c r="G52" s="12">
        <f>IFERROR(VLOOKUP(E52,FATORES!$O$35:$Q$36,3),0)</f>
        <v>0.1</v>
      </c>
      <c r="H52" s="65">
        <f t="shared" si="17"/>
        <v>62.24</v>
      </c>
      <c r="I52" s="65">
        <f t="shared" si="16"/>
        <v>155.60000000000002</v>
      </c>
      <c r="J52" s="65">
        <f t="shared" si="18"/>
        <v>217.84000000000003</v>
      </c>
      <c r="K52" s="55">
        <f>SUMIFS(REALIZADO[META_SEGUROS],REALIZADO[COORDENAÇÃO],$P$7)</f>
        <v>5129.9997999999996</v>
      </c>
      <c r="L52" s="56"/>
      <c r="M52" s="50">
        <f t="shared" si="19"/>
        <v>0</v>
      </c>
      <c r="N52" s="12">
        <f>IF($M$52&gt;=FATORES!$O$37,FATORES!$Q$37,0)</f>
        <v>0</v>
      </c>
      <c r="O52" s="14">
        <f t="shared" si="20"/>
        <v>0</v>
      </c>
      <c r="P52" s="13">
        <f t="shared" si="21"/>
        <v>217.84000000000003</v>
      </c>
      <c r="Q52" s="15">
        <f>IF($G$8=2,P52*0.05,0)</f>
        <v>0</v>
      </c>
      <c r="R52" s="15">
        <f>IF($G$8=3,P52*0.15,0)</f>
        <v>0</v>
      </c>
      <c r="S52" s="99"/>
      <c r="T52" s="102"/>
      <c r="U52" s="102"/>
    </row>
    <row r="53" spans="2:21" x14ac:dyDescent="0.35">
      <c r="B53" s="48" t="s">
        <v>14</v>
      </c>
      <c r="C53" s="57">
        <v>900</v>
      </c>
      <c r="D53" s="58">
        <v>1186</v>
      </c>
      <c r="E53" s="51">
        <f>IFERROR(D53/C53,0)</f>
        <v>1.3177777777777777</v>
      </c>
      <c r="F53" s="16">
        <f>IF($E$53&gt;=0,FATORES!$Q$40)</f>
        <v>5.0000000000000001E-3</v>
      </c>
      <c r="G53" s="16">
        <f>IFERROR(VLOOKUP(E53,FATORES!$O$43:$Q$44,3),0)</f>
        <v>5.0000000000000001E-3</v>
      </c>
      <c r="H53" s="17">
        <f t="shared" si="17"/>
        <v>5.93</v>
      </c>
      <c r="I53" s="65">
        <f t="shared" si="16"/>
        <v>5.93</v>
      </c>
      <c r="J53" s="17">
        <f t="shared" si="18"/>
        <v>11.86</v>
      </c>
      <c r="K53" s="57">
        <f>SUMIFS(REALIZADO[META_SVA],REALIZADO[COORDENAÇÃO],$P$7)</f>
        <v>4540.0006000000003</v>
      </c>
      <c r="L53" s="58"/>
      <c r="M53" s="51">
        <f t="shared" si="19"/>
        <v>0</v>
      </c>
      <c r="N53" s="16">
        <f>IF($M$53&gt;=FATORES!$O$45,FATORES!$Q$45,0)</f>
        <v>0</v>
      </c>
      <c r="O53" s="14">
        <f t="shared" si="20"/>
        <v>0</v>
      </c>
      <c r="P53" s="18">
        <f t="shared" si="21"/>
        <v>11.86</v>
      </c>
      <c r="Q53" s="19">
        <f>IF($H$8=2,P53*0.05,0)</f>
        <v>0</v>
      </c>
      <c r="R53" s="19">
        <f>IF($H$8=3,P53*0.15,0)</f>
        <v>0</v>
      </c>
      <c r="S53" s="100"/>
      <c r="T53" s="103"/>
      <c r="U53" s="103"/>
    </row>
    <row r="54" spans="2:21" x14ac:dyDescent="0.35">
      <c r="B54" s="66"/>
      <c r="C54" s="67"/>
      <c r="D54" s="67"/>
      <c r="E54" s="67"/>
      <c r="F54" s="67"/>
      <c r="G54" s="67"/>
      <c r="H54" s="67"/>
      <c r="I54" s="67"/>
      <c r="J54" s="68"/>
      <c r="K54" s="69"/>
      <c r="L54" s="67"/>
      <c r="M54" s="67"/>
      <c r="N54" s="67"/>
      <c r="O54" s="67"/>
      <c r="P54" s="70">
        <f>SUM(P45:P53)</f>
        <v>6172.9693335000002</v>
      </c>
      <c r="Q54" s="70">
        <f t="shared" ref="Q54:R54" si="22">SUM(Q45:Q53)</f>
        <v>0</v>
      </c>
      <c r="R54" s="70">
        <f t="shared" si="22"/>
        <v>0</v>
      </c>
      <c r="S54" s="71" t="str">
        <f>IF($P$7="ARIEL",IF(MIN(E45,E47,E48,E49,E50,E52,E53)&gt;=99.99%,SUM(P54:R54)*S45,""),IF(MIN(E45:E53)&gt;=99.99%,SUM(P54:R54)*S45,""))</f>
        <v/>
      </c>
      <c r="T54" s="153"/>
      <c r="U54" s="153"/>
    </row>
  </sheetData>
  <sheetProtection algorithmName="SHA-512" hashValue="xl5Gje+ZDV3Z1jxkbAx4Ilq7jvfD/28BnKsIgCn/ix9fhMfrcoxeHM8bIRUP5ONtpENQzrn/fwDGbTJxso9tMQ==" saltValue="p2J/QaAhYTea83KWSmV7UQ==" spinCount="100000" sheet="1" objects="1" scenarios="1"/>
  <protectedRanges>
    <protectedRange sqref="B8:H8 C45:D53 K45:L53" name="Intervalo1"/>
  </protectedRanges>
  <mergeCells count="104">
    <mergeCell ref="B13:B14"/>
    <mergeCell ref="C13:E13"/>
    <mergeCell ref="F13:F14"/>
    <mergeCell ref="G13:G14"/>
    <mergeCell ref="H13:H14"/>
    <mergeCell ref="I13:I14"/>
    <mergeCell ref="B6:H6"/>
    <mergeCell ref="M6:N6"/>
    <mergeCell ref="M7:N7"/>
    <mergeCell ref="B12:J12"/>
    <mergeCell ref="K18:K19"/>
    <mergeCell ref="M18:M19"/>
    <mergeCell ref="C20:C21"/>
    <mergeCell ref="E20:E21"/>
    <mergeCell ref="K20:K21"/>
    <mergeCell ref="M20:M21"/>
    <mergeCell ref="R13:R14"/>
    <mergeCell ref="S13:S14"/>
    <mergeCell ref="T13:T14"/>
    <mergeCell ref="D14:E14"/>
    <mergeCell ref="L14:M14"/>
    <mergeCell ref="S15:S23"/>
    <mergeCell ref="T15:T23"/>
    <mergeCell ref="J13:J14"/>
    <mergeCell ref="K13:M13"/>
    <mergeCell ref="N13:N14"/>
    <mergeCell ref="O13:O14"/>
    <mergeCell ref="P13:P14"/>
    <mergeCell ref="Q13:Q14"/>
    <mergeCell ref="B27:J27"/>
    <mergeCell ref="B28:B29"/>
    <mergeCell ref="C28:E28"/>
    <mergeCell ref="F28:F29"/>
    <mergeCell ref="G28:G29"/>
    <mergeCell ref="H28:H29"/>
    <mergeCell ref="I28:I29"/>
    <mergeCell ref="J28:J29"/>
    <mergeCell ref="C18:C19"/>
    <mergeCell ref="E18:E19"/>
    <mergeCell ref="M33:M34"/>
    <mergeCell ref="C35:C36"/>
    <mergeCell ref="E35:E36"/>
    <mergeCell ref="K35:K36"/>
    <mergeCell ref="M35:M36"/>
    <mergeCell ref="S28:S29"/>
    <mergeCell ref="T28:T29"/>
    <mergeCell ref="D29:E29"/>
    <mergeCell ref="L29:M29"/>
    <mergeCell ref="S30:S38"/>
    <mergeCell ref="T30:T38"/>
    <mergeCell ref="K28:M28"/>
    <mergeCell ref="N28:N29"/>
    <mergeCell ref="O28:O29"/>
    <mergeCell ref="P28:P29"/>
    <mergeCell ref="Q28:Q29"/>
    <mergeCell ref="R28:R29"/>
    <mergeCell ref="U13:U14"/>
    <mergeCell ref="B2:U4"/>
    <mergeCell ref="B11:U11"/>
    <mergeCell ref="K12:U12"/>
    <mergeCell ref="U15:U23"/>
    <mergeCell ref="T24:U24"/>
    <mergeCell ref="C48:C49"/>
    <mergeCell ref="E48:E49"/>
    <mergeCell ref="K48:K49"/>
    <mergeCell ref="M48:M49"/>
    <mergeCell ref="S43:S44"/>
    <mergeCell ref="T43:T44"/>
    <mergeCell ref="D44:E44"/>
    <mergeCell ref="L44:M44"/>
    <mergeCell ref="S45:S53"/>
    <mergeCell ref="T45:T53"/>
    <mergeCell ref="K43:M43"/>
    <mergeCell ref="N43:N44"/>
    <mergeCell ref="O43:O44"/>
    <mergeCell ref="P43:P44"/>
    <mergeCell ref="Q43:Q44"/>
    <mergeCell ref="R43:R44"/>
    <mergeCell ref="B42:J42"/>
    <mergeCell ref="K42:O42"/>
    <mergeCell ref="S42:U42"/>
    <mergeCell ref="U43:U44"/>
    <mergeCell ref="U45:U53"/>
    <mergeCell ref="T54:U54"/>
    <mergeCell ref="B26:U26"/>
    <mergeCell ref="K27:U27"/>
    <mergeCell ref="U28:U29"/>
    <mergeCell ref="U30:U38"/>
    <mergeCell ref="T39:U39"/>
    <mergeCell ref="B41:U41"/>
    <mergeCell ref="C50:C51"/>
    <mergeCell ref="E50:E51"/>
    <mergeCell ref="K50:K51"/>
    <mergeCell ref="M50:M51"/>
    <mergeCell ref="B43:B44"/>
    <mergeCell ref="C43:E43"/>
    <mergeCell ref="F43:F44"/>
    <mergeCell ref="G43:G44"/>
    <mergeCell ref="H43:H44"/>
    <mergeCell ref="I43:I44"/>
    <mergeCell ref="J43:J44"/>
    <mergeCell ref="C33:C34"/>
    <mergeCell ref="E33:E34"/>
    <mergeCell ref="K33:K34"/>
  </mergeCells>
  <conditionalFormatting sqref="E15:E18 E20 E22:E23">
    <cfRule type="cellIs" dxfId="414" priority="22" operator="between">
      <formula>0.7</formula>
      <formula>1</formula>
    </cfRule>
    <cfRule type="cellIs" dxfId="413" priority="23" operator="greaterThanOrEqual">
      <formula>1</formula>
    </cfRule>
    <cfRule type="cellIs" dxfId="412" priority="24" operator="lessThan">
      <formula>0.7</formula>
    </cfRule>
  </conditionalFormatting>
  <conditionalFormatting sqref="E30:E33 E35 E37:E38">
    <cfRule type="cellIs" dxfId="411" priority="10" operator="between">
      <formula>0.7</formula>
      <formula>1</formula>
    </cfRule>
    <cfRule type="cellIs" dxfId="410" priority="11" operator="greaterThanOrEqual">
      <formula>1</formula>
    </cfRule>
    <cfRule type="cellIs" dxfId="409" priority="12" operator="lessThan">
      <formula>0.7</formula>
    </cfRule>
  </conditionalFormatting>
  <conditionalFormatting sqref="E45:E48 E50 E52:E53">
    <cfRule type="cellIs" dxfId="408" priority="34" operator="between">
      <formula>0.7</formula>
      <formula>1</formula>
    </cfRule>
    <cfRule type="cellIs" dxfId="407" priority="35" operator="greaterThanOrEqual">
      <formula>1</formula>
    </cfRule>
    <cfRule type="cellIs" dxfId="406" priority="36" operator="lessThan">
      <formula>0.7</formula>
    </cfRule>
  </conditionalFormatting>
  <conditionalFormatting sqref="M15:M18">
    <cfRule type="cellIs" dxfId="405" priority="16" operator="between">
      <formula>0.7</formula>
      <formula>1</formula>
    </cfRule>
    <cfRule type="cellIs" dxfId="404" priority="17" operator="greaterThanOrEqual">
      <formula>1</formula>
    </cfRule>
    <cfRule type="cellIs" dxfId="403" priority="18" operator="lessThan">
      <formula>0.7</formula>
    </cfRule>
  </conditionalFormatting>
  <conditionalFormatting sqref="M20">
    <cfRule type="cellIs" dxfId="402" priority="13" operator="between">
      <formula>0.7</formula>
      <formula>1</formula>
    </cfRule>
    <cfRule type="cellIs" dxfId="401" priority="14" operator="greaterThanOrEqual">
      <formula>1</formula>
    </cfRule>
    <cfRule type="cellIs" dxfId="400" priority="15" operator="lessThan">
      <formula>0.7</formula>
    </cfRule>
  </conditionalFormatting>
  <conditionalFormatting sqref="M22:M23">
    <cfRule type="cellIs" dxfId="399" priority="19" operator="between">
      <formula>0.7</formula>
      <formula>1</formula>
    </cfRule>
    <cfRule type="cellIs" dxfId="398" priority="20" operator="greaterThanOrEqual">
      <formula>1</formula>
    </cfRule>
    <cfRule type="cellIs" dxfId="397" priority="21" operator="lessThan">
      <formula>0.7</formula>
    </cfRule>
  </conditionalFormatting>
  <conditionalFormatting sqref="M30:M33">
    <cfRule type="cellIs" dxfId="396" priority="4" operator="between">
      <formula>0.7</formula>
      <formula>1</formula>
    </cfRule>
    <cfRule type="cellIs" dxfId="395" priority="5" operator="greaterThanOrEqual">
      <formula>1</formula>
    </cfRule>
    <cfRule type="cellIs" dxfId="394" priority="6" operator="lessThan">
      <formula>0.7</formula>
    </cfRule>
  </conditionalFormatting>
  <conditionalFormatting sqref="M35">
    <cfRule type="cellIs" dxfId="393" priority="1" operator="between">
      <formula>0.7</formula>
      <formula>1</formula>
    </cfRule>
    <cfRule type="cellIs" dxfId="392" priority="2" operator="greaterThanOrEqual">
      <formula>1</formula>
    </cfRule>
    <cfRule type="cellIs" dxfId="391" priority="3" operator="lessThan">
      <formula>0.7</formula>
    </cfRule>
  </conditionalFormatting>
  <conditionalFormatting sqref="M37:M38">
    <cfRule type="cellIs" dxfId="390" priority="7" operator="between">
      <formula>0.7</formula>
      <formula>1</formula>
    </cfRule>
    <cfRule type="cellIs" dxfId="389" priority="8" operator="greaterThanOrEqual">
      <formula>1</formula>
    </cfRule>
    <cfRule type="cellIs" dxfId="388" priority="9" operator="lessThan">
      <formula>0.7</formula>
    </cfRule>
  </conditionalFormatting>
  <conditionalFormatting sqref="M45:M48">
    <cfRule type="cellIs" dxfId="387" priority="28" operator="between">
      <formula>0.7</formula>
      <formula>1</formula>
    </cfRule>
    <cfRule type="cellIs" dxfId="386" priority="29" operator="greaterThanOrEqual">
      <formula>1</formula>
    </cfRule>
    <cfRule type="cellIs" dxfId="385" priority="30" operator="lessThan">
      <formula>0.7</formula>
    </cfRule>
  </conditionalFormatting>
  <conditionalFormatting sqref="M50">
    <cfRule type="cellIs" dxfId="384" priority="25" operator="between">
      <formula>0.7</formula>
      <formula>1</formula>
    </cfRule>
    <cfRule type="cellIs" dxfId="383" priority="26" operator="greaterThanOrEqual">
      <formula>1</formula>
    </cfRule>
    <cfRule type="cellIs" dxfId="382" priority="27" operator="lessThan">
      <formula>0.7</formula>
    </cfRule>
  </conditionalFormatting>
  <conditionalFormatting sqref="M52:M53">
    <cfRule type="cellIs" dxfId="381" priority="31" operator="between">
      <formula>0.7</formula>
      <formula>1</formula>
    </cfRule>
    <cfRule type="cellIs" dxfId="380" priority="32" operator="greaterThanOrEqual">
      <formula>1</formula>
    </cfRule>
    <cfRule type="cellIs" dxfId="379" priority="33" operator="lessThan">
      <formula>0.7</formula>
    </cfRule>
  </conditionalFormatting>
  <dataValidations count="1">
    <dataValidation type="list" allowBlank="1" showInputMessage="1" showErrorMessage="1" sqref="B8:H8" xr:uid="{2C419F02-B064-4886-8A6D-FAA762D81207}">
      <formula1>$V$6:$X$6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12DD7-DCAD-4672-A692-939A17D3C845}">
  <dimension ref="B1:X54"/>
  <sheetViews>
    <sheetView showGridLines="0" topLeftCell="E1" zoomScale="70" zoomScaleNormal="70" workbookViewId="0">
      <selection activeCell="N47" sqref="N47"/>
    </sheetView>
  </sheetViews>
  <sheetFormatPr defaultRowHeight="14.5" x14ac:dyDescent="0.35"/>
  <cols>
    <col min="1" max="1" width="2.1796875" customWidth="1"/>
    <col min="2" max="2" width="16.453125" customWidth="1"/>
    <col min="3" max="3" width="15" bestFit="1" customWidth="1"/>
    <col min="4" max="4" width="14.54296875" customWidth="1"/>
    <col min="5" max="5" width="13.453125" bestFit="1" customWidth="1"/>
    <col min="6" max="6" width="14" customWidth="1"/>
    <col min="7" max="7" width="18.7265625" customWidth="1"/>
    <col min="8" max="8" width="15" customWidth="1"/>
    <col min="9" max="9" width="20" customWidth="1"/>
    <col min="10" max="10" width="21.1796875" customWidth="1"/>
    <col min="11" max="12" width="16.453125" customWidth="1"/>
    <col min="13" max="13" width="9.7265625" customWidth="1"/>
    <col min="14" max="14" width="20.54296875" customWidth="1"/>
    <col min="15" max="15" width="21" customWidth="1"/>
    <col min="16" max="16" width="15.26953125" customWidth="1"/>
    <col min="17" max="17" width="13" bestFit="1" customWidth="1"/>
    <col min="18" max="18" width="10.453125" bestFit="1" customWidth="1"/>
    <col min="19" max="19" width="12.7265625" bestFit="1" customWidth="1"/>
    <col min="20" max="20" width="14.453125" customWidth="1"/>
    <col min="21" max="21" width="14.7265625" customWidth="1"/>
  </cols>
  <sheetData>
    <row r="1" spans="2:24" x14ac:dyDescent="0.35">
      <c r="B1" s="59"/>
    </row>
    <row r="2" spans="2:24" ht="14.5" customHeight="1" x14ac:dyDescent="0.35">
      <c r="B2" s="146" t="s">
        <v>207</v>
      </c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</row>
    <row r="3" spans="2:24" ht="14.5" customHeight="1" x14ac:dyDescent="0.35">
      <c r="B3" s="146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7"/>
    </row>
    <row r="4" spans="2:24" ht="14.5" customHeight="1" x14ac:dyDescent="0.35">
      <c r="B4" s="146"/>
      <c r="C4" s="147"/>
      <c r="D4" s="147"/>
      <c r="E4" s="147"/>
      <c r="F4" s="147"/>
      <c r="G4" s="147"/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7"/>
      <c r="U4" s="147"/>
    </row>
    <row r="5" spans="2:24" x14ac:dyDescent="0.35">
      <c r="B5" s="60"/>
    </row>
    <row r="6" spans="2:24" ht="14.5" customHeight="1" x14ac:dyDescent="0.35">
      <c r="B6" s="152" t="s">
        <v>208</v>
      </c>
      <c r="C6" s="153"/>
      <c r="D6" s="153"/>
      <c r="E6" s="153"/>
      <c r="F6" s="153"/>
      <c r="G6" s="153"/>
      <c r="H6" s="154"/>
      <c r="M6" s="155" t="s">
        <v>54</v>
      </c>
      <c r="N6" s="156"/>
      <c r="P6" s="74" t="s">
        <v>23</v>
      </c>
      <c r="V6" s="1">
        <v>0</v>
      </c>
      <c r="W6" s="1">
        <v>2</v>
      </c>
      <c r="X6" s="1">
        <v>3</v>
      </c>
    </row>
    <row r="7" spans="2:24" ht="14.5" customHeight="1" x14ac:dyDescent="0.35">
      <c r="B7" s="62" t="s">
        <v>209</v>
      </c>
      <c r="C7" s="2" t="s">
        <v>13</v>
      </c>
      <c r="D7" s="2" t="s">
        <v>210</v>
      </c>
      <c r="E7" s="2" t="s">
        <v>16</v>
      </c>
      <c r="F7" s="2" t="s">
        <v>211</v>
      </c>
      <c r="G7" s="2" t="s">
        <v>212</v>
      </c>
      <c r="H7" s="3" t="s">
        <v>14</v>
      </c>
      <c r="M7" s="157" t="s">
        <v>41</v>
      </c>
      <c r="N7" s="158"/>
      <c r="P7" s="75" t="s">
        <v>201</v>
      </c>
    </row>
    <row r="8" spans="2:24" ht="14.5" customHeight="1" x14ac:dyDescent="0.35">
      <c r="B8" s="63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5">
        <v>0</v>
      </c>
    </row>
    <row r="9" spans="2:24" x14ac:dyDescent="0.35">
      <c r="B9" s="84"/>
      <c r="C9" s="85"/>
      <c r="D9" s="85"/>
      <c r="E9" s="85"/>
      <c r="F9" s="85"/>
      <c r="G9" s="85"/>
      <c r="H9" s="85"/>
    </row>
    <row r="10" spans="2:24" x14ac:dyDescent="0.35">
      <c r="B10" s="80"/>
      <c r="C10" s="6"/>
      <c r="D10" s="6"/>
      <c r="E10" s="6"/>
      <c r="F10" s="6"/>
      <c r="G10" s="6"/>
      <c r="H10" s="6"/>
    </row>
    <row r="11" spans="2:24" ht="18.5" x14ac:dyDescent="0.35">
      <c r="B11" s="222" t="s">
        <v>213</v>
      </c>
      <c r="C11" s="223"/>
      <c r="D11" s="223"/>
      <c r="E11" s="223"/>
      <c r="F11" s="223"/>
      <c r="G11" s="223"/>
      <c r="H11" s="223"/>
      <c r="I11" s="223"/>
      <c r="J11" s="223"/>
      <c r="K11" s="223"/>
      <c r="L11" s="223"/>
      <c r="M11" s="223"/>
      <c r="N11" s="223"/>
      <c r="O11" s="223"/>
      <c r="P11" s="223"/>
      <c r="Q11" s="223"/>
      <c r="R11" s="223"/>
      <c r="S11" s="223"/>
      <c r="T11" s="223"/>
      <c r="U11" s="224"/>
    </row>
    <row r="12" spans="2:24" x14ac:dyDescent="0.35">
      <c r="B12" s="232" t="s">
        <v>9</v>
      </c>
      <c r="C12" s="233"/>
      <c r="D12" s="233"/>
      <c r="E12" s="233"/>
      <c r="F12" s="233"/>
      <c r="G12" s="233"/>
      <c r="H12" s="233"/>
      <c r="I12" s="233"/>
      <c r="J12" s="234"/>
      <c r="K12" s="225" t="s">
        <v>54</v>
      </c>
      <c r="L12" s="156"/>
      <c r="M12" s="156"/>
      <c r="N12" s="156"/>
      <c r="O12" s="156"/>
      <c r="P12" s="156"/>
      <c r="Q12" s="156"/>
      <c r="R12" s="156"/>
      <c r="S12" s="156"/>
      <c r="T12" s="156"/>
      <c r="U12" s="156"/>
    </row>
    <row r="13" spans="2:24" ht="14.5" customHeight="1" x14ac:dyDescent="0.35">
      <c r="B13" s="115" t="s">
        <v>214</v>
      </c>
      <c r="C13" s="116" t="s">
        <v>215</v>
      </c>
      <c r="D13" s="117"/>
      <c r="E13" s="104"/>
      <c r="F13" s="135" t="s">
        <v>216</v>
      </c>
      <c r="G13" s="135" t="s">
        <v>217</v>
      </c>
      <c r="H13" s="135" t="s">
        <v>218</v>
      </c>
      <c r="I13" s="135" t="s">
        <v>219</v>
      </c>
      <c r="J13" s="135" t="s">
        <v>220</v>
      </c>
      <c r="K13" s="116" t="s">
        <v>221</v>
      </c>
      <c r="L13" s="117"/>
      <c r="M13" s="104"/>
      <c r="N13" s="127" t="s">
        <v>222</v>
      </c>
      <c r="O13" s="127" t="s">
        <v>223</v>
      </c>
      <c r="P13" s="127" t="s">
        <v>224</v>
      </c>
      <c r="Q13" s="127" t="s">
        <v>225</v>
      </c>
      <c r="R13" s="127" t="s">
        <v>226</v>
      </c>
      <c r="S13" s="127" t="s">
        <v>227</v>
      </c>
      <c r="T13" s="226" t="s">
        <v>240</v>
      </c>
      <c r="U13" s="239" t="s">
        <v>241</v>
      </c>
    </row>
    <row r="14" spans="2:24" x14ac:dyDescent="0.35">
      <c r="B14" s="134"/>
      <c r="C14" s="94" t="s">
        <v>229</v>
      </c>
      <c r="D14" s="139" t="s">
        <v>230</v>
      </c>
      <c r="E14" s="140"/>
      <c r="F14" s="136"/>
      <c r="G14" s="136"/>
      <c r="H14" s="136"/>
      <c r="I14" s="136"/>
      <c r="J14" s="136"/>
      <c r="K14" s="52" t="s">
        <v>229</v>
      </c>
      <c r="L14" s="139" t="s">
        <v>230</v>
      </c>
      <c r="M14" s="140"/>
      <c r="N14" s="128"/>
      <c r="O14" s="128"/>
      <c r="P14" s="128"/>
      <c r="Q14" s="128"/>
      <c r="R14" s="128"/>
      <c r="S14" s="128"/>
      <c r="T14" s="227"/>
      <c r="U14" s="216"/>
    </row>
    <row r="15" spans="2:24" x14ac:dyDescent="0.35">
      <c r="B15" s="45" t="s">
        <v>2</v>
      </c>
      <c r="C15" s="76">
        <f>SUMIFS(REALIZADO[META_MOVEL],REALIZADO[PDV],MASTERPLACE!$M$7)</f>
        <v>14950</v>
      </c>
      <c r="D15" s="77">
        <f>SUMIFS(PROJEÇÃO[PROJ_MOVEL],PROJEÇÃO[PDV],MASTERPLACE!$M$7)</f>
        <v>15624.269900000001</v>
      </c>
      <c r="E15" s="49">
        <f>IFERROR(D15/C15,0)</f>
        <v>1.0451016655518395</v>
      </c>
      <c r="F15" s="8">
        <f>VLOOKUP($E$15,FATORES!$I$32:$K$34,3)</f>
        <v>0.04</v>
      </c>
      <c r="G15" s="8">
        <f>IFERROR(VLOOKUP($E$15,FATORES!$I$35:$K$36,3),0)</f>
        <v>0.08</v>
      </c>
      <c r="H15" s="9">
        <f>D15*F15</f>
        <v>624.97079600000006</v>
      </c>
      <c r="I15" s="9">
        <f t="shared" ref="I15:I23" si="0">IF($P$7="ARIEL",
   IF(AND($E$15&gt;=69.5%, AND($E$17&gt;=69.5%, $E$18&gt;=69.5%, $E$18&gt;=69.5%, $E$20&gt;=69.5%, $E$20&gt;=69.5%, $E$22&gt;=69.5%, $E$23&gt;=69.5%)),
      D15*G15,
      0),
   IF(AND($E$15&gt;=69.5%, $E$16&gt;=69.5%, $E$17&gt;=69.5%, $E$18&gt;=69.5%, $E$18&gt;=69.5%, $E$20&gt;=69.5%, $E$20&gt;=69.5%, $E$22&gt;=69.5%, $E$23&gt;=69.5%),
      D15*G15,
      0)
)</f>
        <v>0</v>
      </c>
      <c r="J15" s="9">
        <f>H15+I15</f>
        <v>624.97079600000006</v>
      </c>
      <c r="K15" s="76">
        <f>SUMIFS(REALIZADO[META_MOVEL],REALIZADO[COORDENAÇÃO],$P$7)</f>
        <v>53549.999899999995</v>
      </c>
      <c r="L15" s="77">
        <f>SUMIFS(PROJEÇÃO[PROJ_MOVEL],PROJEÇÃO[COORDENAÇÃO],$P$7)</f>
        <v>47019.827700000002</v>
      </c>
      <c r="M15" s="49">
        <f>IFERROR(L15/K15,0)</f>
        <v>0.87805467390859893</v>
      </c>
      <c r="N15" s="8">
        <f>IF($M$15&gt;=FATORES!$I$37,FATORES!$K$37,0)</f>
        <v>0</v>
      </c>
      <c r="O15" s="14">
        <f>IF(E15&gt;=100%,
   IF($P$7="ARIEL",
      IF(AND($E$15&gt;=69.5%,$E$17&gt;=69.5%,$E$18&gt;=69.5%,$E$20&gt;=69.5%,$E$22&gt;=69.5%,$E$23&gt;=69.5%),
         D15*N15,
         0
      ),
      IF(AND($E$15&gt;=69.5%,$E$16&gt;=69.5%,$E$17&gt;=69.5%,$E$18&gt;=69.5%,$E$20&gt;=69.5%,$E$22&gt;=69.5%,$E$23&gt;=69.5%),
         D15*N15,
         0
      )
   ),
0)</f>
        <v>0</v>
      </c>
      <c r="P15" s="10">
        <f>J15+O15</f>
        <v>624.97079600000006</v>
      </c>
      <c r="Q15" s="11">
        <f>IF($B$8=2,P15*0.05,0)</f>
        <v>0</v>
      </c>
      <c r="R15" s="11">
        <f>IF($B$8=3,P15*0.15,0)</f>
        <v>0</v>
      </c>
      <c r="S15" s="98">
        <v>0.1</v>
      </c>
      <c r="T15" s="124">
        <f>SUM(P24:S24)</f>
        <v>1066.8266153100001</v>
      </c>
      <c r="U15" s="124">
        <f>T15*0.75</f>
        <v>800.1199614825</v>
      </c>
    </row>
    <row r="16" spans="2:24" x14ac:dyDescent="0.35">
      <c r="B16" s="46" t="s">
        <v>13</v>
      </c>
      <c r="C16" s="76">
        <f>SUMIFS(REALIZADO[META_FIXA],REALIZADO[PDV],MASTERPLACE!$M$7)</f>
        <v>8299.9998000000014</v>
      </c>
      <c r="D16" s="77">
        <f>SUMIFS(PROJEÇÃO[PROJ_FIXA],PROJEÇÃO[PDV],MASTERPLACE!$M$7)</f>
        <v>9119.9789000000001</v>
      </c>
      <c r="E16" s="50">
        <f>IFERROR(D16/C16,0)</f>
        <v>1.0987926650311484</v>
      </c>
      <c r="F16" s="12">
        <f>VLOOKUP($E$16,FATORES!$I$40:$K$42,3)</f>
        <v>0.04</v>
      </c>
      <c r="G16" s="12">
        <f>IFERROR(VLOOKUP($E$16,FATORES!$I$43:$K$44,3),0)</f>
        <v>0.1</v>
      </c>
      <c r="H16" s="65">
        <f t="shared" ref="H16:H23" si="1">D16*F16</f>
        <v>364.79915599999998</v>
      </c>
      <c r="I16" s="65">
        <f t="shared" si="0"/>
        <v>0</v>
      </c>
      <c r="J16" s="65">
        <f t="shared" ref="J16:J23" si="2">H16+I16</f>
        <v>364.79915599999998</v>
      </c>
      <c r="K16" s="76">
        <f>SUMIFS(REALIZADO[META_FIXA],REALIZADO[COORDENAÇÃO],$P$7)</f>
        <v>29649.999899999988</v>
      </c>
      <c r="L16" s="77">
        <f>SUMIFS(PROJEÇÃO[PROJ_FIXA],PROJEÇÃO[COORDENAÇÃO],$P$7)</f>
        <v>28246.582000000002</v>
      </c>
      <c r="M16" s="50">
        <f t="shared" ref="M16:M17" si="3">IFERROR(L16/K16,0)</f>
        <v>0.95266718702417308</v>
      </c>
      <c r="N16" s="12">
        <f>IF($M$16&gt;=FATORES!$I$45,FATORES!$K$45,0)</f>
        <v>0</v>
      </c>
      <c r="O16" s="14">
        <f t="shared" ref="O16:O23" si="4">IF(E16&gt;=100%,
   IF($P$7="ARIEL",
      IF(AND($E$15&gt;=69.5%,$E$17&gt;=69.5%,$E$18&gt;=69.5%,$E$20&gt;=69.5%,$E$22&gt;=69.5%,$E$23&gt;=69.5%),
         D16*N16,
         0
      ),
      IF(AND($E$15&gt;=69.5%,$E$16&gt;=69.5%,$E$17&gt;=69.5%,$E$18&gt;=69.5%,$E$20&gt;=69.5%,$E$22&gt;=69.5%,$E$23&gt;=69.5%),
         D16*N16,
         0
      )
   ),
0)</f>
        <v>0</v>
      </c>
      <c r="P16" s="13">
        <f t="shared" ref="P16:P23" si="5">J16+O16</f>
        <v>364.79915599999998</v>
      </c>
      <c r="Q16" s="15">
        <f>IF($C$8=2,P16*0.05,0)</f>
        <v>0</v>
      </c>
      <c r="R16" s="15">
        <f>IF($C$8=3,P16*0.15,0)</f>
        <v>0</v>
      </c>
      <c r="S16" s="99"/>
      <c r="T16" s="125"/>
      <c r="U16" s="125"/>
    </row>
    <row r="17" spans="2:21" x14ac:dyDescent="0.35">
      <c r="B17" s="46" t="s">
        <v>231</v>
      </c>
      <c r="C17" s="53">
        <f>SUMIFS(REALIZADO[META_SMARTPHONE],REALIZADO[PDV],MASTERPLACE!$M$7)</f>
        <v>265000.00020000001</v>
      </c>
      <c r="D17" s="78">
        <f>SUMIFS(PROJEÇÃO[PROJ_APARELHO],PROJEÇÃO[PDV],MASTERPLACE!$M$7)</f>
        <v>144501.3333</v>
      </c>
      <c r="E17" s="50">
        <f>IFERROR(D17/C17,0)</f>
        <v>0.54528804977714107</v>
      </c>
      <c r="F17" s="12">
        <f>VLOOKUP($E$17,FATORES!$B$53:$D$54,3)</f>
        <v>2.0000000000000001E-4</v>
      </c>
      <c r="G17" s="12">
        <f>IFERROR(VLOOKUP($E$17,FATORES!$B$55:$D$55,3),0)</f>
        <v>0</v>
      </c>
      <c r="H17" s="65">
        <f t="shared" si="1"/>
        <v>28.90026666</v>
      </c>
      <c r="I17" s="65">
        <f t="shared" si="0"/>
        <v>0</v>
      </c>
      <c r="J17" s="65">
        <f t="shared" si="2"/>
        <v>28.90026666</v>
      </c>
      <c r="K17" s="53">
        <f>SUMIFS(REALIZADO[META_SMARTPHONE],REALIZADO[COORDENAÇÃO],$P$7)</f>
        <v>741500.00009999995</v>
      </c>
      <c r="L17" s="78">
        <f>SUMIFS(PROJEÇÃO[PROJ_APARELHO],PROJEÇÃO[COORDENAÇÃO],$P$7)</f>
        <v>560223.55000000005</v>
      </c>
      <c r="M17" s="50">
        <f t="shared" si="3"/>
        <v>0.75552737683674631</v>
      </c>
      <c r="N17" s="12">
        <f>IF($M$17&gt;=FATORES!$B$56,FATORES!$D$56,0)</f>
        <v>0</v>
      </c>
      <c r="O17" s="14">
        <f t="shared" si="4"/>
        <v>0</v>
      </c>
      <c r="P17" s="13">
        <f t="shared" si="5"/>
        <v>28.90026666</v>
      </c>
      <c r="Q17" s="15">
        <f>IF($D$8=2,P17*0.05,0)</f>
        <v>0</v>
      </c>
      <c r="R17" s="15">
        <f>IF($D$8=3,P17*0.15,0)</f>
        <v>0</v>
      </c>
      <c r="S17" s="99"/>
      <c r="T17" s="125"/>
      <c r="U17" s="125"/>
    </row>
    <row r="18" spans="2:21" x14ac:dyDescent="0.35">
      <c r="B18" s="47" t="s">
        <v>232</v>
      </c>
      <c r="C18" s="121">
        <f>SUMIFS(REALIZADO[META_ACESSORIO],REALIZADO[PDV],MASTERPLACE!$M$7)</f>
        <v>23500.000200000002</v>
      </c>
      <c r="D18" s="86">
        <f>SUMIFS(PROJEÇÃO[PROJ_ELETRO_A],PROJEÇÃO[PDV],MASTERPLACE!$M$7)</f>
        <v>377.88889999999998</v>
      </c>
      <c r="E18" s="123">
        <f>IFERROR((D18+D19)/C18,0)</f>
        <v>1.9336879239686131</v>
      </c>
      <c r="F18" s="12">
        <f>VLOOKUP($E$18,FATORES!$B$44:$E$46,3)</f>
        <v>1.5E-3</v>
      </c>
      <c r="G18" s="12">
        <f>IFERROR(VLOOKUP($E$18,FATORES!$B$47:$E$48,3),0)</f>
        <v>7.0000000000000001E-3</v>
      </c>
      <c r="H18" s="65">
        <f t="shared" si="1"/>
        <v>0.56683335000000001</v>
      </c>
      <c r="I18" s="65">
        <f t="shared" si="0"/>
        <v>0</v>
      </c>
      <c r="J18" s="65">
        <f t="shared" si="2"/>
        <v>0.56683335000000001</v>
      </c>
      <c r="K18" s="121">
        <f>SUMIFS(REALIZADO[META_ACESSORIO],REALIZADO[COORDENAÇÃO],$P$7)</f>
        <v>82600.000300000014</v>
      </c>
      <c r="L18" s="86">
        <f>SUMIFS(PROJEÇÃO[PROJ_ELETRO_A],PROJEÇÃO[COORDENAÇÃO],$P$7)</f>
        <v>6890.6666999999998</v>
      </c>
      <c r="M18" s="97">
        <f>IFERROR((L18+L19)/K18,0)</f>
        <v>1.2683688416403067</v>
      </c>
      <c r="N18" s="12">
        <f>IF($M$18&gt;=FATORES!$B$49,FATORES!$D$49,0)</f>
        <v>2.5000000000000001E-3</v>
      </c>
      <c r="O18" s="14">
        <f t="shared" si="4"/>
        <v>0</v>
      </c>
      <c r="P18" s="13">
        <f t="shared" si="5"/>
        <v>0.56683335000000001</v>
      </c>
      <c r="Q18" s="15">
        <f>IF($E$8=2,P18*0.05,0)</f>
        <v>0</v>
      </c>
      <c r="R18" s="15">
        <f>IF($E$8=3,P18*0.15,0)</f>
        <v>0</v>
      </c>
      <c r="S18" s="99"/>
      <c r="T18" s="125"/>
      <c r="U18" s="125"/>
    </row>
    <row r="19" spans="2:21" x14ac:dyDescent="0.35">
      <c r="B19" s="47" t="s">
        <v>233</v>
      </c>
      <c r="C19" s="122"/>
      <c r="D19" s="87">
        <f>SUMIFS(PROJEÇÃO[PROJ_ELETRO_B],PROJEÇÃO[PDV],MASTERPLACE!$M$7)</f>
        <v>45063.777699999999</v>
      </c>
      <c r="E19" s="123"/>
      <c r="F19" s="12">
        <f>VLOOKUP($E$18,FATORES!$B$44:$E$46,4)</f>
        <v>7.5000000000000002E-4</v>
      </c>
      <c r="G19" s="12">
        <f>IFERROR(VLOOKUP($E$18,FATORES!$B$47:$E$48,4),0)</f>
        <v>3.5000000000000001E-3</v>
      </c>
      <c r="H19" s="65">
        <f t="shared" si="1"/>
        <v>33.797833275000002</v>
      </c>
      <c r="I19" s="65">
        <f t="shared" si="0"/>
        <v>0</v>
      </c>
      <c r="J19" s="65">
        <f t="shared" si="2"/>
        <v>33.797833275000002</v>
      </c>
      <c r="K19" s="122"/>
      <c r="L19" s="87">
        <f>SUMIFS(PROJEÇÃO[PROJ_ELETRO_B],PROJEÇÃO[COORDENAÇÃO],$P$7)</f>
        <v>97876.6</v>
      </c>
      <c r="M19" s="97"/>
      <c r="N19" s="12">
        <f>IF($M$18&gt;=FATORES!$B$49,FATORES!$E$49,0)</f>
        <v>1.25E-3</v>
      </c>
      <c r="O19" s="14">
        <f t="shared" si="4"/>
        <v>0</v>
      </c>
      <c r="P19" s="13">
        <f t="shared" si="5"/>
        <v>33.797833275000002</v>
      </c>
      <c r="Q19" s="15">
        <f>IF($E$8=2,P19*0.05,0)</f>
        <v>0</v>
      </c>
      <c r="R19" s="15">
        <f>IF($E$8=3,P19*0.15,0)</f>
        <v>0</v>
      </c>
      <c r="S19" s="99"/>
      <c r="T19" s="125"/>
      <c r="U19" s="125"/>
    </row>
    <row r="20" spans="2:21" x14ac:dyDescent="0.35">
      <c r="B20" s="46" t="s">
        <v>234</v>
      </c>
      <c r="C20" s="121">
        <f>SUMIFS(REALIZADO[META_ESSENCIAIS],REALIZADO[PDV],MASTERPLACE!$M$7)</f>
        <v>12299.999999999998</v>
      </c>
      <c r="D20" s="86">
        <f>SUMIFS(PROJEÇÃO[PROJ_ESSEN_A],PROJEÇÃO[PDV],MASTERPLACE!$M$7)</f>
        <v>3100.2722000000003</v>
      </c>
      <c r="E20" s="123">
        <f>IFERROR((D20+D21)/C20,0)</f>
        <v>0.70860389430894322</v>
      </c>
      <c r="F20" s="12">
        <f>VLOOKUP($E$20,FATORES!$B$34:$E$36,3)</f>
        <v>5.0000000000000001E-4</v>
      </c>
      <c r="G20" s="12">
        <f>IFERROR(VLOOKUP($E$20,FATORES!$B$37:$E$38,3),0)</f>
        <v>0</v>
      </c>
      <c r="H20" s="65">
        <f t="shared" si="1"/>
        <v>1.5501361000000002</v>
      </c>
      <c r="I20" s="65">
        <f t="shared" si="0"/>
        <v>0</v>
      </c>
      <c r="J20" s="65">
        <f t="shared" si="2"/>
        <v>1.5501361000000002</v>
      </c>
      <c r="K20" s="121">
        <f>SUMIFS(REALIZADO[META_ESSENCIAIS],REALIZADO[COORDENAÇÃO],$P$7)</f>
        <v>41199.999999999993</v>
      </c>
      <c r="L20" s="86">
        <f>SUMIFS(PROJEÇÃO[PROJ_ESSEN_A],PROJEÇÃO[COORDENAÇÃO],$P$7)</f>
        <v>16007.2889</v>
      </c>
      <c r="M20" s="97">
        <f>IFERROR((L20+L21)/K20,0)</f>
        <v>0.92994956553398067</v>
      </c>
      <c r="N20" s="12">
        <f>IF($M$20&gt;=FATORES!$B$39,FATORES!$D$39,0)</f>
        <v>0</v>
      </c>
      <c r="O20" s="14">
        <f t="shared" si="4"/>
        <v>0</v>
      </c>
      <c r="P20" s="13">
        <f t="shared" si="5"/>
        <v>1.5501361000000002</v>
      </c>
      <c r="Q20" s="15">
        <f>IF($F$8=2,P20*0.05,0)</f>
        <v>0</v>
      </c>
      <c r="R20" s="15">
        <f>IF($F$8=3,P20*0.15,0)</f>
        <v>0</v>
      </c>
      <c r="S20" s="99"/>
      <c r="T20" s="125"/>
      <c r="U20" s="125"/>
    </row>
    <row r="21" spans="2:21" x14ac:dyDescent="0.35">
      <c r="B21" s="46" t="s">
        <v>235</v>
      </c>
      <c r="C21" s="122"/>
      <c r="D21" s="87">
        <f>SUMIFS(PROJEÇÃO[PROJ_ESSEN_B],PROJEÇÃO[PDV],MASTERPLACE!$M$7)</f>
        <v>5615.5556999999999</v>
      </c>
      <c r="E21" s="123"/>
      <c r="F21" s="12">
        <f>VLOOKUP($E$20,FATORES!$B$34:$E$36,4)</f>
        <v>2.5000000000000001E-4</v>
      </c>
      <c r="G21" s="12">
        <f>IFERROR(VLOOKUP($E$20,FATORES!$B$37:$E$38,4),0)</f>
        <v>0</v>
      </c>
      <c r="H21" s="65">
        <f t="shared" si="1"/>
        <v>1.403888925</v>
      </c>
      <c r="I21" s="65">
        <f t="shared" si="0"/>
        <v>0</v>
      </c>
      <c r="J21" s="65">
        <f t="shared" si="2"/>
        <v>1.403888925</v>
      </c>
      <c r="K21" s="122"/>
      <c r="L21" s="87">
        <f>SUMIFS(PROJEÇÃO[PROJ_ESSEN_B],PROJEÇÃO[COORDENAÇÃO],$P$7)</f>
        <v>22306.6332</v>
      </c>
      <c r="M21" s="97"/>
      <c r="N21" s="12">
        <f>IF($M$20&gt;=FATORES!$B$39,FATORES!$E$39,0)</f>
        <v>0</v>
      </c>
      <c r="O21" s="14">
        <f t="shared" si="4"/>
        <v>0</v>
      </c>
      <c r="P21" s="13">
        <f t="shared" si="5"/>
        <v>1.403888925</v>
      </c>
      <c r="Q21" s="15">
        <f>IF($F$8=2,P21*0.05,0)</f>
        <v>0</v>
      </c>
      <c r="R21" s="15">
        <f>IF($F$8=3,P21*0.15,0)</f>
        <v>0</v>
      </c>
      <c r="S21" s="99"/>
      <c r="T21" s="125"/>
      <c r="U21" s="125"/>
    </row>
    <row r="22" spans="2:21" x14ac:dyDescent="0.35">
      <c r="B22" s="46" t="s">
        <v>212</v>
      </c>
      <c r="C22" s="57">
        <f>SUMIFS(REALIZADO[META_SEGUROS],REALIZADO[PDV],MASTERPLACE!$M$7)</f>
        <v>1599.9999999999998</v>
      </c>
      <c r="D22" s="79">
        <f>SUMIFS(PROJEÇÃO[PROJ_SEGURO],PROJEÇÃO[PDV],MASTERPLACE!$M$7)</f>
        <v>1205.2332999999999</v>
      </c>
      <c r="E22" s="83">
        <f>IFERROR(D22/C22,0)</f>
        <v>0.75327081250000005</v>
      </c>
      <c r="F22" s="83">
        <f>VLOOKUP($E$22,FATORES!$O$32:$Q$34,3)</f>
        <v>5.0000000000000001E-3</v>
      </c>
      <c r="G22" s="12">
        <f>IFERROR(VLOOKUP($E$22,FATORES!$O$35:$Q$36,3),0)</f>
        <v>0</v>
      </c>
      <c r="H22" s="65">
        <f t="shared" si="1"/>
        <v>6.0261664999999995</v>
      </c>
      <c r="I22" s="65">
        <f t="shared" si="0"/>
        <v>0</v>
      </c>
      <c r="J22" s="65">
        <f t="shared" si="2"/>
        <v>6.0261664999999995</v>
      </c>
      <c r="K22" s="57">
        <f>SUMIFS(REALIZADO[META_SEGUROS],REALIZADO[COORDENAÇÃO],$P$7)</f>
        <v>5129.9997999999996</v>
      </c>
      <c r="L22" s="79">
        <f>SUMIFS(PROJEÇÃO[PROJ_SEGURO],PROJEÇÃO[COORDENAÇÃO],$P$7)</f>
        <v>4017.2332999999999</v>
      </c>
      <c r="M22" s="50">
        <f t="shared" ref="M22:M23" si="6">IFERROR(L22/K22,0)</f>
        <v>0.78308644378504655</v>
      </c>
      <c r="N22" s="12">
        <f>IF($M$22&gt;=FATORES!$O$37,FATORES!$Q$37,0)</f>
        <v>0</v>
      </c>
      <c r="O22" s="14">
        <f t="shared" si="4"/>
        <v>0</v>
      </c>
      <c r="P22" s="13">
        <f t="shared" si="5"/>
        <v>6.0261664999999995</v>
      </c>
      <c r="Q22" s="15">
        <f>IF($G$8=2,P22*0.05,0)</f>
        <v>0</v>
      </c>
      <c r="R22" s="15">
        <f>IF($G$8=3,P22*0.15,0)</f>
        <v>0</v>
      </c>
      <c r="S22" s="99"/>
      <c r="T22" s="125"/>
      <c r="U22" s="125"/>
    </row>
    <row r="23" spans="2:21" x14ac:dyDescent="0.35">
      <c r="B23" s="48" t="s">
        <v>14</v>
      </c>
      <c r="C23" s="76">
        <f>SUMIFS(REALIZADO[META_SVA],REALIZADO[PDV],MASTERPLACE!$M$7)</f>
        <v>1450.0001999999999</v>
      </c>
      <c r="D23" s="77">
        <f>SUMIFS(PROJEÇÃO[PROJ_SVA],PROJEÇÃO[PDV],MASTERPLACE!$M$7)</f>
        <v>962.30770000000007</v>
      </c>
      <c r="E23" s="82">
        <f>IFERROR(D23/C23,0)</f>
        <v>0.66366039121925646</v>
      </c>
      <c r="F23" s="16">
        <f>IF($E$23&gt;=0,FATORES!$Q$40)</f>
        <v>5.0000000000000001E-3</v>
      </c>
      <c r="G23" s="16">
        <f>IFERROR(VLOOKUP($E$23,FATORES!$O$43:$Q$44,3),0)</f>
        <v>0</v>
      </c>
      <c r="H23" s="17">
        <f t="shared" si="1"/>
        <v>4.8115385000000002</v>
      </c>
      <c r="I23" s="65">
        <f t="shared" si="0"/>
        <v>0</v>
      </c>
      <c r="J23" s="17">
        <f t="shared" si="2"/>
        <v>4.8115385000000002</v>
      </c>
      <c r="K23" s="76">
        <f>SUMIFS(REALIZADO[META_SVA],REALIZADO[COORDENAÇÃO],$P$7)</f>
        <v>4540.0006000000003</v>
      </c>
      <c r="L23" s="77">
        <f>SUMIFS(PROJEÇÃO[PROJ_SVA],PROJEÇÃO[COORDENAÇÃO],$P$7)</f>
        <v>5391.4400000000005</v>
      </c>
      <c r="M23" s="51">
        <f t="shared" si="6"/>
        <v>1.1875416932764282</v>
      </c>
      <c r="N23" s="16">
        <f>IF($M$23&gt;=FATORES!$O$45,FATORES!$Q$45,0)</f>
        <v>5.0000000000000001E-3</v>
      </c>
      <c r="O23" s="14">
        <f t="shared" si="4"/>
        <v>0</v>
      </c>
      <c r="P23" s="18">
        <f t="shared" si="5"/>
        <v>4.8115385000000002</v>
      </c>
      <c r="Q23" s="19">
        <f>IF($H$8=2,P23*0.05,0)</f>
        <v>0</v>
      </c>
      <c r="R23" s="19">
        <f>IF($H$8=3,P23*0.15,0)</f>
        <v>0</v>
      </c>
      <c r="S23" s="100"/>
      <c r="T23" s="126"/>
      <c r="U23" s="126"/>
    </row>
    <row r="24" spans="2:21" x14ac:dyDescent="0.35">
      <c r="B24" s="66"/>
      <c r="C24" s="67"/>
      <c r="D24" s="67"/>
      <c r="E24" s="67"/>
      <c r="F24" s="67"/>
      <c r="G24" s="67"/>
      <c r="H24" s="67"/>
      <c r="I24" s="67"/>
      <c r="J24" s="68"/>
      <c r="K24" s="69"/>
      <c r="L24" s="67"/>
      <c r="M24" s="67"/>
      <c r="N24" s="67"/>
      <c r="O24" s="67"/>
      <c r="P24" s="70">
        <f>SUM(P15:P23)</f>
        <v>1066.8266153100001</v>
      </c>
      <c r="Q24" s="70">
        <f t="shared" ref="Q24:R24" si="7">SUM(Q15:Q23)</f>
        <v>0</v>
      </c>
      <c r="R24" s="70">
        <f t="shared" si="7"/>
        <v>0</v>
      </c>
      <c r="S24" s="91" t="str">
        <f>IF($P$7="ARIEL",IF(MIN(E15,E17,E18,E19,E20,E22,E23)&gt;=100%,SUM(P24:R24)*S15,""),IF(MIN(E15:E23)&gt;=100%,SUM(P24:R24)*S15,""))</f>
        <v/>
      </c>
      <c r="T24" s="88"/>
      <c r="U24" s="88"/>
    </row>
    <row r="25" spans="2:21" ht="16.149999999999999" customHeight="1" x14ac:dyDescent="0.35">
      <c r="B25" s="80"/>
      <c r="C25" s="6"/>
      <c r="D25" s="6"/>
      <c r="E25" s="6"/>
      <c r="F25" s="6"/>
      <c r="G25" s="6"/>
      <c r="H25" s="6"/>
      <c r="T25" s="61"/>
    </row>
    <row r="26" spans="2:21" ht="18.5" x14ac:dyDescent="0.35">
      <c r="B26" s="240" t="s">
        <v>236</v>
      </c>
      <c r="C26" s="241"/>
      <c r="D26" s="241"/>
      <c r="E26" s="241"/>
      <c r="F26" s="241"/>
      <c r="G26" s="241"/>
      <c r="H26" s="241"/>
      <c r="I26" s="241"/>
      <c r="J26" s="241"/>
      <c r="K26" s="241"/>
      <c r="L26" s="241"/>
      <c r="M26" s="241"/>
      <c r="N26" s="241"/>
      <c r="O26" s="241"/>
      <c r="P26" s="241"/>
      <c r="Q26" s="241"/>
      <c r="R26" s="241"/>
      <c r="S26" s="241"/>
      <c r="T26" s="241"/>
      <c r="U26" s="242"/>
    </row>
    <row r="27" spans="2:21" x14ac:dyDescent="0.35">
      <c r="B27" s="232" t="s">
        <v>9</v>
      </c>
      <c r="C27" s="233"/>
      <c r="D27" s="233"/>
      <c r="E27" s="233"/>
      <c r="F27" s="233"/>
      <c r="G27" s="233"/>
      <c r="H27" s="233"/>
      <c r="I27" s="233"/>
      <c r="J27" s="234"/>
      <c r="K27" s="112" t="s">
        <v>54</v>
      </c>
      <c r="L27" s="113"/>
      <c r="M27" s="113"/>
      <c r="N27" s="113"/>
      <c r="O27" s="113"/>
      <c r="P27" s="113"/>
      <c r="Q27" s="113"/>
      <c r="R27" s="113"/>
      <c r="S27" s="113"/>
      <c r="T27" s="113"/>
      <c r="U27" s="219"/>
    </row>
    <row r="28" spans="2:21" ht="14.5" customHeight="1" x14ac:dyDescent="0.35">
      <c r="B28" s="115" t="s">
        <v>214</v>
      </c>
      <c r="C28" s="116" t="s">
        <v>237</v>
      </c>
      <c r="D28" s="117"/>
      <c r="E28" s="104"/>
      <c r="F28" s="135" t="s">
        <v>216</v>
      </c>
      <c r="G28" s="135" t="s">
        <v>217</v>
      </c>
      <c r="H28" s="135" t="s">
        <v>218</v>
      </c>
      <c r="I28" s="135" t="s">
        <v>219</v>
      </c>
      <c r="J28" s="135" t="s">
        <v>220</v>
      </c>
      <c r="K28" s="229" t="s">
        <v>238</v>
      </c>
      <c r="L28" s="230"/>
      <c r="M28" s="231"/>
      <c r="N28" s="228" t="s">
        <v>222</v>
      </c>
      <c r="O28" s="127" t="s">
        <v>223</v>
      </c>
      <c r="P28" s="228" t="s">
        <v>224</v>
      </c>
      <c r="Q28" s="228" t="s">
        <v>225</v>
      </c>
      <c r="R28" s="228" t="s">
        <v>226</v>
      </c>
      <c r="S28" s="228" t="s">
        <v>227</v>
      </c>
      <c r="T28" s="243" t="s">
        <v>240</v>
      </c>
      <c r="U28" s="235" t="s">
        <v>241</v>
      </c>
    </row>
    <row r="29" spans="2:21" ht="14.5" customHeight="1" x14ac:dyDescent="0.35">
      <c r="B29" s="134"/>
      <c r="C29" s="94" t="s">
        <v>229</v>
      </c>
      <c r="D29" s="139" t="s">
        <v>230</v>
      </c>
      <c r="E29" s="140"/>
      <c r="F29" s="136"/>
      <c r="G29" s="136"/>
      <c r="H29" s="136"/>
      <c r="I29" s="136"/>
      <c r="J29" s="136"/>
      <c r="K29" s="52" t="s">
        <v>229</v>
      </c>
      <c r="L29" s="139" t="s">
        <v>230</v>
      </c>
      <c r="M29" s="140"/>
      <c r="N29" s="128"/>
      <c r="O29" s="128"/>
      <c r="P29" s="128"/>
      <c r="Q29" s="128"/>
      <c r="R29" s="128"/>
      <c r="S29" s="128"/>
      <c r="T29" s="227"/>
      <c r="U29" s="216"/>
    </row>
    <row r="30" spans="2:21" x14ac:dyDescent="0.35">
      <c r="B30" s="45" t="s">
        <v>2</v>
      </c>
      <c r="C30" s="76">
        <f>SUMIFS(REALIZADO[META_MOVEL],REALIZADO[PDV],MASTERPLACE!$M$7)</f>
        <v>14950</v>
      </c>
      <c r="D30" s="77">
        <f>SUMIFS(REALIZADO[AT_MOVEL],REALIZADO[PDV],MASTERPLACE!$M$7)</f>
        <v>1752</v>
      </c>
      <c r="E30" s="49">
        <f>IFERROR(D30/C30,0)</f>
        <v>0.11719063545150502</v>
      </c>
      <c r="F30" s="8">
        <f>VLOOKUP($E$30,FATORES!$I$32:$K$34,3)</f>
        <v>5.0000000000000001E-3</v>
      </c>
      <c r="G30" s="8">
        <f>IFERROR(VLOOKUP($E$30,FATORES!$I$35:$K$36,3),0)</f>
        <v>0</v>
      </c>
      <c r="H30" s="9">
        <f>D30*F30</f>
        <v>8.76</v>
      </c>
      <c r="I30" s="9">
        <f t="shared" ref="I30:I38" si="8">IF($P$7="ARIEL",
   IF(AND($E$30&gt;=69.5%, AND($E$32&gt;=69.5%, $E$33&gt;=69.5%, $E$33&gt;=69.5%, $E$35&gt;=69.5%, $E$35&gt;=69.5%, $E$37&gt;=69.5%, $E$38&gt;=69.5%)),
      D30*G30,
      0),
   IF(AND($E$30&gt;=69.5%, $E$31&gt;=69.5%, $E$32&gt;=69.5%, $E$33&gt;=69.5%, $E$33&gt;=69.5%, $E$35&gt;=69.5%, $E$35&gt;=69.5%, $E$37&gt;=69.5%, $E$38&gt;=69.5%),
      D30*G30,
      0)
)</f>
        <v>0</v>
      </c>
      <c r="J30" s="9">
        <f>H30+I30</f>
        <v>8.76</v>
      </c>
      <c r="K30" s="76">
        <f>SUMIFS(REALIZADO[META_MOVEL],REALIZADO[COORDENAÇÃO],$P$7)</f>
        <v>53549.999899999995</v>
      </c>
      <c r="L30" s="77">
        <f>SUMIFS(REALIZADO[AT_MOVEL],REALIZADO[COORDENAÇÃO],$P$7)</f>
        <v>4789.97</v>
      </c>
      <c r="M30" s="49">
        <f>IFERROR(L30/K30,0)</f>
        <v>8.9448552921472566E-2</v>
      </c>
      <c r="N30" s="8">
        <f>IF($M$30&gt;=FATORES!$I$37,FATORES!$K$37,0)</f>
        <v>0</v>
      </c>
      <c r="O30" s="14">
        <f>IF(E30&gt;=100%,
IF($P$7="ARIEL",
IF(AND($E$30&gt;=69.5%,$E$32&gt;=69.5%,$E$33&gt;=69.5%,$E$35&gt;=69.5%,$E$37&gt;=69.5%,$E$38&gt;=69.5%),
D30*N30,
0),
IF(AND($E$30&gt;=69.5%,$E$31&gt;=69.5%,$E$32&gt;=69.5%,$E$33&gt;=69.5%,$E$35&gt;=69.5%,$E$37&gt;=69.5%,$E$38&gt;=69.5%),
D30*N30,
0)
),0)</f>
        <v>0</v>
      </c>
      <c r="P30" s="10">
        <f>J30+O30</f>
        <v>8.76</v>
      </c>
      <c r="Q30" s="11">
        <f>IF($B$8=2,P30*0.05,0)</f>
        <v>0</v>
      </c>
      <c r="R30" s="11">
        <f>IF($B$8=3,P30*0.15,0)</f>
        <v>0</v>
      </c>
      <c r="S30" s="98">
        <v>0.1</v>
      </c>
      <c r="T30" s="124">
        <f>SUM(P39:S39)</f>
        <v>21.422324999999994</v>
      </c>
      <c r="U30" s="124">
        <f>T30*0.75</f>
        <v>16.066743749999993</v>
      </c>
    </row>
    <row r="31" spans="2:21" x14ac:dyDescent="0.35">
      <c r="B31" s="46" t="s">
        <v>13</v>
      </c>
      <c r="C31" s="76">
        <f>SUMIFS(REALIZADO[META_FIXA],REALIZADO[PDV],MASTERPLACE!$M$7)</f>
        <v>8299.9998000000014</v>
      </c>
      <c r="D31" s="77">
        <f>SUMIFS(REALIZADO[AT_FIXA],REALIZADO[PDV],MASTERPLACE!$M$7)</f>
        <v>1450</v>
      </c>
      <c r="E31" s="50">
        <f>IFERROR(D31/C31,0)</f>
        <v>0.17469879939033248</v>
      </c>
      <c r="F31" s="12">
        <f>VLOOKUP($E$31,FATORES!$I$40:$K$42,3)</f>
        <v>5.0000000000000001E-3</v>
      </c>
      <c r="G31" s="12">
        <f>IFERROR(VLOOKUP($E$31,FATORES!$I$43:$K$44,3),0)</f>
        <v>0</v>
      </c>
      <c r="H31" s="65">
        <f t="shared" ref="H31:H38" si="9">D31*F31</f>
        <v>7.25</v>
      </c>
      <c r="I31" s="65">
        <f t="shared" si="8"/>
        <v>0</v>
      </c>
      <c r="J31" s="65">
        <f t="shared" ref="J31:J38" si="10">H31+I31</f>
        <v>7.25</v>
      </c>
      <c r="K31" s="76">
        <f>SUMIFS(REALIZADO[META_FIXA],REALIZADO[COORDENAÇÃO],$P$7)</f>
        <v>29649.999899999988</v>
      </c>
      <c r="L31" s="77">
        <f>SUMIFS(REALIZADO[AT_FIXA],REALIZADO[COORDENAÇÃO],$P$7)</f>
        <v>3600.01</v>
      </c>
      <c r="M31" s="50">
        <f t="shared" ref="M31:M32" si="11">IFERROR(L31/K31,0)</f>
        <v>0.12141686381590854</v>
      </c>
      <c r="N31" s="12">
        <f>IF($M$31&gt;=FATORES!$I$45,FATORES!$K$45,0)</f>
        <v>0</v>
      </c>
      <c r="O31" s="14">
        <f t="shared" ref="O31:O38" si="12">IF(E31&gt;=100%,
IF($P$7="ARIEL",
IF(AND($E$30&gt;=69.5%,$E$32&gt;=69.5%,$E$33&gt;=69.5%,$E$35&gt;=69.5%,$E$37&gt;=69.5%,$E$38&gt;=69.5%),
D31*N31,
0),
IF(AND($E$30&gt;=69.5%,$E$31&gt;=69.5%,$E$32&gt;=69.5%,$E$33&gt;=69.5%,$E$35&gt;=69.5%,$E$37&gt;=69.5%,$E$38&gt;=69.5%),
D31*N31,
0)
),0)</f>
        <v>0</v>
      </c>
      <c r="P31" s="13">
        <f t="shared" ref="P31:P38" si="13">J31+O31</f>
        <v>7.25</v>
      </c>
      <c r="Q31" s="15">
        <f>IF($C$8=2,P31*0.05,0)</f>
        <v>0</v>
      </c>
      <c r="R31" s="15">
        <f>IF($C$8=3,P31*0.15,0)</f>
        <v>0</v>
      </c>
      <c r="S31" s="99"/>
      <c r="T31" s="125"/>
      <c r="U31" s="125"/>
    </row>
    <row r="32" spans="2:21" x14ac:dyDescent="0.35">
      <c r="B32" s="46" t="s">
        <v>231</v>
      </c>
      <c r="C32" s="53">
        <f>SUMIFS(REALIZADO[META_SMARTPHONE],REALIZADO[PDV],MASTERPLACE!$M$7)</f>
        <v>265000.00020000001</v>
      </c>
      <c r="D32" s="78">
        <f>SUMIFS(REALIZADO[AT_SMARTPHONE],REALIZADO[PDV],MASTERPLACE!$M$7)</f>
        <v>15346</v>
      </c>
      <c r="E32" s="50">
        <f>IFERROR(D32/C32,0)</f>
        <v>5.7909433918558913E-2</v>
      </c>
      <c r="F32" s="12">
        <f>VLOOKUP($E$32,FATORES!$B$53:$D$54,3)</f>
        <v>2.0000000000000001E-4</v>
      </c>
      <c r="G32" s="12">
        <f>IFERROR(VLOOKUP($E$32,FATORES!$B$55:$D$55,3),0)</f>
        <v>0</v>
      </c>
      <c r="H32" s="65">
        <f t="shared" si="9"/>
        <v>3.0691999999999999</v>
      </c>
      <c r="I32" s="65">
        <f t="shared" si="8"/>
        <v>0</v>
      </c>
      <c r="J32" s="65">
        <f t="shared" si="10"/>
        <v>3.0691999999999999</v>
      </c>
      <c r="K32" s="53">
        <f>SUMIFS(REALIZADO[META_SMARTPHONE],REALIZADO[COORDENAÇÃO],$P$7)</f>
        <v>741500.00009999995</v>
      </c>
      <c r="L32" s="78">
        <f>SUMIFS(REALIZADO[AT_SMARTPHONE],REALIZADO[COORDENAÇÃO],$P$7)</f>
        <v>63660</v>
      </c>
      <c r="M32" s="50">
        <f t="shared" si="11"/>
        <v>8.585300066273055E-2</v>
      </c>
      <c r="N32" s="12">
        <f>IF($M$32&gt;=FATORES!$B$56,FATORES!$D$56,0)</f>
        <v>0</v>
      </c>
      <c r="O32" s="14">
        <f t="shared" si="12"/>
        <v>0</v>
      </c>
      <c r="P32" s="13">
        <f t="shared" si="13"/>
        <v>3.0691999999999999</v>
      </c>
      <c r="Q32" s="15">
        <f>IF($D$8=2,P32*0.05,0)</f>
        <v>0</v>
      </c>
      <c r="R32" s="15">
        <f>IF($D$8=3,P32*0.15,0)</f>
        <v>0</v>
      </c>
      <c r="S32" s="99"/>
      <c r="T32" s="125"/>
      <c r="U32" s="125"/>
    </row>
    <row r="33" spans="2:21" x14ac:dyDescent="0.35">
      <c r="B33" s="47" t="s">
        <v>232</v>
      </c>
      <c r="C33" s="121">
        <f>SUMIFS(REALIZADO[META_ACESSORIO],REALIZADO[PDV],MASTERPLACE!$M$7)</f>
        <v>23500.000200000002</v>
      </c>
      <c r="D33" s="86">
        <f>SUMIFS(REALIZADO[AT_ACESSORIOS_A],REALIZADO[PDV],MASTERPLACE!$M$7)</f>
        <v>0</v>
      </c>
      <c r="E33" s="123">
        <f>IFERROR((D33+D34)/C33,0)</f>
        <v>0.1806808495261204</v>
      </c>
      <c r="F33" s="12">
        <f>VLOOKUP($E$33,FATORES!$B$44:$E$46,3)</f>
        <v>5.0000000000000001E-4</v>
      </c>
      <c r="G33" s="12">
        <f>IFERROR(VLOOKUP($E$33,FATORES!$B$47:$E$48,3),0)</f>
        <v>0</v>
      </c>
      <c r="H33" s="65">
        <f t="shared" si="9"/>
        <v>0</v>
      </c>
      <c r="I33" s="65">
        <f t="shared" si="8"/>
        <v>0</v>
      </c>
      <c r="J33" s="65">
        <f t="shared" si="10"/>
        <v>0</v>
      </c>
      <c r="K33" s="121">
        <f>SUMIFS(REALIZADO[META_ACESSORIO],REALIZADO[COORDENAÇÃO],$P$7)</f>
        <v>82600.000300000014</v>
      </c>
      <c r="L33" s="86">
        <f>SUMIFS(REALIZADO[AT_ACESSORIOS_A],REALIZADO[COORDENAÇÃO],$P$7)</f>
        <v>209</v>
      </c>
      <c r="M33" s="97">
        <f>IFERROR((L33+L34)/K33,0)</f>
        <v>0.19131961189593358</v>
      </c>
      <c r="N33" s="12">
        <f>IF($M$33&gt;=FATORES!$B$49,FATORES!$D$49,0)</f>
        <v>0</v>
      </c>
      <c r="O33" s="14">
        <f t="shared" si="12"/>
        <v>0</v>
      </c>
      <c r="P33" s="13">
        <f t="shared" si="13"/>
        <v>0</v>
      </c>
      <c r="Q33" s="15">
        <f>IF($E$8=2,P33*0.05,0)</f>
        <v>0</v>
      </c>
      <c r="R33" s="15">
        <f>IF($E$8=3,P33*0.15,0)</f>
        <v>0</v>
      </c>
      <c r="S33" s="99"/>
      <c r="T33" s="125"/>
      <c r="U33" s="125"/>
    </row>
    <row r="34" spans="2:21" x14ac:dyDescent="0.35">
      <c r="B34" s="47" t="s">
        <v>233</v>
      </c>
      <c r="C34" s="122"/>
      <c r="D34" s="87">
        <f>SUMIFS(REALIZADO[AT_ACESSORIOS_B],REALIZADO[PDV],MASTERPLACE!$M$7)</f>
        <v>4246</v>
      </c>
      <c r="E34" s="123"/>
      <c r="F34" s="12">
        <f>VLOOKUP($E$33,FATORES!$B$44:$E$46,4)</f>
        <v>2.5000000000000001E-4</v>
      </c>
      <c r="G34" s="12">
        <f>IFERROR(VLOOKUP($E$33,FATORES!$B$47:$E$48,4),0)</f>
        <v>0</v>
      </c>
      <c r="H34" s="65">
        <f t="shared" si="9"/>
        <v>1.0615000000000001</v>
      </c>
      <c r="I34" s="65">
        <f t="shared" si="8"/>
        <v>0</v>
      </c>
      <c r="J34" s="65">
        <f t="shared" si="10"/>
        <v>1.0615000000000001</v>
      </c>
      <c r="K34" s="122"/>
      <c r="L34" s="87">
        <f>SUMIFS(REALIZADO[AT_ACESSORIOS_B],REALIZADO[COORDENAÇÃO],$P$7)</f>
        <v>15594</v>
      </c>
      <c r="M34" s="97"/>
      <c r="N34" s="12">
        <f>IF($M$33&gt;=FATORES!$B$49,FATORES!$E$49,0)</f>
        <v>0</v>
      </c>
      <c r="O34" s="14">
        <f t="shared" si="12"/>
        <v>0</v>
      </c>
      <c r="P34" s="13">
        <f t="shared" si="13"/>
        <v>1.0615000000000001</v>
      </c>
      <c r="Q34" s="15">
        <f>IF($E$8=2,P34*0.05,0)</f>
        <v>0</v>
      </c>
      <c r="R34" s="15">
        <f>IF($E$8=3,P34*0.15,0)</f>
        <v>0</v>
      </c>
      <c r="S34" s="99"/>
      <c r="T34" s="125"/>
      <c r="U34" s="125"/>
    </row>
    <row r="35" spans="2:21" x14ac:dyDescent="0.35">
      <c r="B35" s="46" t="s">
        <v>234</v>
      </c>
      <c r="C35" s="121">
        <f>SUMIFS(REALIZADO[META_ESSENCIAIS],REALIZADO[PDV],MASTERPLACE!$M$7)</f>
        <v>12299.999999999998</v>
      </c>
      <c r="D35" s="86">
        <f>SUMIFS(REALIZADO[AT_ESSENCIAIS_A],REALIZADO[PDV],MASTERPLACE!$M$7)</f>
        <v>420.55</v>
      </c>
      <c r="E35" s="123">
        <f>IFERROR((D35+D36)/C35,0)</f>
        <v>0.10524796747967481</v>
      </c>
      <c r="F35" s="12">
        <f>VLOOKUP($E$35,FATORES!$B$34:$E$36,3)</f>
        <v>5.0000000000000001E-4</v>
      </c>
      <c r="G35" s="12">
        <f>IFERROR(VLOOKUP($E$35,FATORES!$B$37:$E$38,3),0)</f>
        <v>0</v>
      </c>
      <c r="H35" s="65">
        <f t="shared" si="9"/>
        <v>0.21027500000000002</v>
      </c>
      <c r="I35" s="65">
        <f t="shared" si="8"/>
        <v>0</v>
      </c>
      <c r="J35" s="65">
        <f t="shared" si="10"/>
        <v>0.21027500000000002</v>
      </c>
      <c r="K35" s="121">
        <f>SUMIFS(REALIZADO[META_ESSENCIAIS],REALIZADO[COORDENAÇÃO],$P$7)</f>
        <v>41199.999999999993</v>
      </c>
      <c r="L35" s="86">
        <f>SUMIFS(REALIZADO[AT_ESSENCIAIS_A],REALIZADO[COORDENAÇÃO],$P$7)</f>
        <v>1616.6499999999999</v>
      </c>
      <c r="M35" s="97">
        <f>IFERROR((L35+L36)/K35,0)</f>
        <v>0.10509466019417477</v>
      </c>
      <c r="N35" s="12">
        <f>IF($M$35&gt;=FATORES!$B$39,FATORES!$D$39,0)</f>
        <v>0</v>
      </c>
      <c r="O35" s="14">
        <f t="shared" si="12"/>
        <v>0</v>
      </c>
      <c r="P35" s="13">
        <f t="shared" si="13"/>
        <v>0.21027500000000002</v>
      </c>
      <c r="Q35" s="15">
        <f>IF($F$8=2,P35*0.05,0)</f>
        <v>0</v>
      </c>
      <c r="R35" s="15">
        <f>IF($F$8=3,P35*0.15,0)</f>
        <v>0</v>
      </c>
      <c r="S35" s="99"/>
      <c r="T35" s="125"/>
      <c r="U35" s="125"/>
    </row>
    <row r="36" spans="2:21" x14ac:dyDescent="0.35">
      <c r="B36" s="46" t="s">
        <v>235</v>
      </c>
      <c r="C36" s="122"/>
      <c r="D36" s="87">
        <f>SUMIFS(REALIZADO[AT_ESSENCIAIS_B],REALIZADO[PDV],MASTERPLACE!$M$7)</f>
        <v>874</v>
      </c>
      <c r="E36" s="123"/>
      <c r="F36" s="12">
        <f>VLOOKUP($E$35,FATORES!$B$34:$E$36,4)</f>
        <v>2.5000000000000001E-4</v>
      </c>
      <c r="G36" s="12">
        <f>IFERROR(VLOOKUP($E$35,FATORES!$B$37:$E$38,4),0)</f>
        <v>0</v>
      </c>
      <c r="H36" s="65">
        <f t="shared" si="9"/>
        <v>0.2185</v>
      </c>
      <c r="I36" s="65">
        <f t="shared" si="8"/>
        <v>0</v>
      </c>
      <c r="J36" s="65">
        <f t="shared" si="10"/>
        <v>0.2185</v>
      </c>
      <c r="K36" s="122"/>
      <c r="L36" s="87">
        <f>SUMIFS(REALIZADO[AT_ESSENCIAIS_B],REALIZADO[COORDENAÇÃO],$P$7)</f>
        <v>2713.25</v>
      </c>
      <c r="M36" s="97"/>
      <c r="N36" s="12">
        <f>IF($M$35&gt;=FATORES!$B$39,FATORES!$E$39,0)</f>
        <v>0</v>
      </c>
      <c r="O36" s="14">
        <f t="shared" si="12"/>
        <v>0</v>
      </c>
      <c r="P36" s="13">
        <f t="shared" si="13"/>
        <v>0.2185</v>
      </c>
      <c r="Q36" s="15">
        <f>IF($F$8=2,P36*0.05,0)</f>
        <v>0</v>
      </c>
      <c r="R36" s="15">
        <f>IF($F$8=3,P36*0.15,0)</f>
        <v>0</v>
      </c>
      <c r="S36" s="99"/>
      <c r="T36" s="125"/>
      <c r="U36" s="125"/>
    </row>
    <row r="37" spans="2:21" x14ac:dyDescent="0.35">
      <c r="B37" s="46" t="s">
        <v>212</v>
      </c>
      <c r="C37" s="57">
        <f>SUMIFS(REALIZADO[META_SEGUROS],REALIZADO[PDV],MASTERPLACE!$M$7)</f>
        <v>1599.9999999999998</v>
      </c>
      <c r="D37" s="79">
        <f>SUMIFS(REALIZADO[AT_SEGUROS],REALIZADO[PDV],MASTERPLACE!$M$7)</f>
        <v>69.8</v>
      </c>
      <c r="E37" s="83">
        <f>IFERROR(D37/C37,0)</f>
        <v>4.3625000000000004E-2</v>
      </c>
      <c r="F37" s="83">
        <f>VLOOKUP($E$37,FATORES!$O$32:$Q$34,3)</f>
        <v>5.0000000000000001E-3</v>
      </c>
      <c r="G37" s="12">
        <f>IFERROR(VLOOKUP($E$37,FATORES!$O$35:$Q$36,3),0)</f>
        <v>0</v>
      </c>
      <c r="H37" s="65">
        <f t="shared" si="9"/>
        <v>0.34899999999999998</v>
      </c>
      <c r="I37" s="65">
        <f t="shared" si="8"/>
        <v>0</v>
      </c>
      <c r="J37" s="65">
        <f t="shared" si="10"/>
        <v>0.34899999999999998</v>
      </c>
      <c r="K37" s="57">
        <f>SUMIFS(REALIZADO[META_SEGUROS],REALIZADO[COORDENAÇÃO],$P$7)</f>
        <v>5129.9997999999996</v>
      </c>
      <c r="L37" s="79">
        <f>SUMIFS(REALIZADO[AT_SEGUROS],REALIZADO[COORDENAÇÃO],$P$7)</f>
        <v>328.9</v>
      </c>
      <c r="M37" s="50">
        <f t="shared" ref="M37:M38" si="14">IFERROR(L37/K37,0)</f>
        <v>6.411306292838452E-2</v>
      </c>
      <c r="N37" s="12">
        <f>IF($M$37&gt;=FATORES!$O$37,FATORES!$Q$37,0)</f>
        <v>0</v>
      </c>
      <c r="O37" s="14">
        <f t="shared" si="12"/>
        <v>0</v>
      </c>
      <c r="P37" s="13">
        <f t="shared" si="13"/>
        <v>0.34899999999999998</v>
      </c>
      <c r="Q37" s="15">
        <f>IF($G$8=2,P37*0.05,0)</f>
        <v>0</v>
      </c>
      <c r="R37" s="15">
        <f>IF($G$8=3,P37*0.15,0)</f>
        <v>0</v>
      </c>
      <c r="S37" s="99"/>
      <c r="T37" s="125"/>
      <c r="U37" s="125"/>
    </row>
    <row r="38" spans="2:21" x14ac:dyDescent="0.35">
      <c r="B38" s="48" t="s">
        <v>14</v>
      </c>
      <c r="C38" s="76">
        <f>SUMIFS(REALIZADO[META_SVA],REALIZADO[PDV],MASTERPLACE!$M$7)</f>
        <v>1450.0001999999999</v>
      </c>
      <c r="D38" s="77">
        <f>SUMIFS(REALIZADO[AT_SVA],REALIZADO[PDV],MASTERPLACE!$M$7)</f>
        <v>100.77</v>
      </c>
      <c r="E38" s="82">
        <f>IFERROR(D38/C38,0)</f>
        <v>6.9496542138407974E-2</v>
      </c>
      <c r="F38" s="16">
        <f>IF($E$38&gt;=0,FATORES!$Q$40)</f>
        <v>5.0000000000000001E-3</v>
      </c>
      <c r="G38" s="16">
        <f>IFERROR(VLOOKUP($E$38,FATORES!$O$43:$Q$44,3),0)</f>
        <v>0</v>
      </c>
      <c r="H38" s="17">
        <f t="shared" si="9"/>
        <v>0.50385000000000002</v>
      </c>
      <c r="I38" s="65">
        <f t="shared" si="8"/>
        <v>0</v>
      </c>
      <c r="J38" s="17">
        <f t="shared" si="10"/>
        <v>0.50385000000000002</v>
      </c>
      <c r="K38" s="76">
        <f>SUMIFS(REALIZADO[META_SVA],REALIZADO[COORDENAÇÃO],$P$7)</f>
        <v>4540.0006000000003</v>
      </c>
      <c r="L38" s="77">
        <f>SUMIFS(REALIZADO[AT_SVA],REALIZADO[COORDENAÇÃO],$P$7)</f>
        <v>882.62999999999988</v>
      </c>
      <c r="M38" s="51">
        <f t="shared" si="14"/>
        <v>0.19441186857992923</v>
      </c>
      <c r="N38" s="16">
        <f>IF($M$38&gt;=FATORES!$O$45,FATORES!$Q$45,0)</f>
        <v>0</v>
      </c>
      <c r="O38" s="14">
        <f t="shared" si="12"/>
        <v>0</v>
      </c>
      <c r="P38" s="18">
        <f t="shared" si="13"/>
        <v>0.50385000000000002</v>
      </c>
      <c r="Q38" s="19">
        <f>IF($H$8=2,P38*0.05,0)</f>
        <v>0</v>
      </c>
      <c r="R38" s="19">
        <f>IF($H$8=3,P38*0.15,0)</f>
        <v>0</v>
      </c>
      <c r="S38" s="100"/>
      <c r="T38" s="126"/>
      <c r="U38" s="126"/>
    </row>
    <row r="39" spans="2:21" x14ac:dyDescent="0.35">
      <c r="B39" s="66"/>
      <c r="C39" s="67"/>
      <c r="D39" s="67"/>
      <c r="E39" s="67"/>
      <c r="F39" s="67"/>
      <c r="G39" s="67"/>
      <c r="H39" s="67"/>
      <c r="I39" s="67"/>
      <c r="J39" s="68"/>
      <c r="K39" s="69"/>
      <c r="L39" s="67"/>
      <c r="M39" s="67"/>
      <c r="N39" s="67"/>
      <c r="O39" s="67"/>
      <c r="P39" s="70">
        <f>SUM(P30:P38)</f>
        <v>21.422324999999994</v>
      </c>
      <c r="Q39" s="70">
        <f t="shared" ref="Q39:R39" si="15">SUM(Q30:Q38)</f>
        <v>0</v>
      </c>
      <c r="R39" s="70">
        <f t="shared" si="15"/>
        <v>0</v>
      </c>
      <c r="S39" s="71" t="str">
        <f>IF($P$7="ARIEL",IF(MIN(E30,E32,E33,E34,E35,E37,E38)&gt;=100%,SUM(P39:R39)*S30,""),IF(MIN(E30:E38)&gt;=100%,SUM(P39:R39)*S30,""))</f>
        <v/>
      </c>
      <c r="T39" s="72"/>
      <c r="U39" s="72"/>
    </row>
    <row r="41" spans="2:21" ht="18.5" x14ac:dyDescent="0.35">
      <c r="B41" s="236"/>
      <c r="C41" s="237"/>
      <c r="D41" s="237"/>
      <c r="E41" s="237"/>
      <c r="F41" s="237"/>
      <c r="G41" s="237"/>
      <c r="H41" s="237"/>
      <c r="I41" s="237"/>
      <c r="J41" s="237"/>
      <c r="K41" s="237"/>
      <c r="L41" s="237"/>
      <c r="M41" s="237"/>
      <c r="N41" s="237"/>
      <c r="O41" s="237"/>
      <c r="P41" s="237"/>
      <c r="Q41" s="237"/>
      <c r="R41" s="237"/>
      <c r="S41" s="237"/>
      <c r="T41" s="237"/>
      <c r="U41" s="238"/>
    </row>
    <row r="42" spans="2:21" x14ac:dyDescent="0.35">
      <c r="B42" s="232" t="s">
        <v>9</v>
      </c>
      <c r="C42" s="233"/>
      <c r="D42" s="233"/>
      <c r="E42" s="233"/>
      <c r="F42" s="233"/>
      <c r="G42" s="233"/>
      <c r="H42" s="233"/>
      <c r="I42" s="233"/>
      <c r="J42" s="234"/>
      <c r="K42" s="244" t="s">
        <v>54</v>
      </c>
      <c r="L42" s="245"/>
      <c r="M42" s="245"/>
      <c r="N42" s="245"/>
      <c r="O42" s="245"/>
      <c r="P42" s="90"/>
      <c r="Q42" s="90"/>
      <c r="R42" s="90"/>
      <c r="S42" s="90"/>
      <c r="T42" s="89"/>
      <c r="U42" s="89"/>
    </row>
    <row r="43" spans="2:21" ht="14.5" customHeight="1" x14ac:dyDescent="0.35">
      <c r="B43" s="114" t="s">
        <v>214</v>
      </c>
      <c r="C43" s="116" t="s">
        <v>237</v>
      </c>
      <c r="D43" s="117"/>
      <c r="E43" s="104"/>
      <c r="F43" s="118" t="s">
        <v>216</v>
      </c>
      <c r="G43" s="118" t="s">
        <v>217</v>
      </c>
      <c r="H43" s="118" t="s">
        <v>218</v>
      </c>
      <c r="I43" s="118" t="s">
        <v>219</v>
      </c>
      <c r="J43" s="118" t="s">
        <v>220</v>
      </c>
      <c r="K43" s="104" t="s">
        <v>238</v>
      </c>
      <c r="L43" s="105"/>
      <c r="M43" s="105"/>
      <c r="N43" s="106" t="s">
        <v>222</v>
      </c>
      <c r="O43" s="106" t="s">
        <v>223</v>
      </c>
      <c r="P43" s="106" t="s">
        <v>224</v>
      </c>
      <c r="Q43" s="106" t="s">
        <v>225</v>
      </c>
      <c r="R43" s="106" t="s">
        <v>226</v>
      </c>
      <c r="S43" s="106" t="s">
        <v>227</v>
      </c>
      <c r="T43" s="243" t="s">
        <v>240</v>
      </c>
      <c r="U43" s="235" t="s">
        <v>241</v>
      </c>
    </row>
    <row r="44" spans="2:21" x14ac:dyDescent="0.35">
      <c r="B44" s="115"/>
      <c r="C44" s="94" t="s">
        <v>229</v>
      </c>
      <c r="D44" s="120" t="s">
        <v>230</v>
      </c>
      <c r="E44" s="120"/>
      <c r="F44" s="118"/>
      <c r="G44" s="118"/>
      <c r="H44" s="118"/>
      <c r="I44" s="118"/>
      <c r="J44" s="118"/>
      <c r="K44" s="52" t="s">
        <v>229</v>
      </c>
      <c r="L44" s="120" t="s">
        <v>230</v>
      </c>
      <c r="M44" s="120"/>
      <c r="N44" s="106"/>
      <c r="O44" s="106"/>
      <c r="P44" s="106"/>
      <c r="Q44" s="106"/>
      <c r="R44" s="106"/>
      <c r="S44" s="106"/>
      <c r="T44" s="227"/>
      <c r="U44" s="216"/>
    </row>
    <row r="45" spans="2:21" x14ac:dyDescent="0.35">
      <c r="B45" s="45" t="s">
        <v>2</v>
      </c>
      <c r="C45" s="53">
        <f>SUMIFS(REALIZADO[META_MOVEL],REALIZADO[PDV],MASTERPLACE!$M$7)</f>
        <v>14950</v>
      </c>
      <c r="D45" s="54">
        <v>14950</v>
      </c>
      <c r="E45" s="49">
        <f>IFERROR(D45/C45,0)</f>
        <v>1</v>
      </c>
      <c r="F45" s="8">
        <f>VLOOKUP($E$45,FATORES!$I$32:$K$34,3)</f>
        <v>0.04</v>
      </c>
      <c r="G45" s="8">
        <f>IFERROR(VLOOKUP(E45,FATORES!$I$35:$K$36,3),0)</f>
        <v>0.08</v>
      </c>
      <c r="H45" s="9">
        <f>D45*F45</f>
        <v>598</v>
      </c>
      <c r="I45" s="9">
        <f t="shared" ref="I45:I53" si="16">IF($P$7="ARIEL",
   IF(AND($E$45&gt;=69.5%, AND($E$47&gt;=69.5%, $E$48&gt;=69.5%, $E$48&gt;=69.5%, $E$50&gt;=69.5%, $E$50&gt;=69.5%, $E$52&gt;=69.5%, $E$53&gt;=69.5%)),
      D45*G45,
      0),
   IF(AND($E$45&gt;=69.5%, $E$46&gt;=69.5%, $E$47&gt;=69.5%, $E$48&gt;=69.5%, $E$48&gt;=69.5%, $E$50&gt;=69.5%, $E$50&gt;=69.5%, $E$52&gt;=69.5%, $E$53&gt;=69.5%),
      D45*G45,
      0)
)</f>
        <v>0</v>
      </c>
      <c r="J45" s="9">
        <f>H45+I45</f>
        <v>598</v>
      </c>
      <c r="K45" s="53">
        <f>SUMIFS(REALIZADO[META_MOVEL],REALIZADO[COORDENAÇÃO],$P$7)</f>
        <v>53549.999899999995</v>
      </c>
      <c r="L45" s="54">
        <v>59251.104599999991</v>
      </c>
      <c r="M45" s="49">
        <f>IFERROR(L45/K45,0)</f>
        <v>1.1064632065480171</v>
      </c>
      <c r="N45" s="8">
        <f>IF($M$45&gt;=FATORES!$I$37,FATORES!$K$37,0)</f>
        <v>0.03</v>
      </c>
      <c r="O45" s="14">
        <f>IF(E45&gt;=100%,
IF($P$7="ARIEL",
   IF(AND($E$45&gt;=69.5%, AND($E$47&gt;=69.5%, $E$48&gt;=69.5%, $E$48&gt;=69.5%, $E$50&gt;=69.5%, $E$50&gt;=69.5%, $E$52&gt;=69.5%, $E$53&gt;=69.5%)),
      D45*N45,
      0),
   IF(AND($E$45&gt;=69.5%, $E$46&gt;=69.5%, $E$47&gt;=69.5%, $E$48&gt;=69.5%, $E$48&gt;=69.5%, $E$50&gt;=69.5%, $E$50&gt;=69.5%, $E$52&gt;=69.5%, $E$53&gt;=69.5%),
      D45*N45,
      0)
),0)</f>
        <v>0</v>
      </c>
      <c r="P45" s="10">
        <f>J45+O45</f>
        <v>598</v>
      </c>
      <c r="Q45" s="11">
        <f>IF($B$8=2,P45*0.05,0)</f>
        <v>0</v>
      </c>
      <c r="R45" s="11">
        <f>IF($B$8=3,P45*0.15,0)</f>
        <v>0</v>
      </c>
      <c r="S45" s="98">
        <v>0.1</v>
      </c>
      <c r="T45" s="101">
        <f>SUM($P$54:$S$54)</f>
        <v>1059</v>
      </c>
      <c r="U45" s="101">
        <f>T45*0.75</f>
        <v>794.25</v>
      </c>
    </row>
    <row r="46" spans="2:21" x14ac:dyDescent="0.35">
      <c r="B46" s="46" t="s">
        <v>13</v>
      </c>
      <c r="C46" s="55">
        <f>SUMIFS(REALIZADO[META_FIXA],REALIZADO[PDV],MASTERPLACE!$M$7)</f>
        <v>8299.9998000000014</v>
      </c>
      <c r="D46" s="56">
        <v>8400</v>
      </c>
      <c r="E46" s="50">
        <f>IFERROR(D46/C46,0)</f>
        <v>1.0120482171577883</v>
      </c>
      <c r="F46" s="12">
        <f>VLOOKUP($E$46,FATORES!$I$40:$K$42,3)</f>
        <v>0.04</v>
      </c>
      <c r="G46" s="12">
        <f>IFERROR(VLOOKUP(E46,FATORES!$I$43:$K$44,3),0)</f>
        <v>0.1</v>
      </c>
      <c r="H46" s="65">
        <f t="shared" ref="H46:H53" si="17">D46*F46</f>
        <v>336</v>
      </c>
      <c r="I46" s="65">
        <f t="shared" si="16"/>
        <v>0</v>
      </c>
      <c r="J46" s="65">
        <f t="shared" ref="J46:J53" si="18">H46+I46</f>
        <v>336</v>
      </c>
      <c r="K46" s="55">
        <f>SUMIFS(REALIZADO[META_FIXA],REALIZADO[COORDENAÇÃO],$P$7)</f>
        <v>29649.999899999988</v>
      </c>
      <c r="L46" s="56">
        <v>30320.7637</v>
      </c>
      <c r="M46" s="50">
        <f t="shared" ref="M46:M53" si="19">IFERROR(L46/K46,0)</f>
        <v>1.0226227252027751</v>
      </c>
      <c r="N46" s="12">
        <f>IF($M$46&gt;=FATORES!$I$45,FATORES!$K$45,0)</f>
        <v>0.03</v>
      </c>
      <c r="O46" s="14">
        <f t="shared" ref="O46:O53" si="20">IF(E46&gt;=100%,
IF($P$7="ARIEL",
   IF(AND($E$45&gt;=69.5%, AND($E$47&gt;=69.5%, $E$48&gt;=69.5%, $E$48&gt;=69.5%, $E$50&gt;=69.5%, $E$50&gt;=69.5%, $E$52&gt;=69.5%, $E$53&gt;=69.5%)),
      D46*N46,
      0),
   IF(AND($E$45&gt;=69.5%, $E$46&gt;=69.5%, $E$47&gt;=69.5%, $E$48&gt;=69.5%, $E$48&gt;=69.5%, $E$50&gt;=69.5%, $E$50&gt;=69.5%, $E$52&gt;=69.5%, $E$53&gt;=69.5%),
      D46*N46,
      0)
),0)</f>
        <v>0</v>
      </c>
      <c r="P46" s="13">
        <f t="shared" ref="P46:P53" si="21">J46+O46</f>
        <v>336</v>
      </c>
      <c r="Q46" s="15">
        <f>IF($C$8=2,P46*0.05,0)</f>
        <v>0</v>
      </c>
      <c r="R46" s="15">
        <f>IF($C$8=3,P46*0.15,0)</f>
        <v>0</v>
      </c>
      <c r="S46" s="99"/>
      <c r="T46" s="102"/>
      <c r="U46" s="102"/>
    </row>
    <row r="47" spans="2:21" x14ac:dyDescent="0.35">
      <c r="B47" s="46" t="s">
        <v>231</v>
      </c>
      <c r="C47" s="55">
        <v>179000</v>
      </c>
      <c r="D47" s="56">
        <v>250000</v>
      </c>
      <c r="E47" s="50">
        <f>IFERROR(D47/C47,0)</f>
        <v>1.3966480446927374</v>
      </c>
      <c r="F47" s="12">
        <f>VLOOKUP($E$47,FATORES!$B$53:$D$54,3)</f>
        <v>5.0000000000000001E-4</v>
      </c>
      <c r="G47" s="12">
        <f>IFERROR(VLOOKUP(E47,FATORES!$B$55:$D$55,3),0)</f>
        <v>1E-3</v>
      </c>
      <c r="H47" s="65">
        <f t="shared" si="17"/>
        <v>125</v>
      </c>
      <c r="I47" s="65">
        <f t="shared" si="16"/>
        <v>0</v>
      </c>
      <c r="J47" s="65">
        <f t="shared" si="18"/>
        <v>125</v>
      </c>
      <c r="K47" s="55">
        <f>SUMIFS(REALIZADO[META_SMARTPHONE],REALIZADO[COORDENAÇÃO],$P$7)</f>
        <v>741500.00009999995</v>
      </c>
      <c r="L47" s="56">
        <v>1173136.5882999999</v>
      </c>
      <c r="M47" s="50">
        <f t="shared" si="19"/>
        <v>1.5821127284447589</v>
      </c>
      <c r="N47" s="12">
        <f>IF($M$47&gt;=FATORES!$B$56,FATORES!$D$56,0)</f>
        <v>5.0000000000000001E-4</v>
      </c>
      <c r="O47" s="14">
        <f t="shared" si="20"/>
        <v>0</v>
      </c>
      <c r="P47" s="13">
        <f t="shared" si="21"/>
        <v>125</v>
      </c>
      <c r="Q47" s="15">
        <f>IF($D$8=2,P47*0.05,0)</f>
        <v>0</v>
      </c>
      <c r="R47" s="15">
        <f>IF($D$8=3,P47*0.15,0)</f>
        <v>0</v>
      </c>
      <c r="S47" s="99"/>
      <c r="T47" s="102"/>
      <c r="U47" s="102"/>
    </row>
    <row r="48" spans="2:21" x14ac:dyDescent="0.35">
      <c r="B48" s="47" t="s">
        <v>232</v>
      </c>
      <c r="C48" s="96">
        <f>SUMIFS(REALIZADO[META_ACESSORIO],REALIZADO[PDV],MASTERPLACE!$M$7)</f>
        <v>23500.000200000002</v>
      </c>
      <c r="D48" s="56"/>
      <c r="E48" s="97">
        <f>IFERROR((D48+D49)/C48,0)</f>
        <v>0</v>
      </c>
      <c r="F48" s="12">
        <f>VLOOKUP($E$48,FATORES!$B$44:$E$46,3)</f>
        <v>5.0000000000000001E-4</v>
      </c>
      <c r="G48" s="12">
        <f>IFERROR(VLOOKUP(E48,FATORES!$B$47:$E$48,3),0)</f>
        <v>0</v>
      </c>
      <c r="H48" s="65">
        <f t="shared" si="17"/>
        <v>0</v>
      </c>
      <c r="I48" s="65">
        <f t="shared" si="16"/>
        <v>0</v>
      </c>
      <c r="J48" s="65">
        <f t="shared" si="18"/>
        <v>0</v>
      </c>
      <c r="K48" s="96">
        <f>SUMIFS(REALIZADO[META_ACESSORIO],REALIZADO[COORDENAÇÃO],$P$7)</f>
        <v>82600.000300000014</v>
      </c>
      <c r="L48" s="56">
        <v>781.94119999999998</v>
      </c>
      <c r="M48" s="97">
        <f>IFERROR((L48+L49)/K48,0)</f>
        <v>1.0801794585465636</v>
      </c>
      <c r="N48" s="12">
        <f>IF($M$48&gt;=FATORES!$B$49,FATORES!$D$49,0)</f>
        <v>2.5000000000000001E-3</v>
      </c>
      <c r="O48" s="14">
        <f t="shared" si="20"/>
        <v>0</v>
      </c>
      <c r="P48" s="13">
        <f t="shared" si="21"/>
        <v>0</v>
      </c>
      <c r="Q48" s="15">
        <f>IF($E$8=2,P48*0.05,0)</f>
        <v>0</v>
      </c>
      <c r="R48" s="15">
        <f>IF($E$8=3,P48*0.15,0)</f>
        <v>0</v>
      </c>
      <c r="S48" s="99"/>
      <c r="T48" s="102"/>
      <c r="U48" s="102"/>
    </row>
    <row r="49" spans="2:21" x14ac:dyDescent="0.35">
      <c r="B49" s="47" t="s">
        <v>233</v>
      </c>
      <c r="C49" s="96"/>
      <c r="D49" s="56"/>
      <c r="E49" s="97"/>
      <c r="F49" s="12">
        <f>VLOOKUP($E$48,FATORES!$B$44:$E$46,4)</f>
        <v>2.5000000000000001E-4</v>
      </c>
      <c r="G49" s="12">
        <f>IFERROR(VLOOKUP(E48,FATORES!$B$47:$E$48,4),0)</f>
        <v>0</v>
      </c>
      <c r="H49" s="65">
        <f t="shared" si="17"/>
        <v>0</v>
      </c>
      <c r="I49" s="65">
        <f t="shared" si="16"/>
        <v>0</v>
      </c>
      <c r="J49" s="65">
        <f t="shared" si="18"/>
        <v>0</v>
      </c>
      <c r="K49" s="96"/>
      <c r="L49" s="56">
        <v>88440.882400000002</v>
      </c>
      <c r="M49" s="97"/>
      <c r="N49" s="12">
        <f>IF($M$48&gt;=FATORES!$B$49,FATORES!$E$49,0)</f>
        <v>1.25E-3</v>
      </c>
      <c r="O49" s="14">
        <f t="shared" si="20"/>
        <v>0</v>
      </c>
      <c r="P49" s="13">
        <f t="shared" si="21"/>
        <v>0</v>
      </c>
      <c r="Q49" s="15">
        <f>IF($E$8=2,P49*0.05,0)</f>
        <v>0</v>
      </c>
      <c r="R49" s="15">
        <f>IF($E$8=3,P49*0.15,0)</f>
        <v>0</v>
      </c>
      <c r="S49" s="99"/>
      <c r="T49" s="102"/>
      <c r="U49" s="102"/>
    </row>
    <row r="50" spans="2:21" x14ac:dyDescent="0.35">
      <c r="B50" s="46" t="s">
        <v>234</v>
      </c>
      <c r="C50" s="96">
        <f>SUMIFS(REALIZADO[META_ESSENCIAIS],REALIZADO[PDV],MASTERPLACE!$M$7)</f>
        <v>12299.999999999998</v>
      </c>
      <c r="D50" s="56"/>
      <c r="E50" s="97">
        <f>IFERROR((D50+D51)/C50,0)</f>
        <v>0</v>
      </c>
      <c r="F50" s="12">
        <f>VLOOKUP($E$50,FATORES!$B$34:$E$36,3)</f>
        <v>5.0000000000000001E-4</v>
      </c>
      <c r="G50" s="12">
        <f>IFERROR(VLOOKUP(E50,FATORES!$B$37:$E$38,3),0)</f>
        <v>0</v>
      </c>
      <c r="H50" s="65">
        <f t="shared" si="17"/>
        <v>0</v>
      </c>
      <c r="I50" s="65">
        <f t="shared" si="16"/>
        <v>0</v>
      </c>
      <c r="J50" s="65">
        <f t="shared" si="18"/>
        <v>0</v>
      </c>
      <c r="K50" s="96">
        <f>SUMIFS(REALIZADO[META_ESSENCIAIS],REALIZADO[COORDENAÇÃO],$P$7)</f>
        <v>41199.999999999993</v>
      </c>
      <c r="L50" s="56">
        <v>20937.000200000006</v>
      </c>
      <c r="M50" s="97">
        <f>IFERROR((L50+L51)/K50,0)</f>
        <v>1.3757338713592235</v>
      </c>
      <c r="N50" s="12">
        <f>IF($M$50&gt;=FATORES!$B$39,FATORES!$D$39,0)</f>
        <v>8.0000000000000002E-3</v>
      </c>
      <c r="O50" s="14">
        <f t="shared" si="20"/>
        <v>0</v>
      </c>
      <c r="P50" s="13">
        <f t="shared" si="21"/>
        <v>0</v>
      </c>
      <c r="Q50" s="15">
        <f>IF($F$8=2,P50*0.05,0)</f>
        <v>0</v>
      </c>
      <c r="R50" s="15">
        <f>IF($F$8=3,P50*0.15,0)</f>
        <v>0</v>
      </c>
      <c r="S50" s="99"/>
      <c r="T50" s="102"/>
      <c r="U50" s="102"/>
    </row>
    <row r="51" spans="2:21" x14ac:dyDescent="0.35">
      <c r="B51" s="46" t="s">
        <v>235</v>
      </c>
      <c r="C51" s="96"/>
      <c r="D51" s="56"/>
      <c r="E51" s="97"/>
      <c r="F51" s="12">
        <f>VLOOKUP($E$50,FATORES!$B$34:$E$36,4)</f>
        <v>2.5000000000000001E-4</v>
      </c>
      <c r="G51" s="12">
        <f>IFERROR(VLOOKUP(E50,FATORES!$B$37:$E$38,4),0)</f>
        <v>0</v>
      </c>
      <c r="H51" s="65">
        <f t="shared" si="17"/>
        <v>0</v>
      </c>
      <c r="I51" s="65">
        <f t="shared" si="16"/>
        <v>0</v>
      </c>
      <c r="J51" s="65">
        <f t="shared" si="18"/>
        <v>0</v>
      </c>
      <c r="K51" s="96"/>
      <c r="L51" s="56">
        <v>35743.235299999993</v>
      </c>
      <c r="M51" s="97"/>
      <c r="N51" s="12">
        <f>IF($M$50&gt;=FATORES!$B$39,FATORES!$E$39,0)</f>
        <v>4.0000000000000001E-3</v>
      </c>
      <c r="O51" s="14">
        <f t="shared" si="20"/>
        <v>0</v>
      </c>
      <c r="P51" s="13">
        <f t="shared" si="21"/>
        <v>0</v>
      </c>
      <c r="Q51" s="15">
        <f>IF($F$8=2,P51*0.05,0)</f>
        <v>0</v>
      </c>
      <c r="R51" s="15">
        <f>IF($F$8=3,P51*0.15,0)</f>
        <v>0</v>
      </c>
      <c r="S51" s="99"/>
      <c r="T51" s="102"/>
      <c r="U51" s="102"/>
    </row>
    <row r="52" spans="2:21" x14ac:dyDescent="0.35">
      <c r="B52" s="46" t="s">
        <v>212</v>
      </c>
      <c r="C52" s="55">
        <f>SUMIFS(REALIZADO[META_SEGUROS],REALIZADO[PDV],MASTERPLACE!$M$7)</f>
        <v>1599.9999999999998</v>
      </c>
      <c r="D52" s="56"/>
      <c r="E52" s="50">
        <f>IFERROR(D52/C52,0)</f>
        <v>0</v>
      </c>
      <c r="F52" s="83">
        <f>VLOOKUP($E$52,FATORES!$O$32:$Q$34,3)</f>
        <v>5.0000000000000001E-3</v>
      </c>
      <c r="G52" s="12">
        <f>IFERROR(VLOOKUP(E52,FATORES!$O$35:$Q$36,3),0)</f>
        <v>0</v>
      </c>
      <c r="H52" s="65">
        <f t="shared" si="17"/>
        <v>0</v>
      </c>
      <c r="I52" s="65">
        <f t="shared" si="16"/>
        <v>0</v>
      </c>
      <c r="J52" s="65">
        <f t="shared" si="18"/>
        <v>0</v>
      </c>
      <c r="K52" s="55">
        <f>SUMIFS(REALIZADO[META_SEGUROS],REALIZADO[COORDENAÇÃO],$P$7)</f>
        <v>5129.9997999999996</v>
      </c>
      <c r="L52" s="56">
        <v>7282.4294999999993</v>
      </c>
      <c r="M52" s="50">
        <f t="shared" si="19"/>
        <v>1.4195769559289262</v>
      </c>
      <c r="N52" s="12">
        <f>IF($M$52&gt;=FATORES!$O$37,FATORES!$Q$37,0)</f>
        <v>0.03</v>
      </c>
      <c r="O52" s="14">
        <f t="shared" si="20"/>
        <v>0</v>
      </c>
      <c r="P52" s="13">
        <f t="shared" si="21"/>
        <v>0</v>
      </c>
      <c r="Q52" s="15">
        <f>IF($G$8=2,P52*0.05,0)</f>
        <v>0</v>
      </c>
      <c r="R52" s="15">
        <f>IF($G$8=3,P52*0.15,0)</f>
        <v>0</v>
      </c>
      <c r="S52" s="99"/>
      <c r="T52" s="102"/>
      <c r="U52" s="102"/>
    </row>
    <row r="53" spans="2:21" x14ac:dyDescent="0.35">
      <c r="B53" s="48" t="s">
        <v>14</v>
      </c>
      <c r="C53" s="57">
        <f>SUMIFS(REALIZADO[META_SVA],REALIZADO[PDV],MASTERPLACE!$M$7)</f>
        <v>1450.0001999999999</v>
      </c>
      <c r="D53" s="58"/>
      <c r="E53" s="51">
        <f>IFERROR(D53/C53,0)</f>
        <v>0</v>
      </c>
      <c r="F53" s="16">
        <f>IF($E$53&gt;=0,FATORES!$Q$40)</f>
        <v>5.0000000000000001E-3</v>
      </c>
      <c r="G53" s="16">
        <f>IFERROR(VLOOKUP(E53,FATORES!$O$43:$Q$44,3),0)</f>
        <v>0</v>
      </c>
      <c r="H53" s="17">
        <f t="shared" si="17"/>
        <v>0</v>
      </c>
      <c r="I53" s="65">
        <f t="shared" si="16"/>
        <v>0</v>
      </c>
      <c r="J53" s="17">
        <f t="shared" si="18"/>
        <v>0</v>
      </c>
      <c r="K53" s="57">
        <f>SUMIFS(REALIZADO[META_SVA],REALIZADO[COORDENAÇÃO],$P$7)</f>
        <v>4540.0006000000003</v>
      </c>
      <c r="L53" s="58">
        <v>7646.6928999999991</v>
      </c>
      <c r="M53" s="51">
        <f t="shared" si="19"/>
        <v>1.6842933677145326</v>
      </c>
      <c r="N53" s="16">
        <f>IF($M$53&gt;=FATORES!$O$45,FATORES!$Q$45,0)</f>
        <v>5.0000000000000001E-3</v>
      </c>
      <c r="O53" s="14">
        <f t="shared" si="20"/>
        <v>0</v>
      </c>
      <c r="P53" s="18">
        <f t="shared" si="21"/>
        <v>0</v>
      </c>
      <c r="Q53" s="19">
        <f>IF($H$8=2,P53*0.05,0)</f>
        <v>0</v>
      </c>
      <c r="R53" s="19">
        <f>IF($H$8=3,P53*0.15,0)</f>
        <v>0</v>
      </c>
      <c r="S53" s="100"/>
      <c r="T53" s="103"/>
      <c r="U53" s="103"/>
    </row>
    <row r="54" spans="2:21" x14ac:dyDescent="0.35">
      <c r="B54" s="66"/>
      <c r="C54" s="67"/>
      <c r="D54" s="67"/>
      <c r="E54" s="67"/>
      <c r="F54" s="67"/>
      <c r="G54" s="67"/>
      <c r="H54" s="67"/>
      <c r="I54" s="67"/>
      <c r="J54" s="68"/>
      <c r="K54" s="69"/>
      <c r="L54" s="67"/>
      <c r="M54" s="67"/>
      <c r="N54" s="67"/>
      <c r="O54" s="67"/>
      <c r="P54" s="70">
        <f>SUM(P45:P53)</f>
        <v>1059</v>
      </c>
      <c r="Q54" s="70">
        <f t="shared" ref="Q54:R54" si="22">SUM(Q45:Q53)</f>
        <v>0</v>
      </c>
      <c r="R54" s="70">
        <f t="shared" si="22"/>
        <v>0</v>
      </c>
      <c r="S54" s="71" t="str">
        <f>IF($P$7="ARIEL",IF(MIN(E45,E47,E48,E49,E50,E52,E53)&gt;=99.99%,SUM(P54:R54)*S45,""),IF(MIN(E45:E53)&gt;=99.99%,SUM(P54:R54)*S45,""))</f>
        <v/>
      </c>
      <c r="T54" s="153"/>
      <c r="U54" s="153"/>
    </row>
  </sheetData>
  <sheetProtection algorithmName="SHA-512" hashValue="xI4eTzJl98ro4gGS445wzcSO6rsrbA10R5UlGmyX0lJavpy89sv+Yoc54QXELXgYQUbLiLuvVVl+vv1zw/EBWA==" saltValue="TpHND+pQRomwUZ2QZXY9ZA==" spinCount="100000" sheet="1" objects="1" scenarios="1"/>
  <protectedRanges>
    <protectedRange sqref="B8:H8 C45:D53 K45:L53" name="Intervalo1"/>
  </protectedRanges>
  <mergeCells count="101">
    <mergeCell ref="B13:B14"/>
    <mergeCell ref="C13:E13"/>
    <mergeCell ref="F13:F14"/>
    <mergeCell ref="G13:G14"/>
    <mergeCell ref="H13:H14"/>
    <mergeCell ref="I13:I14"/>
    <mergeCell ref="B6:H6"/>
    <mergeCell ref="M6:N6"/>
    <mergeCell ref="M7:N7"/>
    <mergeCell ref="B12:J12"/>
    <mergeCell ref="K18:K19"/>
    <mergeCell ref="M18:M19"/>
    <mergeCell ref="C20:C21"/>
    <mergeCell ref="E20:E21"/>
    <mergeCell ref="K20:K21"/>
    <mergeCell ref="M20:M21"/>
    <mergeCell ref="R13:R14"/>
    <mergeCell ref="S13:S14"/>
    <mergeCell ref="T13:T14"/>
    <mergeCell ref="D14:E14"/>
    <mergeCell ref="L14:M14"/>
    <mergeCell ref="S15:S23"/>
    <mergeCell ref="T15:T23"/>
    <mergeCell ref="J13:J14"/>
    <mergeCell ref="K13:M13"/>
    <mergeCell ref="N13:N14"/>
    <mergeCell ref="O13:O14"/>
    <mergeCell ref="P13:P14"/>
    <mergeCell ref="Q13:Q14"/>
    <mergeCell ref="B27:J27"/>
    <mergeCell ref="B28:B29"/>
    <mergeCell ref="C28:E28"/>
    <mergeCell ref="F28:F29"/>
    <mergeCell ref="G28:G29"/>
    <mergeCell ref="H28:H29"/>
    <mergeCell ref="I28:I29"/>
    <mergeCell ref="J28:J29"/>
    <mergeCell ref="C18:C19"/>
    <mergeCell ref="E18:E19"/>
    <mergeCell ref="T28:T29"/>
    <mergeCell ref="D29:E29"/>
    <mergeCell ref="L29:M29"/>
    <mergeCell ref="S30:S38"/>
    <mergeCell ref="T30:T38"/>
    <mergeCell ref="K28:M28"/>
    <mergeCell ref="N28:N29"/>
    <mergeCell ref="O28:O29"/>
    <mergeCell ref="P28:P29"/>
    <mergeCell ref="Q28:Q29"/>
    <mergeCell ref="R28:R29"/>
    <mergeCell ref="C33:C34"/>
    <mergeCell ref="E33:E34"/>
    <mergeCell ref="K33:K34"/>
    <mergeCell ref="M33:M34"/>
    <mergeCell ref="C35:C36"/>
    <mergeCell ref="E35:E36"/>
    <mergeCell ref="K35:K36"/>
    <mergeCell ref="M35:M36"/>
    <mergeCell ref="S28:S29"/>
    <mergeCell ref="T45:T53"/>
    <mergeCell ref="K43:M43"/>
    <mergeCell ref="N43:N44"/>
    <mergeCell ref="O43:O44"/>
    <mergeCell ref="P43:P44"/>
    <mergeCell ref="Q43:Q44"/>
    <mergeCell ref="R43:R44"/>
    <mergeCell ref="U45:U53"/>
    <mergeCell ref="B42:J42"/>
    <mergeCell ref="K42:O42"/>
    <mergeCell ref="B43:B44"/>
    <mergeCell ref="C43:E43"/>
    <mergeCell ref="F43:F44"/>
    <mergeCell ref="G43:G44"/>
    <mergeCell ref="H43:H44"/>
    <mergeCell ref="I43:I44"/>
    <mergeCell ref="J43:J44"/>
    <mergeCell ref="L44:M44"/>
    <mergeCell ref="T54:U54"/>
    <mergeCell ref="B2:U4"/>
    <mergeCell ref="K27:U27"/>
    <mergeCell ref="U28:U29"/>
    <mergeCell ref="U30:U38"/>
    <mergeCell ref="B41:U41"/>
    <mergeCell ref="U43:U44"/>
    <mergeCell ref="U13:U14"/>
    <mergeCell ref="U15:U23"/>
    <mergeCell ref="B11:U11"/>
    <mergeCell ref="K12:U12"/>
    <mergeCell ref="B26:U26"/>
    <mergeCell ref="C48:C49"/>
    <mergeCell ref="E48:E49"/>
    <mergeCell ref="K48:K49"/>
    <mergeCell ref="M48:M49"/>
    <mergeCell ref="C50:C51"/>
    <mergeCell ref="E50:E51"/>
    <mergeCell ref="K50:K51"/>
    <mergeCell ref="M50:M51"/>
    <mergeCell ref="S43:S44"/>
    <mergeCell ref="T43:T44"/>
    <mergeCell ref="D44:E44"/>
    <mergeCell ref="S45:S53"/>
  </mergeCells>
  <conditionalFormatting sqref="E15:E18 E20 E22:E23">
    <cfRule type="cellIs" dxfId="378" priority="22" operator="between">
      <formula>0.7</formula>
      <formula>1</formula>
    </cfRule>
    <cfRule type="cellIs" dxfId="377" priority="23" operator="greaterThanOrEqual">
      <formula>1</formula>
    </cfRule>
    <cfRule type="cellIs" dxfId="376" priority="24" operator="lessThan">
      <formula>0.7</formula>
    </cfRule>
  </conditionalFormatting>
  <conditionalFormatting sqref="E30:E33 E35 E37:E38">
    <cfRule type="cellIs" dxfId="375" priority="10" operator="between">
      <formula>0.7</formula>
      <formula>1</formula>
    </cfRule>
    <cfRule type="cellIs" dxfId="374" priority="11" operator="greaterThanOrEqual">
      <formula>1</formula>
    </cfRule>
    <cfRule type="cellIs" dxfId="373" priority="12" operator="lessThan">
      <formula>0.7</formula>
    </cfRule>
  </conditionalFormatting>
  <conditionalFormatting sqref="E45:E48 E50 E52:E53">
    <cfRule type="cellIs" dxfId="372" priority="34" operator="between">
      <formula>0.7</formula>
      <formula>1</formula>
    </cfRule>
    <cfRule type="cellIs" dxfId="371" priority="35" operator="greaterThanOrEqual">
      <formula>1</formula>
    </cfRule>
    <cfRule type="cellIs" dxfId="370" priority="36" operator="lessThan">
      <formula>0.7</formula>
    </cfRule>
  </conditionalFormatting>
  <conditionalFormatting sqref="M15:M18">
    <cfRule type="cellIs" dxfId="369" priority="16" operator="between">
      <formula>0.7</formula>
      <formula>1</formula>
    </cfRule>
    <cfRule type="cellIs" dxfId="368" priority="17" operator="greaterThanOrEqual">
      <formula>1</formula>
    </cfRule>
    <cfRule type="cellIs" dxfId="367" priority="18" operator="lessThan">
      <formula>0.7</formula>
    </cfRule>
  </conditionalFormatting>
  <conditionalFormatting sqref="M20">
    <cfRule type="cellIs" dxfId="366" priority="13" operator="between">
      <formula>0.7</formula>
      <formula>1</formula>
    </cfRule>
    <cfRule type="cellIs" dxfId="365" priority="14" operator="greaterThanOrEqual">
      <formula>1</formula>
    </cfRule>
    <cfRule type="cellIs" dxfId="364" priority="15" operator="lessThan">
      <formula>0.7</formula>
    </cfRule>
  </conditionalFormatting>
  <conditionalFormatting sqref="M22:M23">
    <cfRule type="cellIs" dxfId="363" priority="19" operator="between">
      <formula>0.7</formula>
      <formula>1</formula>
    </cfRule>
    <cfRule type="cellIs" dxfId="362" priority="20" operator="greaterThanOrEqual">
      <formula>1</formula>
    </cfRule>
    <cfRule type="cellIs" dxfId="361" priority="21" operator="lessThan">
      <formula>0.7</formula>
    </cfRule>
  </conditionalFormatting>
  <conditionalFormatting sqref="M30:M33">
    <cfRule type="cellIs" dxfId="360" priority="4" operator="between">
      <formula>0.7</formula>
      <formula>1</formula>
    </cfRule>
    <cfRule type="cellIs" dxfId="359" priority="5" operator="greaterThanOrEqual">
      <formula>1</formula>
    </cfRule>
    <cfRule type="cellIs" dxfId="358" priority="6" operator="lessThan">
      <formula>0.7</formula>
    </cfRule>
  </conditionalFormatting>
  <conditionalFormatting sqref="M35">
    <cfRule type="cellIs" dxfId="357" priority="1" operator="between">
      <formula>0.7</formula>
      <formula>1</formula>
    </cfRule>
    <cfRule type="cellIs" dxfId="356" priority="2" operator="greaterThanOrEqual">
      <formula>1</formula>
    </cfRule>
    <cfRule type="cellIs" dxfId="355" priority="3" operator="lessThan">
      <formula>0.7</formula>
    </cfRule>
  </conditionalFormatting>
  <conditionalFormatting sqref="M37:M38">
    <cfRule type="cellIs" dxfId="354" priority="7" operator="between">
      <formula>0.7</formula>
      <formula>1</formula>
    </cfRule>
    <cfRule type="cellIs" dxfId="353" priority="8" operator="greaterThanOrEqual">
      <formula>1</formula>
    </cfRule>
    <cfRule type="cellIs" dxfId="352" priority="9" operator="lessThan">
      <formula>0.7</formula>
    </cfRule>
  </conditionalFormatting>
  <conditionalFormatting sqref="M45:M48">
    <cfRule type="cellIs" dxfId="351" priority="28" operator="between">
      <formula>0.7</formula>
      <formula>1</formula>
    </cfRule>
    <cfRule type="cellIs" dxfId="350" priority="29" operator="greaterThanOrEqual">
      <formula>1</formula>
    </cfRule>
    <cfRule type="cellIs" dxfId="349" priority="30" operator="lessThan">
      <formula>0.7</formula>
    </cfRule>
  </conditionalFormatting>
  <conditionalFormatting sqref="M50">
    <cfRule type="cellIs" dxfId="348" priority="25" operator="between">
      <formula>0.7</formula>
      <formula>1</formula>
    </cfRule>
    <cfRule type="cellIs" dxfId="347" priority="26" operator="greaterThanOrEqual">
      <formula>1</formula>
    </cfRule>
    <cfRule type="cellIs" dxfId="346" priority="27" operator="lessThan">
      <formula>0.7</formula>
    </cfRule>
  </conditionalFormatting>
  <conditionalFormatting sqref="M52:M53">
    <cfRule type="cellIs" dxfId="345" priority="31" operator="between">
      <formula>0.7</formula>
      <formula>1</formula>
    </cfRule>
    <cfRule type="cellIs" dxfId="344" priority="32" operator="greaterThanOrEqual">
      <formula>1</formula>
    </cfRule>
    <cfRule type="cellIs" dxfId="343" priority="33" operator="lessThan">
      <formula>0.7</formula>
    </cfRule>
  </conditionalFormatting>
  <dataValidations count="1">
    <dataValidation type="list" allowBlank="1" showInputMessage="1" showErrorMessage="1" sqref="B8:H8" xr:uid="{503F1BF3-99A1-4802-949E-05D833B38992}">
      <formula1>$V$6:$X$6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701F5-2046-4263-A6A5-BAF5B23D47D6}">
  <dimension ref="B1:X54"/>
  <sheetViews>
    <sheetView showGridLines="0" topLeftCell="P1" zoomScale="70" zoomScaleNormal="70" workbookViewId="0">
      <selection activeCell="AG1" sqref="AG1"/>
    </sheetView>
  </sheetViews>
  <sheetFormatPr defaultRowHeight="14.5" x14ac:dyDescent="0.35"/>
  <cols>
    <col min="1" max="1" width="2.1796875" customWidth="1"/>
    <col min="2" max="2" width="16.453125" customWidth="1"/>
    <col min="3" max="3" width="15" bestFit="1" customWidth="1"/>
    <col min="4" max="4" width="14.54296875" customWidth="1"/>
    <col min="5" max="5" width="13.453125" bestFit="1" customWidth="1"/>
    <col min="6" max="6" width="14" customWidth="1"/>
    <col min="7" max="7" width="18.7265625" customWidth="1"/>
    <col min="8" max="8" width="15" customWidth="1"/>
    <col min="9" max="9" width="20" customWidth="1"/>
    <col min="10" max="10" width="21.1796875" customWidth="1"/>
    <col min="11" max="12" width="16.453125" customWidth="1"/>
    <col min="13" max="13" width="9.7265625" customWidth="1"/>
    <col min="14" max="14" width="20.54296875" customWidth="1"/>
    <col min="15" max="15" width="21" customWidth="1"/>
    <col min="16" max="16" width="15.26953125" customWidth="1"/>
    <col min="17" max="17" width="13" bestFit="1" customWidth="1"/>
    <col min="18" max="18" width="10.453125" bestFit="1" customWidth="1"/>
    <col min="19" max="19" width="12.7265625" bestFit="1" customWidth="1"/>
    <col min="20" max="20" width="14.453125" customWidth="1"/>
    <col min="21" max="21" width="14.1796875" customWidth="1"/>
  </cols>
  <sheetData>
    <row r="1" spans="2:24" x14ac:dyDescent="0.35">
      <c r="B1" s="59"/>
    </row>
    <row r="2" spans="2:24" ht="14.5" customHeight="1" x14ac:dyDescent="0.35">
      <c r="B2" s="146" t="s">
        <v>207</v>
      </c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</row>
    <row r="3" spans="2:24" ht="14.5" customHeight="1" x14ac:dyDescent="0.35">
      <c r="B3" s="146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7"/>
    </row>
    <row r="4" spans="2:24" ht="14.5" customHeight="1" x14ac:dyDescent="0.35">
      <c r="B4" s="146"/>
      <c r="C4" s="147"/>
      <c r="D4" s="147"/>
      <c r="E4" s="147"/>
      <c r="F4" s="147"/>
      <c r="G4" s="147"/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7"/>
      <c r="U4" s="147"/>
    </row>
    <row r="5" spans="2:24" x14ac:dyDescent="0.35">
      <c r="B5" s="60"/>
    </row>
    <row r="6" spans="2:24" ht="14.5" customHeight="1" x14ac:dyDescent="0.35">
      <c r="B6" s="152" t="s">
        <v>208</v>
      </c>
      <c r="C6" s="153"/>
      <c r="D6" s="153"/>
      <c r="E6" s="153"/>
      <c r="F6" s="153"/>
      <c r="G6" s="153"/>
      <c r="H6" s="154"/>
      <c r="M6" s="155" t="s">
        <v>54</v>
      </c>
      <c r="N6" s="156"/>
      <c r="P6" s="74" t="s">
        <v>23</v>
      </c>
      <c r="V6" s="1">
        <v>0</v>
      </c>
      <c r="W6" s="1">
        <v>2</v>
      </c>
      <c r="X6" s="1">
        <v>3</v>
      </c>
    </row>
    <row r="7" spans="2:24" ht="14.5" customHeight="1" x14ac:dyDescent="0.35">
      <c r="B7" s="62" t="s">
        <v>209</v>
      </c>
      <c r="C7" s="2" t="s">
        <v>13</v>
      </c>
      <c r="D7" s="2" t="s">
        <v>210</v>
      </c>
      <c r="E7" s="2" t="s">
        <v>16</v>
      </c>
      <c r="F7" s="2" t="s">
        <v>211</v>
      </c>
      <c r="G7" s="2" t="s">
        <v>212</v>
      </c>
      <c r="H7" s="3" t="s">
        <v>14</v>
      </c>
      <c r="M7" s="157" t="s">
        <v>42</v>
      </c>
      <c r="N7" s="158"/>
      <c r="P7" s="75" t="s">
        <v>45</v>
      </c>
    </row>
    <row r="8" spans="2:24" ht="14.5" customHeight="1" x14ac:dyDescent="0.35">
      <c r="B8" s="63">
        <v>3</v>
      </c>
      <c r="C8" s="4">
        <v>3</v>
      </c>
      <c r="D8" s="4">
        <v>3</v>
      </c>
      <c r="E8" s="4">
        <v>3</v>
      </c>
      <c r="F8" s="4">
        <v>3</v>
      </c>
      <c r="G8" s="4">
        <v>3</v>
      </c>
      <c r="H8" s="5">
        <v>3</v>
      </c>
    </row>
    <row r="9" spans="2:24" x14ac:dyDescent="0.35">
      <c r="B9" s="84"/>
      <c r="C9" s="85"/>
      <c r="D9" s="85"/>
      <c r="E9" s="85"/>
      <c r="F9" s="85"/>
      <c r="G9" s="85"/>
      <c r="H9" s="85"/>
    </row>
    <row r="10" spans="2:24" x14ac:dyDescent="0.35">
      <c r="B10" s="80"/>
      <c r="C10" s="6"/>
      <c r="D10" s="6"/>
      <c r="E10" s="6"/>
      <c r="F10" s="6"/>
      <c r="G10" s="6"/>
      <c r="H10" s="6"/>
    </row>
    <row r="11" spans="2:24" ht="18.5" x14ac:dyDescent="0.35">
      <c r="B11" s="222" t="s">
        <v>213</v>
      </c>
      <c r="C11" s="223"/>
      <c r="D11" s="223"/>
      <c r="E11" s="223"/>
      <c r="F11" s="223"/>
      <c r="G11" s="223"/>
      <c r="H11" s="223"/>
      <c r="I11" s="223"/>
      <c r="J11" s="223"/>
      <c r="K11" s="223"/>
      <c r="L11" s="223"/>
      <c r="M11" s="223"/>
      <c r="N11" s="223"/>
      <c r="O11" s="223"/>
      <c r="P11" s="223"/>
      <c r="Q11" s="223"/>
      <c r="R11" s="223"/>
      <c r="S11" s="223"/>
      <c r="T11" s="223"/>
      <c r="U11" s="224"/>
    </row>
    <row r="12" spans="2:24" x14ac:dyDescent="0.35">
      <c r="B12" s="232" t="s">
        <v>9</v>
      </c>
      <c r="C12" s="233"/>
      <c r="D12" s="233"/>
      <c r="E12" s="233"/>
      <c r="F12" s="233"/>
      <c r="G12" s="233"/>
      <c r="H12" s="233"/>
      <c r="I12" s="233"/>
      <c r="J12" s="234"/>
      <c r="K12" s="225" t="s">
        <v>54</v>
      </c>
      <c r="L12" s="156"/>
      <c r="M12" s="156"/>
      <c r="N12" s="156"/>
      <c r="O12" s="156"/>
      <c r="P12" s="156"/>
      <c r="Q12" s="156"/>
      <c r="R12" s="156"/>
      <c r="S12" s="156"/>
      <c r="T12" s="156"/>
      <c r="U12" s="156"/>
    </row>
    <row r="13" spans="2:24" ht="14.5" customHeight="1" x14ac:dyDescent="0.35">
      <c r="B13" s="115" t="s">
        <v>214</v>
      </c>
      <c r="C13" s="116" t="s">
        <v>215</v>
      </c>
      <c r="D13" s="117"/>
      <c r="E13" s="104"/>
      <c r="F13" s="135" t="s">
        <v>216</v>
      </c>
      <c r="G13" s="135" t="s">
        <v>217</v>
      </c>
      <c r="H13" s="135" t="s">
        <v>218</v>
      </c>
      <c r="I13" s="135" t="s">
        <v>219</v>
      </c>
      <c r="J13" s="135" t="s">
        <v>220</v>
      </c>
      <c r="K13" s="116" t="s">
        <v>221</v>
      </c>
      <c r="L13" s="117"/>
      <c r="M13" s="104"/>
      <c r="N13" s="127" t="s">
        <v>222</v>
      </c>
      <c r="O13" s="127" t="s">
        <v>223</v>
      </c>
      <c r="P13" s="127" t="s">
        <v>224</v>
      </c>
      <c r="Q13" s="127" t="s">
        <v>225</v>
      </c>
      <c r="R13" s="127" t="s">
        <v>226</v>
      </c>
      <c r="S13" s="127" t="s">
        <v>227</v>
      </c>
      <c r="T13" s="226" t="s">
        <v>240</v>
      </c>
      <c r="U13" s="239" t="s">
        <v>241</v>
      </c>
    </row>
    <row r="14" spans="2:24" x14ac:dyDescent="0.35">
      <c r="B14" s="134"/>
      <c r="C14" s="94" t="s">
        <v>229</v>
      </c>
      <c r="D14" s="139" t="s">
        <v>230</v>
      </c>
      <c r="E14" s="140"/>
      <c r="F14" s="136"/>
      <c r="G14" s="136"/>
      <c r="H14" s="136"/>
      <c r="I14" s="136"/>
      <c r="J14" s="136"/>
      <c r="K14" s="52" t="s">
        <v>229</v>
      </c>
      <c r="L14" s="139" t="s">
        <v>230</v>
      </c>
      <c r="M14" s="140"/>
      <c r="N14" s="128"/>
      <c r="O14" s="128"/>
      <c r="P14" s="128"/>
      <c r="Q14" s="128"/>
      <c r="R14" s="128"/>
      <c r="S14" s="128"/>
      <c r="T14" s="227"/>
      <c r="U14" s="216"/>
    </row>
    <row r="15" spans="2:24" x14ac:dyDescent="0.35">
      <c r="B15" s="45" t="s">
        <v>2</v>
      </c>
      <c r="C15" s="76">
        <f>SUMIFS(REALIZADO[META_MOVEL],REALIZADO[PDV],'NORTE SUL'!$M$7)</f>
        <v>8150.0001000000011</v>
      </c>
      <c r="D15" s="77">
        <f>SUMIFS(PROJEÇÃO[PROJ_MOVEL],PROJEÇÃO[PDV],'NORTE SUL'!$M$7)</f>
        <v>8752.6033000000007</v>
      </c>
      <c r="E15" s="49">
        <f>IFERROR(D15/C15,0)</f>
        <v>1.0739390420375576</v>
      </c>
      <c r="F15" s="8">
        <f>VLOOKUP($E$15,FATORES!$I$32:$K$34,3)</f>
        <v>0.04</v>
      </c>
      <c r="G15" s="8">
        <f>IFERROR(VLOOKUP($E$15,FATORES!$I$35:$K$36,3),0)</f>
        <v>0.08</v>
      </c>
      <c r="H15" s="9">
        <f>D15*F15</f>
        <v>350.10413200000005</v>
      </c>
      <c r="I15" s="9">
        <f t="shared" ref="I15:I23" si="0">IF($P$7="ARIEL",
   IF(AND($E$15&gt;=69.5%, AND($E$17&gt;=69.5%, $E$18&gt;=69.5%, $E$18&gt;=69.5%, $E$20&gt;=69.5%, $E$20&gt;=69.5%, $E$22&gt;=69.5%, $E$23&gt;=69.5%)),
      D15*G15,
      0),
   IF(AND($E$15&gt;=69.5%, $E$16&gt;=69.5%, $E$17&gt;=69.5%, $E$18&gt;=69.5%, $E$18&gt;=69.5%, $E$20&gt;=69.5%, $E$20&gt;=69.5%, $E$22&gt;=69.5%, $E$23&gt;=69.5%),
      D15*G15,
      0)
)</f>
        <v>700.2082640000001</v>
      </c>
      <c r="J15" s="9">
        <f>H15+I15</f>
        <v>1050.3123960000003</v>
      </c>
      <c r="K15" s="76">
        <f>SUMIFS(REALIZADO[META_MOVEL],REALIZADO[COORDENAÇÃO],$P$7)</f>
        <v>83640</v>
      </c>
      <c r="L15" s="77">
        <f>SUMIFS(PROJEÇÃO[PROJ_MOVEL],PROJEÇÃO[COORDENAÇÃO],$P$7)</f>
        <v>77669.213200000013</v>
      </c>
      <c r="M15" s="49">
        <f>IFERROR(L15/K15,0)</f>
        <v>0.92861326159732205</v>
      </c>
      <c r="N15" s="8">
        <f>IF($M$15&gt;=FATORES!$I$37,FATORES!$K$37,0)</f>
        <v>0</v>
      </c>
      <c r="O15" s="14">
        <f>IF(E15&gt;=100%,
   IF($P$7="ARIEL",
      IF(AND($E$15&gt;=69.5%,$E$17&gt;=69.5%,$E$18&gt;=69.5%,$E$20&gt;=69.5%,$E$22&gt;=69.5%,$E$23&gt;=69.5%),
         D15*N15,
         0
      ),
      IF(AND($E$15&gt;=69.5%,$E$16&gt;=69.5%,$E$17&gt;=69.5%,$E$18&gt;=69.5%,$E$20&gt;=69.5%,$E$22&gt;=69.5%,$E$23&gt;=69.5%),
         D15*N15,
         0
      )
   ),
0)</f>
        <v>0</v>
      </c>
      <c r="P15" s="10">
        <f>J15+O15</f>
        <v>1050.3123960000003</v>
      </c>
      <c r="Q15" s="11">
        <f>IF($B$8=2,P15*0.05,0)</f>
        <v>0</v>
      </c>
      <c r="R15" s="11">
        <f>IF($B$8=3,P15*0.15,0)</f>
        <v>157.54685940000005</v>
      </c>
      <c r="S15" s="98">
        <v>0.1</v>
      </c>
      <c r="T15" s="124">
        <f>SUM(P24:S24)</f>
        <v>2771.0706486212498</v>
      </c>
      <c r="U15" s="124">
        <f>T15*0.75</f>
        <v>2078.3029864659375</v>
      </c>
    </row>
    <row r="16" spans="2:24" x14ac:dyDescent="0.35">
      <c r="B16" s="46" t="s">
        <v>13</v>
      </c>
      <c r="C16" s="76">
        <f>SUMIFS(REALIZADO[META_FIXA],REALIZADO[PDV],'NORTE SUL'!$M$7)</f>
        <v>4599.9998999999998</v>
      </c>
      <c r="D16" s="77">
        <f>SUMIFS(PROJEÇÃO[PROJ_FIXA],PROJEÇÃO[PDV],'NORTE SUL'!$M$7)</f>
        <v>5383.2911000000004</v>
      </c>
      <c r="E16" s="50">
        <f>IFERROR(D16/C16,0)</f>
        <v>1.1702806993539283</v>
      </c>
      <c r="F16" s="12">
        <f>VLOOKUP($E$16,FATORES!$I$40:$K$42,3)</f>
        <v>0.04</v>
      </c>
      <c r="G16" s="12">
        <f>IFERROR(VLOOKUP($E$16,FATORES!$I$43:$K$44,3),0)</f>
        <v>0.1</v>
      </c>
      <c r="H16" s="65">
        <f t="shared" ref="H16:H23" si="1">D16*F16</f>
        <v>215.33164400000001</v>
      </c>
      <c r="I16" s="65">
        <f t="shared" si="0"/>
        <v>538.32911000000001</v>
      </c>
      <c r="J16" s="65">
        <f t="shared" ref="J16:J23" si="2">H16+I16</f>
        <v>753.660754</v>
      </c>
      <c r="K16" s="76">
        <f>SUMIFS(REALIZADO[META_FIXA],REALIZADO[COORDENAÇÃO],$P$7)</f>
        <v>36849.999799999998</v>
      </c>
      <c r="L16" s="77">
        <f>SUMIFS(PROJEÇÃO[PROJ_FIXA],PROJEÇÃO[COORDENAÇÃO],$P$7)</f>
        <v>42376.122200000013</v>
      </c>
      <c r="M16" s="50">
        <f t="shared" ref="M16:M17" si="3">IFERROR(L16/K16,0)</f>
        <v>1.1499626168247636</v>
      </c>
      <c r="N16" s="12">
        <f>IF($M$16&gt;=FATORES!$I$45,FATORES!$K$45,0)</f>
        <v>0.03</v>
      </c>
      <c r="O16" s="14">
        <f t="shared" ref="O16:O23" si="4">IF(E16&gt;=100%,
   IF($P$7="ARIEL",
      IF(AND($E$15&gt;=69.5%,$E$17&gt;=69.5%,$E$18&gt;=69.5%,$E$20&gt;=69.5%,$E$22&gt;=69.5%,$E$23&gt;=69.5%),
         D16*N16,
         0
      ),
      IF(AND($E$15&gt;=69.5%,$E$16&gt;=69.5%,$E$17&gt;=69.5%,$E$18&gt;=69.5%,$E$20&gt;=69.5%,$E$22&gt;=69.5%,$E$23&gt;=69.5%),
         D16*N16,
         0
      )
   ),
0)</f>
        <v>161.49873300000002</v>
      </c>
      <c r="P16" s="13">
        <f t="shared" ref="P16:P23" si="5">J16+O16</f>
        <v>915.15948700000001</v>
      </c>
      <c r="Q16" s="15">
        <f>IF($C$8=2,P16*0.05,0)</f>
        <v>0</v>
      </c>
      <c r="R16" s="15">
        <f>IF($C$8=3,P16*0.15,0)</f>
        <v>137.27392305000001</v>
      </c>
      <c r="S16" s="99"/>
      <c r="T16" s="125"/>
      <c r="U16" s="125"/>
    </row>
    <row r="17" spans="2:21" x14ac:dyDescent="0.35">
      <c r="B17" s="46" t="s">
        <v>231</v>
      </c>
      <c r="C17" s="53">
        <f>SUMIFS(REALIZADO[META_SMARTPHONE],REALIZADO[PDV],'NORTE SUL'!$M$7)</f>
        <v>209000.0001</v>
      </c>
      <c r="D17" s="78">
        <f>SUMIFS(PROJEÇÃO[PROJ_APARELHO],PROJEÇÃO[PDV],'NORTE SUL'!$M$7)</f>
        <v>208100.6666</v>
      </c>
      <c r="E17" s="50">
        <f>IFERROR(D17/C17,0)</f>
        <v>0.99569696890158033</v>
      </c>
      <c r="F17" s="12">
        <f>VLOOKUP($E$17,FATORES!$B$53:$D$54,3)</f>
        <v>5.0000000000000001E-4</v>
      </c>
      <c r="G17" s="12">
        <f>IFERROR(VLOOKUP($E$17,FATORES!$B$55:$D$55,3),0)</f>
        <v>0</v>
      </c>
      <c r="H17" s="65">
        <f t="shared" si="1"/>
        <v>104.05033330000001</v>
      </c>
      <c r="I17" s="65">
        <f t="shared" si="0"/>
        <v>0</v>
      </c>
      <c r="J17" s="65">
        <f t="shared" si="2"/>
        <v>104.05033330000001</v>
      </c>
      <c r="K17" s="53">
        <f>SUMIFS(REALIZADO[META_SMARTPHONE],REALIZADO[COORDENAÇÃO],$P$7)</f>
        <v>1296000</v>
      </c>
      <c r="L17" s="78">
        <f>SUMIFS(PROJEÇÃO[PROJ_APARELHO],PROJEÇÃO[COORDENAÇÃO],$P$7)</f>
        <v>1267838.5443</v>
      </c>
      <c r="M17" s="50">
        <f t="shared" si="3"/>
        <v>0.97827048171296294</v>
      </c>
      <c r="N17" s="12">
        <f>IF($M$17&gt;=FATORES!$B$56,FATORES!$D$56,0)</f>
        <v>0</v>
      </c>
      <c r="O17" s="14">
        <f t="shared" si="4"/>
        <v>0</v>
      </c>
      <c r="P17" s="13">
        <f t="shared" si="5"/>
        <v>104.05033330000001</v>
      </c>
      <c r="Q17" s="15">
        <f>IF($D$8=2,P17*0.05,0)</f>
        <v>0</v>
      </c>
      <c r="R17" s="15">
        <f>IF($D$8=3,P17*0.15,0)</f>
        <v>15.607549994999999</v>
      </c>
      <c r="S17" s="99"/>
      <c r="T17" s="125"/>
      <c r="U17" s="125"/>
    </row>
    <row r="18" spans="2:21" x14ac:dyDescent="0.35">
      <c r="B18" s="47" t="s">
        <v>232</v>
      </c>
      <c r="C18" s="121">
        <f>SUMIFS(REALIZADO[META_ACESSORIO],REALIZADO[PDV],'NORTE SUL'!$M$7)</f>
        <v>14250</v>
      </c>
      <c r="D18" s="86">
        <f>SUMIFS(PROJEÇÃO[PROJ_ELETRO_A],PROJEÇÃO[PDV],'NORTE SUL'!$M$7)</f>
        <v>1045</v>
      </c>
      <c r="E18" s="123">
        <f>IFERROR((D18+D19)/C18,0)</f>
        <v>1.8281481473684209</v>
      </c>
      <c r="F18" s="12">
        <f>VLOOKUP($E$18,FATORES!$B$44:$E$46,3)</f>
        <v>1.5E-3</v>
      </c>
      <c r="G18" s="12">
        <f>IFERROR(VLOOKUP($E$18,FATORES!$B$47:$E$48,3),0)</f>
        <v>7.0000000000000001E-3</v>
      </c>
      <c r="H18" s="65">
        <f t="shared" si="1"/>
        <v>1.5675000000000001</v>
      </c>
      <c r="I18" s="65">
        <f t="shared" si="0"/>
        <v>7.3150000000000004</v>
      </c>
      <c r="J18" s="65">
        <f t="shared" si="2"/>
        <v>8.8825000000000003</v>
      </c>
      <c r="K18" s="121">
        <f>SUMIFS(REALIZADO[META_ACESSORIO],REALIZADO[COORDENAÇÃO],$P$7)</f>
        <v>141750</v>
      </c>
      <c r="L18" s="86">
        <f>SUMIFS(PROJEÇÃO[PROJ_ELETRO_A],PROJEÇÃO[COORDENAÇÃO],$P$7)</f>
        <v>2847.8889000000004</v>
      </c>
      <c r="M18" s="97">
        <f>IFERROR((L18+L19)/K18,0)</f>
        <v>1.1761539851851854</v>
      </c>
      <c r="N18" s="12">
        <f>IF($M$18&gt;=FATORES!$B$49,FATORES!$D$49,0)</f>
        <v>2.5000000000000001E-3</v>
      </c>
      <c r="O18" s="14">
        <f t="shared" si="4"/>
        <v>2.6125000000000003</v>
      </c>
      <c r="P18" s="13">
        <f t="shared" si="5"/>
        <v>11.495000000000001</v>
      </c>
      <c r="Q18" s="15">
        <f>IF($E$8=2,P18*0.05,0)</f>
        <v>0</v>
      </c>
      <c r="R18" s="15">
        <f>IF($E$8=3,P18*0.15,0)</f>
        <v>1.7242500000000001</v>
      </c>
      <c r="S18" s="99"/>
      <c r="T18" s="125"/>
      <c r="U18" s="125"/>
    </row>
    <row r="19" spans="2:21" x14ac:dyDescent="0.35">
      <c r="B19" s="47" t="s">
        <v>233</v>
      </c>
      <c r="C19" s="122"/>
      <c r="D19" s="87">
        <f>SUMIFS(PROJEÇÃO[PROJ_ELETRO_B],PROJEÇÃO[PDV],'NORTE SUL'!$M$7)</f>
        <v>25006.111099999998</v>
      </c>
      <c r="E19" s="123"/>
      <c r="F19" s="12">
        <f>VLOOKUP($E$18,FATORES!$B$44:$E$46,4)</f>
        <v>7.5000000000000002E-4</v>
      </c>
      <c r="G19" s="12">
        <f>IFERROR(VLOOKUP($E$18,FATORES!$B$47:$E$48,4),0)</f>
        <v>3.5000000000000001E-3</v>
      </c>
      <c r="H19" s="65">
        <f t="shared" si="1"/>
        <v>18.754583324999999</v>
      </c>
      <c r="I19" s="65">
        <f t="shared" si="0"/>
        <v>87.521388849999994</v>
      </c>
      <c r="J19" s="65">
        <f t="shared" si="2"/>
        <v>106.27597217499999</v>
      </c>
      <c r="K19" s="122"/>
      <c r="L19" s="87">
        <f>SUMIFS(PROJEÇÃO[PROJ_ELETRO_B],PROJEÇÃO[COORDENAÇÃO],$P$7)</f>
        <v>163871.93850000005</v>
      </c>
      <c r="M19" s="97"/>
      <c r="N19" s="12">
        <f>IF($M$18&gt;=FATORES!$B$49,FATORES!$E$49,0)</f>
        <v>1.25E-3</v>
      </c>
      <c r="O19" s="14">
        <f t="shared" si="4"/>
        <v>0</v>
      </c>
      <c r="P19" s="13">
        <f t="shared" si="5"/>
        <v>106.27597217499999</v>
      </c>
      <c r="Q19" s="15">
        <f>IF($E$8=2,P19*0.05,0)</f>
        <v>0</v>
      </c>
      <c r="R19" s="15">
        <f>IF($E$8=3,P19*0.15,0)</f>
        <v>15.941395826249998</v>
      </c>
      <c r="S19" s="99"/>
      <c r="T19" s="125"/>
      <c r="U19" s="125"/>
    </row>
    <row r="20" spans="2:21" x14ac:dyDescent="0.35">
      <c r="B20" s="46" t="s">
        <v>234</v>
      </c>
      <c r="C20" s="121">
        <f>SUMIFS(REALIZADO[META_ESSENCIAIS],REALIZADO[PDV],'NORTE SUL'!$M$7)</f>
        <v>11000.000100000001</v>
      </c>
      <c r="D20" s="86">
        <f>SUMIFS(PROJEÇÃO[PROJ_ESSEN_A],PROJEÇÃO[PDV],'NORTE SUL'!$M$7)</f>
        <v>4173.6666999999998</v>
      </c>
      <c r="E20" s="123">
        <f>IFERROR((D20+D21)/C20,0)</f>
        <v>1.0519090904371899</v>
      </c>
      <c r="F20" s="12">
        <f>VLOOKUP($E$20,FATORES!$B$34:$E$36,3)</f>
        <v>1.5E-3</v>
      </c>
      <c r="G20" s="12">
        <f>IFERROR(VLOOKUP($E$20,FATORES!$B$37:$E$38,3),0)</f>
        <v>6.0000000000000001E-3</v>
      </c>
      <c r="H20" s="65">
        <f t="shared" si="1"/>
        <v>6.2605000500000001</v>
      </c>
      <c r="I20" s="65">
        <f t="shared" si="0"/>
        <v>25.0420002</v>
      </c>
      <c r="J20" s="65">
        <f t="shared" si="2"/>
        <v>31.302500250000001</v>
      </c>
      <c r="K20" s="121">
        <f>SUMIFS(REALIZADO[META_ESSENCIAIS],REALIZADO[COORDENAÇÃO],$P$7)</f>
        <v>80500.0003</v>
      </c>
      <c r="L20" s="86">
        <f>SUMIFS(PROJEÇÃO[PROJ_ESSEN_A],PROJEÇÃO[COORDENAÇÃO],$P$7)</f>
        <v>32670.500100000008</v>
      </c>
      <c r="M20" s="97">
        <f>IFERROR((L20+L21)/K20,0)</f>
        <v>0.97865446467582207</v>
      </c>
      <c r="N20" s="12">
        <f>IF($M$20&gt;=FATORES!$B$39,FATORES!$D$39,0)</f>
        <v>0</v>
      </c>
      <c r="O20" s="14">
        <f t="shared" si="4"/>
        <v>0</v>
      </c>
      <c r="P20" s="13">
        <f t="shared" si="5"/>
        <v>31.302500250000001</v>
      </c>
      <c r="Q20" s="15">
        <f>IF($F$8=2,P20*0.05,0)</f>
        <v>0</v>
      </c>
      <c r="R20" s="15">
        <f>IF($F$8=3,P20*0.15,0)</f>
        <v>4.6953750374999998</v>
      </c>
      <c r="S20" s="99"/>
      <c r="T20" s="125"/>
      <c r="U20" s="125"/>
    </row>
    <row r="21" spans="2:21" x14ac:dyDescent="0.35">
      <c r="B21" s="46" t="s">
        <v>235</v>
      </c>
      <c r="C21" s="122"/>
      <c r="D21" s="87">
        <f>SUMIFS(PROJEÇÃO[PROJ_ESSEN_B],PROJEÇÃO[PDV],'NORTE SUL'!$M$7)</f>
        <v>7397.3333999999995</v>
      </c>
      <c r="E21" s="123"/>
      <c r="F21" s="12">
        <f>VLOOKUP($E$20,FATORES!$B$34:$E$36,4)</f>
        <v>7.5000000000000002E-4</v>
      </c>
      <c r="G21" s="12">
        <f>IFERROR(VLOOKUP($E$20,FATORES!$B$37:$E$38,4),0)</f>
        <v>3.0000000000000001E-3</v>
      </c>
      <c r="H21" s="65">
        <f t="shared" si="1"/>
        <v>5.5480000499999997</v>
      </c>
      <c r="I21" s="65">
        <f t="shared" si="0"/>
        <v>22.192000199999999</v>
      </c>
      <c r="J21" s="65">
        <f t="shared" si="2"/>
        <v>27.740000249999998</v>
      </c>
      <c r="K21" s="122"/>
      <c r="L21" s="87">
        <f>SUMIFS(PROJEÇÃO[PROJ_ESSEN_B],PROJEÇÃO[COORDENAÇÃO],$P$7)</f>
        <v>46111.184600000001</v>
      </c>
      <c r="M21" s="97"/>
      <c r="N21" s="12">
        <f>IF($M$20&gt;=FATORES!$B$39,FATORES!$E$39,0)</f>
        <v>0</v>
      </c>
      <c r="O21" s="14">
        <f t="shared" si="4"/>
        <v>0</v>
      </c>
      <c r="P21" s="13">
        <f t="shared" si="5"/>
        <v>27.740000249999998</v>
      </c>
      <c r="Q21" s="15">
        <f>IF($F$8=2,P21*0.05,0)</f>
        <v>0</v>
      </c>
      <c r="R21" s="15">
        <f>IF($F$8=3,P21*0.15,0)</f>
        <v>4.1610000374999991</v>
      </c>
      <c r="S21" s="99"/>
      <c r="T21" s="125"/>
      <c r="U21" s="125"/>
    </row>
    <row r="22" spans="2:21" x14ac:dyDescent="0.35">
      <c r="B22" s="46" t="s">
        <v>212</v>
      </c>
      <c r="C22" s="57">
        <f>SUMIFS(REALIZADO[META_SEGUROS],REALIZADO[PDV],'NORTE SUL'!$M$7)</f>
        <v>890.00009999999997</v>
      </c>
      <c r="D22" s="79">
        <f>SUMIFS(PROJEÇÃO[PROJ_SEGURO],PROJEÇÃO[PDV],'NORTE SUL'!$M$7)</f>
        <v>1020.0889</v>
      </c>
      <c r="E22" s="83">
        <f>IFERROR(D22/C22,0)</f>
        <v>1.1461671745879578</v>
      </c>
      <c r="F22" s="83">
        <f>VLOOKUP($E$22,FATORES!$O$32:$Q$34,3)</f>
        <v>0.04</v>
      </c>
      <c r="G22" s="12">
        <f>IFERROR(VLOOKUP($E$22,FATORES!$O$35:$Q$36,3),0)</f>
        <v>0.1</v>
      </c>
      <c r="H22" s="65">
        <f t="shared" si="1"/>
        <v>40.803556</v>
      </c>
      <c r="I22" s="65">
        <f t="shared" si="0"/>
        <v>102.00889000000001</v>
      </c>
      <c r="J22" s="65">
        <f t="shared" si="2"/>
        <v>142.81244600000002</v>
      </c>
      <c r="K22" s="57">
        <f>SUMIFS(REALIZADO[META_SEGUROS],REALIZADO[COORDENAÇÃO],$P$7)</f>
        <v>8560.0000999999993</v>
      </c>
      <c r="L22" s="79">
        <f>SUMIFS(PROJEÇÃO[PROJ_SEGURO],PROJEÇÃO[COORDENAÇÃO],$P$7)</f>
        <v>8140.4447</v>
      </c>
      <c r="M22" s="50">
        <f t="shared" ref="M22:M23" si="6">IFERROR(L22/K22,0)</f>
        <v>0.95098651926417621</v>
      </c>
      <c r="N22" s="12">
        <f>IF($M$22&gt;=FATORES!$O$37,FATORES!$Q$37,0)</f>
        <v>0</v>
      </c>
      <c r="O22" s="14">
        <f t="shared" si="4"/>
        <v>0</v>
      </c>
      <c r="P22" s="13">
        <f t="shared" si="5"/>
        <v>142.81244600000002</v>
      </c>
      <c r="Q22" s="15">
        <f>IF($G$8=2,P22*0.05,0)</f>
        <v>0</v>
      </c>
      <c r="R22" s="15">
        <f>IF($G$8=3,P22*0.15,0)</f>
        <v>21.421866900000001</v>
      </c>
      <c r="S22" s="99"/>
      <c r="T22" s="125"/>
      <c r="U22" s="125"/>
    </row>
    <row r="23" spans="2:21" x14ac:dyDescent="0.35">
      <c r="B23" s="48" t="s">
        <v>14</v>
      </c>
      <c r="C23" s="76">
        <f>SUMIFS(REALIZADO[META_SVA],REALIZADO[PDV],'NORTE SUL'!$M$7)</f>
        <v>900</v>
      </c>
      <c r="D23" s="77">
        <f>SUMIFS(PROJEÇÃO[PROJ_SVA],PROJEÇÃO[PDV],'NORTE SUL'!$M$7)</f>
        <v>1365.2344000000001</v>
      </c>
      <c r="E23" s="82">
        <f>IFERROR(D23/C23,0)</f>
        <v>1.5169271111111111</v>
      </c>
      <c r="F23" s="16">
        <f>IF($E$23&gt;=0,FATORES!$Q$40)</f>
        <v>5.0000000000000001E-3</v>
      </c>
      <c r="G23" s="16">
        <f>IFERROR(VLOOKUP($E$23,FATORES!$O$43:$Q$44,3),0)</f>
        <v>5.0000000000000001E-3</v>
      </c>
      <c r="H23" s="17">
        <f t="shared" si="1"/>
        <v>6.8261720000000006</v>
      </c>
      <c r="I23" s="65">
        <f t="shared" si="0"/>
        <v>6.8261720000000006</v>
      </c>
      <c r="J23" s="17">
        <f t="shared" si="2"/>
        <v>13.652344000000001</v>
      </c>
      <c r="K23" s="76">
        <f>SUMIFS(REALIZADO[META_SVA],REALIZADO[COORDENAÇÃO],$P$7)</f>
        <v>7799.9998999999989</v>
      </c>
      <c r="L23" s="77">
        <f>SUMIFS(PROJEÇÃO[PROJ_SVA],PROJEÇÃO[COORDENAÇÃO],$P$7)</f>
        <v>10286.177699999998</v>
      </c>
      <c r="M23" s="51">
        <f t="shared" si="6"/>
        <v>1.3187407476761634</v>
      </c>
      <c r="N23" s="16">
        <f>IF($M$23&gt;=FATORES!$O$45,FATORES!$Q$45,0)</f>
        <v>5.0000000000000001E-3</v>
      </c>
      <c r="O23" s="14">
        <f t="shared" si="4"/>
        <v>6.8261720000000006</v>
      </c>
      <c r="P23" s="18">
        <f t="shared" si="5"/>
        <v>20.478516000000003</v>
      </c>
      <c r="Q23" s="19">
        <f>IF($H$8=2,P23*0.05,0)</f>
        <v>0</v>
      </c>
      <c r="R23" s="19">
        <f>IF($H$8=3,P23*0.15,0)</f>
        <v>3.0717774000000002</v>
      </c>
      <c r="S23" s="100"/>
      <c r="T23" s="126"/>
      <c r="U23" s="126"/>
    </row>
    <row r="24" spans="2:21" x14ac:dyDescent="0.35">
      <c r="B24" s="66"/>
      <c r="C24" s="67"/>
      <c r="D24" s="67"/>
      <c r="E24" s="67"/>
      <c r="F24" s="67"/>
      <c r="G24" s="67"/>
      <c r="H24" s="67"/>
      <c r="I24" s="67"/>
      <c r="J24" s="68"/>
      <c r="K24" s="69"/>
      <c r="L24" s="67"/>
      <c r="M24" s="67"/>
      <c r="N24" s="67"/>
      <c r="O24" s="67"/>
      <c r="P24" s="70">
        <f>SUM(P15:P23)</f>
        <v>2409.6266509749998</v>
      </c>
      <c r="Q24" s="70">
        <f t="shared" ref="Q24:R24" si="7">SUM(Q15:Q23)</f>
        <v>0</v>
      </c>
      <c r="R24" s="70">
        <f t="shared" si="7"/>
        <v>361.44399764625001</v>
      </c>
      <c r="S24" s="71" t="str">
        <f>IF($P$7="ARIEL",IF(MIN(E15,E17,E18,E19,E20,E22,E23)&gt;=100%,SUM(P24:R24)*S15,""),IF(MIN(E15:E23)&gt;=100%,SUM(P24:R24)*S15,""))</f>
        <v/>
      </c>
      <c r="T24" s="153"/>
      <c r="U24" s="153"/>
    </row>
    <row r="25" spans="2:21" ht="16.149999999999999" customHeight="1" x14ac:dyDescent="0.35">
      <c r="B25" s="80"/>
      <c r="C25" s="6"/>
      <c r="D25" s="6"/>
      <c r="E25" s="6"/>
      <c r="F25" s="6"/>
      <c r="G25" s="6"/>
      <c r="H25" s="6"/>
      <c r="T25" s="61"/>
    </row>
    <row r="26" spans="2:21" ht="18.5" x14ac:dyDescent="0.35">
      <c r="B26" s="240" t="s">
        <v>236</v>
      </c>
      <c r="C26" s="241"/>
      <c r="D26" s="241"/>
      <c r="E26" s="241"/>
      <c r="F26" s="241"/>
      <c r="G26" s="241"/>
      <c r="H26" s="241"/>
      <c r="I26" s="241"/>
      <c r="J26" s="241"/>
      <c r="K26" s="241"/>
      <c r="L26" s="241"/>
      <c r="M26" s="241"/>
      <c r="N26" s="241"/>
      <c r="O26" s="241"/>
      <c r="P26" s="241"/>
      <c r="Q26" s="241"/>
      <c r="R26" s="241"/>
      <c r="S26" s="241"/>
      <c r="T26" s="241"/>
      <c r="U26" s="242"/>
    </row>
    <row r="27" spans="2:21" x14ac:dyDescent="0.35">
      <c r="B27" s="232" t="s">
        <v>9</v>
      </c>
      <c r="C27" s="233"/>
      <c r="D27" s="233"/>
      <c r="E27" s="233"/>
      <c r="F27" s="233"/>
      <c r="G27" s="233"/>
      <c r="H27" s="233"/>
      <c r="I27" s="233"/>
      <c r="J27" s="234"/>
      <c r="K27" s="225" t="s">
        <v>54</v>
      </c>
      <c r="L27" s="156"/>
      <c r="M27" s="156"/>
      <c r="N27" s="156"/>
      <c r="O27" s="156"/>
      <c r="P27" s="156"/>
      <c r="Q27" s="156"/>
      <c r="R27" s="156"/>
      <c r="S27" s="156"/>
      <c r="T27" s="156"/>
      <c r="U27" s="156"/>
    </row>
    <row r="28" spans="2:21" ht="14.5" customHeight="1" x14ac:dyDescent="0.35">
      <c r="B28" s="115" t="s">
        <v>214</v>
      </c>
      <c r="C28" s="116" t="s">
        <v>237</v>
      </c>
      <c r="D28" s="117"/>
      <c r="E28" s="104"/>
      <c r="F28" s="135" t="s">
        <v>216</v>
      </c>
      <c r="G28" s="135" t="s">
        <v>217</v>
      </c>
      <c r="H28" s="135" t="s">
        <v>218</v>
      </c>
      <c r="I28" s="135" t="s">
        <v>219</v>
      </c>
      <c r="J28" s="135" t="s">
        <v>220</v>
      </c>
      <c r="K28" s="116" t="s">
        <v>238</v>
      </c>
      <c r="L28" s="117"/>
      <c r="M28" s="104"/>
      <c r="N28" s="127" t="s">
        <v>222</v>
      </c>
      <c r="O28" s="127" t="s">
        <v>223</v>
      </c>
      <c r="P28" s="127" t="s">
        <v>224</v>
      </c>
      <c r="Q28" s="127" t="s">
        <v>225</v>
      </c>
      <c r="R28" s="127" t="s">
        <v>226</v>
      </c>
      <c r="S28" s="127" t="s">
        <v>227</v>
      </c>
      <c r="T28" s="226" t="s">
        <v>240</v>
      </c>
      <c r="U28" s="239" t="s">
        <v>241</v>
      </c>
    </row>
    <row r="29" spans="2:21" ht="14.5" customHeight="1" x14ac:dyDescent="0.35">
      <c r="B29" s="134"/>
      <c r="C29" s="94" t="s">
        <v>229</v>
      </c>
      <c r="D29" s="139" t="s">
        <v>230</v>
      </c>
      <c r="E29" s="140"/>
      <c r="F29" s="136"/>
      <c r="G29" s="136"/>
      <c r="H29" s="136"/>
      <c r="I29" s="136"/>
      <c r="J29" s="136"/>
      <c r="K29" s="52" t="s">
        <v>229</v>
      </c>
      <c r="L29" s="139" t="s">
        <v>230</v>
      </c>
      <c r="M29" s="140"/>
      <c r="N29" s="128"/>
      <c r="O29" s="128"/>
      <c r="P29" s="128"/>
      <c r="Q29" s="128"/>
      <c r="R29" s="128"/>
      <c r="S29" s="128"/>
      <c r="T29" s="227"/>
      <c r="U29" s="216"/>
    </row>
    <row r="30" spans="2:21" x14ac:dyDescent="0.35">
      <c r="B30" s="45" t="s">
        <v>2</v>
      </c>
      <c r="C30" s="76">
        <f>SUMIFS(REALIZADO[META_MOVEL],REALIZADO[PDV],'NORTE SUL'!$M$7)</f>
        <v>8150.0001000000011</v>
      </c>
      <c r="D30" s="77">
        <f>SUMIFS(REALIZADO[AT_MOVEL],REALIZADO[PDV],'NORTE SUL'!$M$7)</f>
        <v>902.96</v>
      </c>
      <c r="E30" s="49">
        <f>IFERROR(D30/C30,0)</f>
        <v>0.11079263667739095</v>
      </c>
      <c r="F30" s="8">
        <f>VLOOKUP($E$30,FATORES!$I$32:$K$34,3)</f>
        <v>5.0000000000000001E-3</v>
      </c>
      <c r="G30" s="8">
        <f>IFERROR(VLOOKUP($E$30,FATORES!$I$35:$K$36,3),0)</f>
        <v>0</v>
      </c>
      <c r="H30" s="9">
        <f>D30*F30</f>
        <v>4.5148000000000001</v>
      </c>
      <c r="I30" s="9">
        <f t="shared" ref="I30:I38" si="8">IF($P$7="ARIEL",
   IF(AND($E$30&gt;=69.5%, AND($E$32&gt;=69.5%, $E$33&gt;=69.5%, $E$33&gt;=69.5%, $E$35&gt;=69.5%, $E$35&gt;=69.5%, $E$37&gt;=69.5%, $E$38&gt;=69.5%)),
      D30*G30,
      0),
   IF(AND($E$30&gt;=69.5%, $E$31&gt;=69.5%, $E$32&gt;=69.5%, $E$33&gt;=69.5%, $E$33&gt;=69.5%, $E$35&gt;=69.5%, $E$35&gt;=69.5%, $E$37&gt;=69.5%, $E$38&gt;=69.5%),
      D30*G30,
      0)
)</f>
        <v>0</v>
      </c>
      <c r="J30" s="9">
        <f>H30+I30</f>
        <v>4.5148000000000001</v>
      </c>
      <c r="K30" s="76">
        <f>SUMIFS(REALIZADO[META_MOVEL],REALIZADO[COORDENAÇÃO],$P$7)</f>
        <v>83640</v>
      </c>
      <c r="L30" s="77">
        <f>SUMIFS(REALIZADO[AT_MOVEL],REALIZADO[COORDENAÇÃO],$P$7)</f>
        <v>10363.76</v>
      </c>
      <c r="M30" s="49">
        <f>IFERROR(L30/K30,0)</f>
        <v>0.1239091343854615</v>
      </c>
      <c r="N30" s="8">
        <f>IF($M$30&gt;=FATORES!$I$37,FATORES!$K$37,0)</f>
        <v>0</v>
      </c>
      <c r="O30" s="14">
        <f>IF(E30&gt;=100%,
IF($P$7="ARIEL",
IF(AND($E$30&gt;=69.5%,$E$32&gt;=69.5%,$E$33&gt;=69.5%,$E$35&gt;=69.5%,$E$37&gt;=69.5%,$E$38&gt;=69.5%),
D30*N30,
0),
IF(AND($E$30&gt;=69.5%,$E$31&gt;=69.5%,$E$32&gt;=69.5%,$E$33&gt;=69.5%,$E$35&gt;=69.5%,$E$37&gt;=69.5%,$E$38&gt;=69.5%),
D30*N30,
0)
),0)</f>
        <v>0</v>
      </c>
      <c r="P30" s="10">
        <f>J30+O30</f>
        <v>4.5148000000000001</v>
      </c>
      <c r="Q30" s="11">
        <f>IF($B$8=2,P30*0.05,0)</f>
        <v>0</v>
      </c>
      <c r="R30" s="11">
        <f>IF($B$8=3,P30*0.15,0)</f>
        <v>0.67722000000000004</v>
      </c>
      <c r="S30" s="98">
        <v>0.1</v>
      </c>
      <c r="T30" s="124">
        <f>SUM(P39:S39)</f>
        <v>11.7636375</v>
      </c>
      <c r="U30" s="124">
        <f>T30*0.75</f>
        <v>8.8227281249999994</v>
      </c>
    </row>
    <row r="31" spans="2:21" x14ac:dyDescent="0.35">
      <c r="B31" s="46" t="s">
        <v>13</v>
      </c>
      <c r="C31" s="76">
        <f>SUMIFS(REALIZADO[META_FIXA],REALIZADO[PDV],'NORTE SUL'!$M$7)</f>
        <v>4599.9998999999998</v>
      </c>
      <c r="D31" s="77">
        <f>SUMIFS(REALIZADO[AT_FIXA],REALIZADO[PDV],'NORTE SUL'!$M$7)</f>
        <v>290</v>
      </c>
      <c r="E31" s="50">
        <f>IFERROR(D31/C31,0)</f>
        <v>6.3043479631379989E-2</v>
      </c>
      <c r="F31" s="12">
        <f>VLOOKUP($E$31,FATORES!$I$40:$K$42,3)</f>
        <v>5.0000000000000001E-3</v>
      </c>
      <c r="G31" s="12">
        <f>IFERROR(VLOOKUP($E$31,FATORES!$I$43:$K$44,3),0)</f>
        <v>0</v>
      </c>
      <c r="H31" s="65">
        <f t="shared" ref="H31:H38" si="9">D31*F31</f>
        <v>1.45</v>
      </c>
      <c r="I31" s="65">
        <f t="shared" si="8"/>
        <v>0</v>
      </c>
      <c r="J31" s="65">
        <f t="shared" ref="J31:J38" si="10">H31+I31</f>
        <v>1.45</v>
      </c>
      <c r="K31" s="76">
        <f>SUMIFS(REALIZADO[META_FIXA],REALIZADO[COORDENAÇÃO],$P$7)</f>
        <v>36849.999799999998</v>
      </c>
      <c r="L31" s="77">
        <f>SUMIFS(REALIZADO[AT_FIXA],REALIZADO[COORDENAÇÃO],$P$7)</f>
        <v>4391.01</v>
      </c>
      <c r="M31" s="50">
        <f t="shared" ref="M31:M32" si="11">IFERROR(L31/K31,0)</f>
        <v>0.11915902371321045</v>
      </c>
      <c r="N31" s="12">
        <f>IF($M$31&gt;=FATORES!$I$45,FATORES!$K$45,0)</f>
        <v>0</v>
      </c>
      <c r="O31" s="14">
        <f t="shared" ref="O31:O38" si="12">IF(E31&gt;=100%,
IF($P$7="ARIEL",
IF(AND($E$30&gt;=69.5%,$E$32&gt;=69.5%,$E$33&gt;=69.5%,$E$35&gt;=69.5%,$E$37&gt;=69.5%,$E$38&gt;=69.5%),
D31*N31,
0),
IF(AND($E$30&gt;=69.5%,$E$31&gt;=69.5%,$E$32&gt;=69.5%,$E$33&gt;=69.5%,$E$35&gt;=69.5%,$E$37&gt;=69.5%,$E$38&gt;=69.5%),
D31*N31,
0)
),0)</f>
        <v>0</v>
      </c>
      <c r="P31" s="13">
        <f t="shared" ref="P31:P38" si="13">J31+O31</f>
        <v>1.45</v>
      </c>
      <c r="Q31" s="15">
        <f>IF($C$8=2,P31*0.05,0)</f>
        <v>0</v>
      </c>
      <c r="R31" s="15">
        <f>IF($C$8=3,P31*0.15,0)</f>
        <v>0.2175</v>
      </c>
      <c r="S31" s="99"/>
      <c r="T31" s="125"/>
      <c r="U31" s="125"/>
    </row>
    <row r="32" spans="2:21" x14ac:dyDescent="0.35">
      <c r="B32" s="46" t="s">
        <v>231</v>
      </c>
      <c r="C32" s="53">
        <f>SUMIFS(REALIZADO[META_SMARTPHONE],REALIZADO[PDV],'NORTE SUL'!$M$7)</f>
        <v>209000.0001</v>
      </c>
      <c r="D32" s="78">
        <f>SUMIFS(REALIZADO[AT_SMARTPHONE],REALIZADO[PDV],'NORTE SUL'!$M$7)</f>
        <v>15046</v>
      </c>
      <c r="E32" s="50">
        <f>IFERROR(D32/C32,0)</f>
        <v>7.199043058756438E-2</v>
      </c>
      <c r="F32" s="12">
        <f>VLOOKUP($E$32,FATORES!$B$53:$D$54,3)</f>
        <v>2.0000000000000001E-4</v>
      </c>
      <c r="G32" s="12">
        <f>IFERROR(VLOOKUP($E$32,FATORES!$B$55:$D$55,3),0)</f>
        <v>0</v>
      </c>
      <c r="H32" s="65">
        <f t="shared" si="9"/>
        <v>3.0092000000000003</v>
      </c>
      <c r="I32" s="65">
        <f t="shared" si="8"/>
        <v>0</v>
      </c>
      <c r="J32" s="65">
        <f t="shared" si="10"/>
        <v>3.0092000000000003</v>
      </c>
      <c r="K32" s="53">
        <f>SUMIFS(REALIZADO[META_SMARTPHONE],REALIZADO[COORDENAÇÃO],$P$7)</f>
        <v>1296000</v>
      </c>
      <c r="L32" s="78">
        <f>SUMIFS(REALIZADO[AT_SMARTPHONE],REALIZADO[COORDENAÇÃO],$P$7)</f>
        <v>175436.05</v>
      </c>
      <c r="M32" s="50">
        <f t="shared" si="11"/>
        <v>0.1353673225308642</v>
      </c>
      <c r="N32" s="12">
        <f>IF($M$32&gt;=FATORES!$B$56,FATORES!$D$56,0)</f>
        <v>0</v>
      </c>
      <c r="O32" s="14">
        <f t="shared" si="12"/>
        <v>0</v>
      </c>
      <c r="P32" s="13">
        <f t="shared" si="13"/>
        <v>3.0092000000000003</v>
      </c>
      <c r="Q32" s="15">
        <f>IF($D$8=2,P32*0.05,0)</f>
        <v>0</v>
      </c>
      <c r="R32" s="15">
        <f>IF($D$8=3,P32*0.15,0)</f>
        <v>0.45138</v>
      </c>
      <c r="S32" s="99"/>
      <c r="T32" s="125"/>
      <c r="U32" s="125"/>
    </row>
    <row r="33" spans="2:21" x14ac:dyDescent="0.35">
      <c r="B33" s="47" t="s">
        <v>232</v>
      </c>
      <c r="C33" s="121">
        <f>SUMIFS(REALIZADO[META_ACESSORIO],REALIZADO[PDV],'NORTE SUL'!$M$7)</f>
        <v>14250</v>
      </c>
      <c r="D33" s="86">
        <f>SUMIFS(REALIZADO[AT_ACESSORIOS_A],REALIZADO[PDV],'NORTE SUL'!$M$7)</f>
        <v>0</v>
      </c>
      <c r="E33" s="123">
        <f>IFERROR((D33+D34)/C33,0)</f>
        <v>0.20954385964912281</v>
      </c>
      <c r="F33" s="12">
        <f>VLOOKUP($E$33,FATORES!$B$44:$E$46,3)</f>
        <v>5.0000000000000001E-4</v>
      </c>
      <c r="G33" s="12">
        <f>IFERROR(VLOOKUP($E$33,FATORES!$B$47:$E$48,3),0)</f>
        <v>0</v>
      </c>
      <c r="H33" s="65">
        <f t="shared" si="9"/>
        <v>0</v>
      </c>
      <c r="I33" s="65">
        <f t="shared" si="8"/>
        <v>0</v>
      </c>
      <c r="J33" s="65">
        <f t="shared" si="10"/>
        <v>0</v>
      </c>
      <c r="K33" s="121">
        <f>SUMIFS(REALIZADO[META_ACESSORIO],REALIZADO[COORDENAÇÃO],$P$7)</f>
        <v>141750</v>
      </c>
      <c r="L33" s="86">
        <f>SUMIFS(REALIZADO[AT_ACESSORIOS_A],REALIZADO[COORDENAÇÃO],$P$7)</f>
        <v>0</v>
      </c>
      <c r="M33" s="97">
        <f>IFERROR((L33+L34)/K33,0)</f>
        <v>0.11075132275132275</v>
      </c>
      <c r="N33" s="12">
        <f>IF($M$33&gt;=FATORES!$B$49,FATORES!$D$49,0)</f>
        <v>0</v>
      </c>
      <c r="O33" s="14">
        <f t="shared" si="12"/>
        <v>0</v>
      </c>
      <c r="P33" s="13">
        <f t="shared" si="13"/>
        <v>0</v>
      </c>
      <c r="Q33" s="15">
        <f>IF($E$8=2,P33*0.05,0)</f>
        <v>0</v>
      </c>
      <c r="R33" s="15">
        <f>IF($E$8=3,P33*0.15,0)</f>
        <v>0</v>
      </c>
      <c r="S33" s="99"/>
      <c r="T33" s="125"/>
      <c r="U33" s="125"/>
    </row>
    <row r="34" spans="2:21" x14ac:dyDescent="0.35">
      <c r="B34" s="47" t="s">
        <v>233</v>
      </c>
      <c r="C34" s="122"/>
      <c r="D34" s="87">
        <f>SUMIFS(REALIZADO[AT_ACESSORIOS_B],REALIZADO[PDV],'NORTE SUL'!$M$7)</f>
        <v>2986</v>
      </c>
      <c r="E34" s="123"/>
      <c r="F34" s="12">
        <f>VLOOKUP($E$33,FATORES!$B$44:$E$46,4)</f>
        <v>2.5000000000000001E-4</v>
      </c>
      <c r="G34" s="12">
        <f>IFERROR(VLOOKUP($E$33,FATORES!$B$47:$E$48,4),0)</f>
        <v>0</v>
      </c>
      <c r="H34" s="65">
        <f t="shared" si="9"/>
        <v>0.74650000000000005</v>
      </c>
      <c r="I34" s="65">
        <f t="shared" si="8"/>
        <v>0</v>
      </c>
      <c r="J34" s="65">
        <f t="shared" si="10"/>
        <v>0.74650000000000005</v>
      </c>
      <c r="K34" s="122"/>
      <c r="L34" s="87">
        <f>SUMIFS(REALIZADO[AT_ACESSORIOS_B],REALIZADO[COORDENAÇÃO],$P$7)</f>
        <v>15699</v>
      </c>
      <c r="M34" s="97"/>
      <c r="N34" s="12">
        <f>IF($M$33&gt;=FATORES!$B$49,FATORES!$E$49,0)</f>
        <v>0</v>
      </c>
      <c r="O34" s="14">
        <f t="shared" si="12"/>
        <v>0</v>
      </c>
      <c r="P34" s="13">
        <f t="shared" si="13"/>
        <v>0.74650000000000005</v>
      </c>
      <c r="Q34" s="15">
        <f>IF($E$8=2,P34*0.05,0)</f>
        <v>0</v>
      </c>
      <c r="R34" s="15">
        <f>IF($E$8=3,P34*0.15,0)</f>
        <v>0.11197500000000001</v>
      </c>
      <c r="S34" s="99"/>
      <c r="T34" s="125"/>
      <c r="U34" s="125"/>
    </row>
    <row r="35" spans="2:21" x14ac:dyDescent="0.35">
      <c r="B35" s="46" t="s">
        <v>234</v>
      </c>
      <c r="C35" s="121">
        <f>SUMIFS(REALIZADO[META_ESSENCIAIS],REALIZADO[PDV],'NORTE SUL'!$M$7)</f>
        <v>11000.000100000001</v>
      </c>
      <c r="D35" s="86">
        <f>SUMIFS(REALIZADO[AT_ESSENCIAIS_A],REALIZADO[PDV],'NORTE SUL'!$M$7)</f>
        <v>257</v>
      </c>
      <c r="E35" s="123">
        <f>IFERROR((D35+D36)/C35,0)</f>
        <v>7.2909090246280991E-2</v>
      </c>
      <c r="F35" s="12">
        <f>VLOOKUP($E$35,FATORES!$B$34:$E$36,3)</f>
        <v>5.0000000000000001E-4</v>
      </c>
      <c r="G35" s="12">
        <f>IFERROR(VLOOKUP($E$35,FATORES!$B$37:$E$38,3),0)</f>
        <v>0</v>
      </c>
      <c r="H35" s="65">
        <f t="shared" si="9"/>
        <v>0.1285</v>
      </c>
      <c r="I35" s="65">
        <f t="shared" si="8"/>
        <v>0</v>
      </c>
      <c r="J35" s="65">
        <f t="shared" si="10"/>
        <v>0.1285</v>
      </c>
      <c r="K35" s="121">
        <f>SUMIFS(REALIZADO[META_ESSENCIAIS],REALIZADO[COORDENAÇÃO],$P$7)</f>
        <v>80500.0003</v>
      </c>
      <c r="L35" s="86">
        <f>SUMIFS(REALIZADO[AT_ESSENCIAIS_A],REALIZADO[COORDENAÇÃO],$P$7)</f>
        <v>5749.95</v>
      </c>
      <c r="M35" s="97">
        <f>IFERROR((L35+L36)/K35,0)</f>
        <v>0.15028074478156242</v>
      </c>
      <c r="N35" s="12">
        <f>IF($M$35&gt;=FATORES!$B$39,FATORES!$D$39,0)</f>
        <v>0</v>
      </c>
      <c r="O35" s="14">
        <f t="shared" si="12"/>
        <v>0</v>
      </c>
      <c r="P35" s="13">
        <f t="shared" si="13"/>
        <v>0.1285</v>
      </c>
      <c r="Q35" s="15">
        <f>IF($F$8=2,P35*0.05,0)</f>
        <v>0</v>
      </c>
      <c r="R35" s="15">
        <f>IF($F$8=3,P35*0.15,0)</f>
        <v>1.9275E-2</v>
      </c>
      <c r="S35" s="99"/>
      <c r="T35" s="125"/>
      <c r="U35" s="125"/>
    </row>
    <row r="36" spans="2:21" x14ac:dyDescent="0.35">
      <c r="B36" s="46" t="s">
        <v>235</v>
      </c>
      <c r="C36" s="122"/>
      <c r="D36" s="87">
        <f>SUMIFS(REALIZADO[AT_ESSENCIAIS_B],REALIZADO[PDV],'NORTE SUL'!$M$7)</f>
        <v>545</v>
      </c>
      <c r="E36" s="123"/>
      <c r="F36" s="12">
        <f>VLOOKUP($E$35,FATORES!$B$34:$E$36,4)</f>
        <v>2.5000000000000001E-4</v>
      </c>
      <c r="G36" s="12">
        <f>IFERROR(VLOOKUP($E$35,FATORES!$B$37:$E$38,4),0)</f>
        <v>0</v>
      </c>
      <c r="H36" s="65">
        <f t="shared" si="9"/>
        <v>0.13625000000000001</v>
      </c>
      <c r="I36" s="65">
        <f t="shared" si="8"/>
        <v>0</v>
      </c>
      <c r="J36" s="65">
        <f t="shared" si="10"/>
        <v>0.13625000000000001</v>
      </c>
      <c r="K36" s="122"/>
      <c r="L36" s="87">
        <f>SUMIFS(REALIZADO[AT_ESSENCIAIS_B],REALIZADO[COORDENAÇÃO],$P$7)</f>
        <v>6347.65</v>
      </c>
      <c r="M36" s="97"/>
      <c r="N36" s="12">
        <f>IF($M$35&gt;=FATORES!$B$39,FATORES!$E$39,0)</f>
        <v>0</v>
      </c>
      <c r="O36" s="14">
        <f t="shared" si="12"/>
        <v>0</v>
      </c>
      <c r="P36" s="13">
        <f t="shared" si="13"/>
        <v>0.13625000000000001</v>
      </c>
      <c r="Q36" s="15">
        <f>IF($F$8=2,P36*0.05,0)</f>
        <v>0</v>
      </c>
      <c r="R36" s="15">
        <f>IF($F$8=3,P36*0.15,0)</f>
        <v>2.0437500000000001E-2</v>
      </c>
      <c r="S36" s="99"/>
      <c r="T36" s="125"/>
      <c r="U36" s="125"/>
    </row>
    <row r="37" spans="2:21" x14ac:dyDescent="0.35">
      <c r="B37" s="46" t="s">
        <v>212</v>
      </c>
      <c r="C37" s="57">
        <f>SUMIFS(REALIZADO[META_SEGUROS],REALIZADO[PDV],'NORTE SUL'!$M$7)</f>
        <v>890.00009999999997</v>
      </c>
      <c r="D37" s="79">
        <f>SUMIFS(REALIZADO[AT_SEGUROS],REALIZADO[PDV],'NORTE SUL'!$M$7)</f>
        <v>0</v>
      </c>
      <c r="E37" s="83">
        <f>IFERROR(D37/C37,0)</f>
        <v>0</v>
      </c>
      <c r="F37" s="83">
        <f>VLOOKUP($E$37,FATORES!$O$32:$Q$34,3)</f>
        <v>5.0000000000000001E-3</v>
      </c>
      <c r="G37" s="12">
        <f>IFERROR(VLOOKUP($E$37,FATORES!$O$35:$Q$36,3),0)</f>
        <v>0</v>
      </c>
      <c r="H37" s="65">
        <f t="shared" si="9"/>
        <v>0</v>
      </c>
      <c r="I37" s="65">
        <f t="shared" si="8"/>
        <v>0</v>
      </c>
      <c r="J37" s="65">
        <f t="shared" si="10"/>
        <v>0</v>
      </c>
      <c r="K37" s="57">
        <f>SUMIFS(REALIZADO[META_SEGUROS],REALIZADO[COORDENAÇÃO],$P$7)</f>
        <v>8560.0000999999993</v>
      </c>
      <c r="L37" s="79">
        <f>SUMIFS(REALIZADO[AT_SEGUROS],REALIZADO[COORDENAÇÃO],$P$7)</f>
        <v>887.5999999999998</v>
      </c>
      <c r="M37" s="50">
        <f t="shared" ref="M37:M38" si="14">IFERROR(L37/K37,0)</f>
        <v>0.1036915875736964</v>
      </c>
      <c r="N37" s="12">
        <f>IF($M$37&gt;=FATORES!$O$37,FATORES!$Q$37,0)</f>
        <v>0</v>
      </c>
      <c r="O37" s="14">
        <f t="shared" si="12"/>
        <v>0</v>
      </c>
      <c r="P37" s="13">
        <f t="shared" si="13"/>
        <v>0</v>
      </c>
      <c r="Q37" s="15">
        <f>IF($G$8=2,P37*0.05,0)</f>
        <v>0</v>
      </c>
      <c r="R37" s="15">
        <f>IF($G$8=3,P37*0.15,0)</f>
        <v>0</v>
      </c>
      <c r="S37" s="99"/>
      <c r="T37" s="125"/>
      <c r="U37" s="125"/>
    </row>
    <row r="38" spans="2:21" x14ac:dyDescent="0.35">
      <c r="B38" s="48" t="s">
        <v>14</v>
      </c>
      <c r="C38" s="76">
        <f>SUMIFS(REALIZADO[META_SVA],REALIZADO[PDV],'NORTE SUL'!$M$7)</f>
        <v>900</v>
      </c>
      <c r="D38" s="77">
        <f>SUMIFS(REALIZADO[AT_SVA],REALIZADO[PDV],'NORTE SUL'!$M$7)</f>
        <v>48.8</v>
      </c>
      <c r="E38" s="82">
        <f>IFERROR(D38/C38,0)</f>
        <v>5.422222222222222E-2</v>
      </c>
      <c r="F38" s="16">
        <f>IF($E$38&gt;=0,FATORES!$Q$40)</f>
        <v>5.0000000000000001E-3</v>
      </c>
      <c r="G38" s="16">
        <f>IFERROR(VLOOKUP($E$38,FATORES!$O$43:$Q$44,3),0)</f>
        <v>0</v>
      </c>
      <c r="H38" s="17">
        <f t="shared" si="9"/>
        <v>0.24399999999999999</v>
      </c>
      <c r="I38" s="65">
        <f t="shared" si="8"/>
        <v>0</v>
      </c>
      <c r="J38" s="17">
        <f t="shared" si="10"/>
        <v>0.24399999999999999</v>
      </c>
      <c r="K38" s="76">
        <f>SUMIFS(REALIZADO[META_SVA],REALIZADO[COORDENAÇÃO],$P$7)</f>
        <v>7799.9998999999989</v>
      </c>
      <c r="L38" s="77">
        <f>SUMIFS(REALIZADO[AT_SVA],REALIZADO[COORDENAÇÃO],$P$7)</f>
        <v>1187.3599999999999</v>
      </c>
      <c r="M38" s="51">
        <f t="shared" si="14"/>
        <v>0.15222564297725183</v>
      </c>
      <c r="N38" s="16">
        <f>IF($M$38&gt;=FATORES!$O$45,FATORES!$Q$45,0)</f>
        <v>0</v>
      </c>
      <c r="O38" s="14">
        <f t="shared" si="12"/>
        <v>0</v>
      </c>
      <c r="P38" s="18">
        <f t="shared" si="13"/>
        <v>0.24399999999999999</v>
      </c>
      <c r="Q38" s="19">
        <f>IF($H$8=2,P38*0.05,0)</f>
        <v>0</v>
      </c>
      <c r="R38" s="19">
        <f>IF($H$8=3,P38*0.15,0)</f>
        <v>3.6600000000000001E-2</v>
      </c>
      <c r="S38" s="100"/>
      <c r="T38" s="126"/>
      <c r="U38" s="126"/>
    </row>
    <row r="39" spans="2:21" x14ac:dyDescent="0.35">
      <c r="B39" s="66"/>
      <c r="C39" s="67"/>
      <c r="D39" s="67"/>
      <c r="E39" s="67"/>
      <c r="F39" s="67"/>
      <c r="G39" s="67"/>
      <c r="H39" s="67"/>
      <c r="I39" s="67"/>
      <c r="J39" s="68"/>
      <c r="K39" s="69"/>
      <c r="L39" s="67"/>
      <c r="M39" s="67"/>
      <c r="N39" s="67"/>
      <c r="O39" s="67"/>
      <c r="P39" s="70">
        <f>SUM(P30:P38)</f>
        <v>10.22925</v>
      </c>
      <c r="Q39" s="70">
        <f t="shared" ref="Q39:R39" si="15">SUM(Q30:Q38)</f>
        <v>0</v>
      </c>
      <c r="R39" s="70">
        <f t="shared" si="15"/>
        <v>1.5343875</v>
      </c>
      <c r="S39" s="71" t="str">
        <f>IF($P$7="ARIEL",IF(MIN(E30,E32,E33,E34,E35,E37,E38)&gt;=100%,SUM(P39:R39)*S30,""),IF(MIN(E30:E38)&gt;=100%,SUM(P39:R39)*S30,""))</f>
        <v/>
      </c>
      <c r="T39" s="72"/>
      <c r="U39" s="72"/>
    </row>
    <row r="41" spans="2:21" ht="18.5" x14ac:dyDescent="0.35">
      <c r="B41" s="236" t="s">
        <v>239</v>
      </c>
      <c r="C41" s="237"/>
      <c r="D41" s="237"/>
      <c r="E41" s="237"/>
      <c r="F41" s="237"/>
      <c r="G41" s="237"/>
      <c r="H41" s="237"/>
      <c r="I41" s="237"/>
      <c r="J41" s="237"/>
      <c r="K41" s="237"/>
      <c r="L41" s="237"/>
      <c r="M41" s="237"/>
      <c r="N41" s="237"/>
      <c r="O41" s="237"/>
      <c r="P41" s="237"/>
      <c r="Q41" s="237"/>
      <c r="R41" s="237"/>
      <c r="S41" s="237"/>
      <c r="T41" s="237"/>
      <c r="U41" s="238"/>
    </row>
    <row r="42" spans="2:21" x14ac:dyDescent="0.35">
      <c r="B42" s="232" t="s">
        <v>9</v>
      </c>
      <c r="C42" s="233"/>
      <c r="D42" s="233"/>
      <c r="E42" s="233"/>
      <c r="F42" s="233"/>
      <c r="G42" s="233"/>
      <c r="H42" s="233"/>
      <c r="I42" s="233"/>
      <c r="J42" s="234"/>
      <c r="K42" s="244" t="s">
        <v>54</v>
      </c>
      <c r="L42" s="245"/>
      <c r="M42" s="245"/>
      <c r="N42" s="245"/>
      <c r="O42" s="245"/>
      <c r="P42" s="90"/>
      <c r="Q42" s="90"/>
      <c r="R42" s="90"/>
      <c r="S42" s="90"/>
      <c r="T42" s="246"/>
      <c r="U42" s="246"/>
    </row>
    <row r="43" spans="2:21" ht="14.5" customHeight="1" x14ac:dyDescent="0.35">
      <c r="B43" s="114" t="s">
        <v>214</v>
      </c>
      <c r="C43" s="116" t="s">
        <v>237</v>
      </c>
      <c r="D43" s="117"/>
      <c r="E43" s="104"/>
      <c r="F43" s="118" t="s">
        <v>216</v>
      </c>
      <c r="G43" s="118" t="s">
        <v>217</v>
      </c>
      <c r="H43" s="118" t="s">
        <v>218</v>
      </c>
      <c r="I43" s="118" t="s">
        <v>219</v>
      </c>
      <c r="J43" s="118" t="s">
        <v>220</v>
      </c>
      <c r="K43" s="104" t="s">
        <v>238</v>
      </c>
      <c r="L43" s="105"/>
      <c r="M43" s="105"/>
      <c r="N43" s="106" t="s">
        <v>222</v>
      </c>
      <c r="O43" s="106" t="s">
        <v>223</v>
      </c>
      <c r="P43" s="106" t="s">
        <v>224</v>
      </c>
      <c r="Q43" s="106" t="s">
        <v>225</v>
      </c>
      <c r="R43" s="106" t="s">
        <v>226</v>
      </c>
      <c r="S43" s="106" t="s">
        <v>227</v>
      </c>
      <c r="T43" s="226" t="s">
        <v>240</v>
      </c>
      <c r="U43" s="239" t="s">
        <v>241</v>
      </c>
    </row>
    <row r="44" spans="2:21" x14ac:dyDescent="0.35">
      <c r="B44" s="115"/>
      <c r="C44" s="94" t="s">
        <v>229</v>
      </c>
      <c r="D44" s="120" t="s">
        <v>230</v>
      </c>
      <c r="E44" s="120"/>
      <c r="F44" s="118"/>
      <c r="G44" s="118"/>
      <c r="H44" s="118"/>
      <c r="I44" s="118"/>
      <c r="J44" s="118"/>
      <c r="K44" s="52" t="s">
        <v>229</v>
      </c>
      <c r="L44" s="120" t="s">
        <v>230</v>
      </c>
      <c r="M44" s="120"/>
      <c r="N44" s="106"/>
      <c r="O44" s="106"/>
      <c r="P44" s="106"/>
      <c r="Q44" s="106"/>
      <c r="R44" s="106"/>
      <c r="S44" s="106"/>
      <c r="T44" s="227"/>
      <c r="U44" s="216"/>
    </row>
    <row r="45" spans="2:21" x14ac:dyDescent="0.35">
      <c r="B45" s="45" t="s">
        <v>2</v>
      </c>
      <c r="C45" s="53">
        <f>SUMIFS(REALIZADO[META_MOVEL],REALIZADO[PDV],'NORTE SUL'!$M$7)</f>
        <v>8150.0001000000011</v>
      </c>
      <c r="D45" s="54">
        <v>8500</v>
      </c>
      <c r="E45" s="49">
        <f>IFERROR(D45/C45,0)</f>
        <v>1.0429447724792051</v>
      </c>
      <c r="F45" s="8">
        <f>VLOOKUP($E$45,FATORES!$I$32:$K$34,3)</f>
        <v>0.04</v>
      </c>
      <c r="G45" s="8">
        <f>IFERROR(VLOOKUP(E45,FATORES!$I$35:$K$36,3),0)</f>
        <v>0.08</v>
      </c>
      <c r="H45" s="9">
        <f>D45*F45</f>
        <v>340</v>
      </c>
      <c r="I45" s="9">
        <f t="shared" ref="I45:I53" si="16">IF($P$7="ARIEL",
   IF(AND($E$45&gt;=69.5%, AND($E$47&gt;=69.5%, $E$48&gt;=69.5%, $E$48&gt;=69.5%, $E$50&gt;=69.5%, $E$50&gt;=69.5%, $E$52&gt;=69.5%, $E$53&gt;=69.5%)),
      D45*G45,
      0),
   IF(AND($E$45&gt;=69.5%, $E$46&gt;=69.5%, $E$47&gt;=69.5%, $E$48&gt;=69.5%, $E$48&gt;=69.5%, $E$50&gt;=69.5%, $E$50&gt;=69.5%, $E$52&gt;=69.5%, $E$53&gt;=69.5%),
      D45*G45,
      0)
)</f>
        <v>680</v>
      </c>
      <c r="J45" s="9">
        <f>H45+I45</f>
        <v>1020</v>
      </c>
      <c r="K45" s="53">
        <v>102000</v>
      </c>
      <c r="L45" s="54">
        <v>103000</v>
      </c>
      <c r="M45" s="49">
        <f>IFERROR(L45/K45,0)</f>
        <v>1.0098039215686274</v>
      </c>
      <c r="N45" s="8">
        <f>IF($M$45&gt;=FATORES!$I$37,FATORES!$K$37,0)</f>
        <v>0.03</v>
      </c>
      <c r="O45" s="14">
        <f>IF(E45&gt;=100%,
IF($P$7="ARIEL",
   IF(AND($E$45&gt;=69.5%, AND($E$47&gt;=69.5%, $E$48&gt;=69.5%, $E$48&gt;=69.5%, $E$50&gt;=69.5%, $E$50&gt;=69.5%, $E$52&gt;=69.5%, $E$53&gt;=69.5%)),
      D45*N45,
      0),
   IF(AND($E$45&gt;=69.5%, $E$46&gt;=69.5%, $E$47&gt;=69.5%, $E$48&gt;=69.5%, $E$48&gt;=69.5%, $E$50&gt;=69.5%, $E$50&gt;=69.5%, $E$52&gt;=69.5%, $E$53&gt;=69.5%),
      D45*N45,
      0)
),0)</f>
        <v>255</v>
      </c>
      <c r="P45" s="10">
        <f>J45+O45</f>
        <v>1275</v>
      </c>
      <c r="Q45" s="11">
        <f>IF($B$8=2,P45*0.05,0)</f>
        <v>0</v>
      </c>
      <c r="R45" s="11">
        <f>IF($B$8=3,P45*0.15,0)</f>
        <v>191.25</v>
      </c>
      <c r="S45" s="98">
        <v>0.1</v>
      </c>
      <c r="T45" s="101">
        <f>SUM($P$54:$S$54)</f>
        <v>2745.2081250000006</v>
      </c>
      <c r="U45" s="101">
        <f>T45*0.75</f>
        <v>2058.9060937500003</v>
      </c>
    </row>
    <row r="46" spans="2:21" x14ac:dyDescent="0.35">
      <c r="B46" s="46" t="s">
        <v>13</v>
      </c>
      <c r="C46" s="55">
        <f>SUMIFS(REALIZADO[META_FIXA],REALIZADO[PDV],'NORTE SUL'!$M$7)</f>
        <v>4599.9998999999998</v>
      </c>
      <c r="D46" s="56">
        <v>4850</v>
      </c>
      <c r="E46" s="50">
        <f>IFERROR(D46/C46,0)</f>
        <v>1.054347849007562</v>
      </c>
      <c r="F46" s="12">
        <f>VLOOKUP($E$46,FATORES!$I$40:$K$42,3)</f>
        <v>0.04</v>
      </c>
      <c r="G46" s="12">
        <f>IFERROR(VLOOKUP(E46,FATORES!$I$43:$K$44,3),0)</f>
        <v>0.1</v>
      </c>
      <c r="H46" s="65">
        <f t="shared" ref="H46:H53" si="17">D46*F46</f>
        <v>194</v>
      </c>
      <c r="I46" s="65">
        <f t="shared" si="16"/>
        <v>485</v>
      </c>
      <c r="J46" s="65">
        <f t="shared" ref="J46:J53" si="18">H46+I46</f>
        <v>679</v>
      </c>
      <c r="K46" s="55">
        <v>0</v>
      </c>
      <c r="L46" s="56">
        <v>0</v>
      </c>
      <c r="M46" s="50">
        <f t="shared" ref="M46:M53" si="19">IFERROR(L46/K46,0)</f>
        <v>0</v>
      </c>
      <c r="N46" s="12">
        <f>IF($M$46&gt;=FATORES!$I$45,FATORES!$K$45,0)</f>
        <v>0</v>
      </c>
      <c r="O46" s="14">
        <f t="shared" ref="O46:O53" si="20">IF(E46&gt;=100%,
IF($P$7="ARIEL",
   IF(AND($E$45&gt;=69.5%, AND($E$47&gt;=69.5%, $E$48&gt;=69.5%, $E$48&gt;=69.5%, $E$50&gt;=69.5%, $E$50&gt;=69.5%, $E$52&gt;=69.5%, $E$53&gt;=69.5%)),
      D46*N46,
      0),
   IF(AND($E$45&gt;=69.5%, $E$46&gt;=69.5%, $E$47&gt;=69.5%, $E$48&gt;=69.5%, $E$48&gt;=69.5%, $E$50&gt;=69.5%, $E$50&gt;=69.5%, $E$52&gt;=69.5%, $E$53&gt;=69.5%),
      D46*N46,
      0)
),0)</f>
        <v>0</v>
      </c>
      <c r="P46" s="13">
        <f t="shared" ref="P46:P53" si="21">J46+O46</f>
        <v>679</v>
      </c>
      <c r="Q46" s="15">
        <f>IF($C$8=2,P46*0.05,0)</f>
        <v>0</v>
      </c>
      <c r="R46" s="15">
        <f>IF($C$8=3,P46*0.15,0)</f>
        <v>101.85</v>
      </c>
      <c r="S46" s="99"/>
      <c r="T46" s="102"/>
      <c r="U46" s="102"/>
    </row>
    <row r="47" spans="2:21" x14ac:dyDescent="0.35">
      <c r="B47" s="46" t="s">
        <v>231</v>
      </c>
      <c r="C47" s="55">
        <f>SUMIFS(REALIZADO[META_SMARTPHONE],REALIZADO[PDV],'NORTE SUL'!$M$7)</f>
        <v>209000.0001</v>
      </c>
      <c r="D47" s="56">
        <v>241000</v>
      </c>
      <c r="E47" s="50">
        <f>IFERROR(D47/C47,0)</f>
        <v>1.1531100472951625</v>
      </c>
      <c r="F47" s="12">
        <f>VLOOKUP($E$47,FATORES!$B$53:$D$54,3)</f>
        <v>5.0000000000000001E-4</v>
      </c>
      <c r="G47" s="12">
        <f>IFERROR(VLOOKUP(E47,FATORES!$B$55:$D$55,3),0)</f>
        <v>1E-3</v>
      </c>
      <c r="H47" s="65">
        <f t="shared" si="17"/>
        <v>120.5</v>
      </c>
      <c r="I47" s="65">
        <f t="shared" si="16"/>
        <v>241</v>
      </c>
      <c r="J47" s="65">
        <f t="shared" si="18"/>
        <v>361.5</v>
      </c>
      <c r="K47" s="55">
        <v>0</v>
      </c>
      <c r="L47" s="56">
        <v>0</v>
      </c>
      <c r="M47" s="50">
        <f t="shared" si="19"/>
        <v>0</v>
      </c>
      <c r="N47" s="12">
        <f>IF($M$47&gt;=FATORES!$B$56,FATORES!$D$56,0)</f>
        <v>0</v>
      </c>
      <c r="O47" s="14">
        <f t="shared" si="20"/>
        <v>0</v>
      </c>
      <c r="P47" s="13">
        <f t="shared" si="21"/>
        <v>361.5</v>
      </c>
      <c r="Q47" s="15">
        <f>IF($D$8=2,P47*0.05,0)</f>
        <v>0</v>
      </c>
      <c r="R47" s="15">
        <f>IF($D$8=3,P47*0.15,0)</f>
        <v>54.225000000000001</v>
      </c>
      <c r="S47" s="99"/>
      <c r="T47" s="102"/>
      <c r="U47" s="102"/>
    </row>
    <row r="48" spans="2:21" x14ac:dyDescent="0.35">
      <c r="B48" s="47" t="s">
        <v>232</v>
      </c>
      <c r="C48" s="96">
        <f>SUMIFS(REALIZADO[META_ACESSORIO],REALIZADO[PDV],'NORTE SUL'!$M$7)</f>
        <v>14250</v>
      </c>
      <c r="D48" s="56">
        <v>7100</v>
      </c>
      <c r="E48" s="97">
        <f>IFERROR((D48+D49)/C48,0)</f>
        <v>0.98947368421052628</v>
      </c>
      <c r="F48" s="12">
        <f>VLOOKUP($E$48,FATORES!$B$44:$E$46,3)</f>
        <v>1.5E-3</v>
      </c>
      <c r="G48" s="12">
        <f>IFERROR(VLOOKUP(E48,FATORES!$B$47:$E$48,3),0)</f>
        <v>0</v>
      </c>
      <c r="H48" s="65">
        <f t="shared" si="17"/>
        <v>10.65</v>
      </c>
      <c r="I48" s="65">
        <f t="shared" si="16"/>
        <v>0</v>
      </c>
      <c r="J48" s="65">
        <f t="shared" si="18"/>
        <v>10.65</v>
      </c>
      <c r="K48" s="96">
        <v>0</v>
      </c>
      <c r="L48" s="56">
        <v>0</v>
      </c>
      <c r="M48" s="97">
        <f>IFERROR((L48+L49)/K48,0)</f>
        <v>0</v>
      </c>
      <c r="N48" s="12">
        <f>IF($M$48&gt;=FATORES!$B$49,FATORES!$D$49,0)</f>
        <v>0</v>
      </c>
      <c r="O48" s="14">
        <f t="shared" si="20"/>
        <v>0</v>
      </c>
      <c r="P48" s="13">
        <f t="shared" si="21"/>
        <v>10.65</v>
      </c>
      <c r="Q48" s="15">
        <f>IF($E$8=2,P48*0.05,0)</f>
        <v>0</v>
      </c>
      <c r="R48" s="15">
        <f>IF($E$8=3,P48*0.15,0)</f>
        <v>1.5974999999999999</v>
      </c>
      <c r="S48" s="99"/>
      <c r="T48" s="102"/>
      <c r="U48" s="102"/>
    </row>
    <row r="49" spans="2:21" x14ac:dyDescent="0.35">
      <c r="B49" s="47" t="s">
        <v>233</v>
      </c>
      <c r="C49" s="96"/>
      <c r="D49" s="56">
        <v>7000</v>
      </c>
      <c r="E49" s="97"/>
      <c r="F49" s="12">
        <f>VLOOKUP($E$48,FATORES!$B$44:$E$46,4)</f>
        <v>7.5000000000000002E-4</v>
      </c>
      <c r="G49" s="12">
        <f>IFERROR(VLOOKUP(E48,FATORES!$B$47:$E$48,4),0)</f>
        <v>0</v>
      </c>
      <c r="H49" s="65">
        <f t="shared" si="17"/>
        <v>5.25</v>
      </c>
      <c r="I49" s="65">
        <f t="shared" si="16"/>
        <v>0</v>
      </c>
      <c r="J49" s="65">
        <f t="shared" si="18"/>
        <v>5.25</v>
      </c>
      <c r="K49" s="96"/>
      <c r="L49" s="56">
        <v>0</v>
      </c>
      <c r="M49" s="97"/>
      <c r="N49" s="12">
        <f>IF($M$48&gt;=FATORES!$B$49,FATORES!$E$49,0)</f>
        <v>0</v>
      </c>
      <c r="O49" s="14">
        <f t="shared" si="20"/>
        <v>0</v>
      </c>
      <c r="P49" s="13">
        <f t="shared" si="21"/>
        <v>5.25</v>
      </c>
      <c r="Q49" s="15">
        <f>IF($E$8=2,P49*0.05,0)</f>
        <v>0</v>
      </c>
      <c r="R49" s="15">
        <f>IF($E$8=3,P49*0.15,0)</f>
        <v>0.78749999999999998</v>
      </c>
      <c r="S49" s="99"/>
      <c r="T49" s="102"/>
      <c r="U49" s="102"/>
    </row>
    <row r="50" spans="2:21" x14ac:dyDescent="0.35">
      <c r="B50" s="46" t="s">
        <v>234</v>
      </c>
      <c r="C50" s="96">
        <f>SUMIFS(REALIZADO[META_ESSENCIAIS],REALIZADO[PDV],'NORTE SUL'!$M$7)</f>
        <v>11000.000100000001</v>
      </c>
      <c r="D50" s="56">
        <v>5500</v>
      </c>
      <c r="E50" s="97">
        <f>IFERROR((D50+D51)/C50,0)</f>
        <v>0.99545453640495862</v>
      </c>
      <c r="F50" s="12">
        <f>VLOOKUP($E$50,FATORES!$B$34:$E$36,3)</f>
        <v>1.5E-3</v>
      </c>
      <c r="G50" s="12">
        <f>IFERROR(VLOOKUP(E50,FATORES!$B$37:$E$38,3),0)</f>
        <v>0</v>
      </c>
      <c r="H50" s="65">
        <f t="shared" si="17"/>
        <v>8.25</v>
      </c>
      <c r="I50" s="65">
        <f t="shared" si="16"/>
        <v>0</v>
      </c>
      <c r="J50" s="65">
        <f t="shared" si="18"/>
        <v>8.25</v>
      </c>
      <c r="K50" s="96">
        <v>0</v>
      </c>
      <c r="L50" s="56">
        <v>0</v>
      </c>
      <c r="M50" s="97">
        <f>IFERROR((L50+L51)/K50,0)</f>
        <v>0</v>
      </c>
      <c r="N50" s="12">
        <f>IF($M$50&gt;=FATORES!$B$39,FATORES!$D$39,0)</f>
        <v>0</v>
      </c>
      <c r="O50" s="14">
        <f t="shared" si="20"/>
        <v>0</v>
      </c>
      <c r="P50" s="13">
        <f t="shared" si="21"/>
        <v>8.25</v>
      </c>
      <c r="Q50" s="15">
        <f>IF($F$8=2,P50*0.05,0)</f>
        <v>0</v>
      </c>
      <c r="R50" s="15">
        <f>IF($F$8=3,P50*0.15,0)</f>
        <v>1.2375</v>
      </c>
      <c r="S50" s="99"/>
      <c r="T50" s="102"/>
      <c r="U50" s="102"/>
    </row>
    <row r="51" spans="2:21" x14ac:dyDescent="0.35">
      <c r="B51" s="46" t="s">
        <v>235</v>
      </c>
      <c r="C51" s="96"/>
      <c r="D51" s="56">
        <v>5450</v>
      </c>
      <c r="E51" s="97"/>
      <c r="F51" s="12">
        <f>VLOOKUP($E$50,FATORES!$B$34:$E$36,4)</f>
        <v>7.5000000000000002E-4</v>
      </c>
      <c r="G51" s="12">
        <f>IFERROR(VLOOKUP(E50,FATORES!$B$37:$E$38,4),0)</f>
        <v>0</v>
      </c>
      <c r="H51" s="65">
        <f t="shared" si="17"/>
        <v>4.0875000000000004</v>
      </c>
      <c r="I51" s="65">
        <f t="shared" si="16"/>
        <v>0</v>
      </c>
      <c r="J51" s="65">
        <f t="shared" si="18"/>
        <v>4.0875000000000004</v>
      </c>
      <c r="K51" s="96"/>
      <c r="L51" s="56">
        <v>0</v>
      </c>
      <c r="M51" s="97"/>
      <c r="N51" s="12">
        <f>IF($M$50&gt;=FATORES!$B$39,FATORES!$E$39,0)</f>
        <v>0</v>
      </c>
      <c r="O51" s="14">
        <f t="shared" si="20"/>
        <v>0</v>
      </c>
      <c r="P51" s="13">
        <f t="shared" si="21"/>
        <v>4.0875000000000004</v>
      </c>
      <c r="Q51" s="15">
        <f>IF($F$8=2,P51*0.05,0)</f>
        <v>0</v>
      </c>
      <c r="R51" s="15">
        <f>IF($F$8=3,P51*0.15,0)</f>
        <v>0.61312500000000003</v>
      </c>
      <c r="S51" s="99"/>
      <c r="T51" s="102"/>
      <c r="U51" s="102"/>
    </row>
    <row r="52" spans="2:21" x14ac:dyDescent="0.35">
      <c r="B52" s="46" t="s">
        <v>212</v>
      </c>
      <c r="C52" s="55">
        <f>SUMIFS(REALIZADO[META_SEGUROS],REALIZADO[PDV],'NORTE SUL'!$M$7)</f>
        <v>890.00009999999997</v>
      </c>
      <c r="D52" s="56">
        <v>860</v>
      </c>
      <c r="E52" s="50">
        <f>IFERROR(D52/C52,0)</f>
        <v>0.96629202625932287</v>
      </c>
      <c r="F52" s="83">
        <f>VLOOKUP($E$52,FATORES!$O$32:$Q$34,3)</f>
        <v>0.04</v>
      </c>
      <c r="G52" s="12">
        <f>IFERROR(VLOOKUP(E52,FATORES!$O$35:$Q$36,3),0)</f>
        <v>0</v>
      </c>
      <c r="H52" s="65">
        <f t="shared" si="17"/>
        <v>34.4</v>
      </c>
      <c r="I52" s="65">
        <f t="shared" si="16"/>
        <v>0</v>
      </c>
      <c r="J52" s="65">
        <f t="shared" si="18"/>
        <v>34.4</v>
      </c>
      <c r="K52" s="55">
        <v>0</v>
      </c>
      <c r="L52" s="56">
        <v>0</v>
      </c>
      <c r="M52" s="50">
        <f t="shared" si="19"/>
        <v>0</v>
      </c>
      <c r="N52" s="12">
        <f>IF($M$52&gt;=FATORES!$O$37,FATORES!$Q$37,0)</f>
        <v>0</v>
      </c>
      <c r="O52" s="14">
        <f t="shared" si="20"/>
        <v>0</v>
      </c>
      <c r="P52" s="13">
        <f t="shared" si="21"/>
        <v>34.4</v>
      </c>
      <c r="Q52" s="15">
        <f>IF($G$8=2,P52*0.05,0)</f>
        <v>0</v>
      </c>
      <c r="R52" s="15">
        <f>IF($G$8=3,P52*0.15,0)</f>
        <v>5.1599999999999993</v>
      </c>
      <c r="S52" s="99"/>
      <c r="T52" s="102"/>
      <c r="U52" s="102"/>
    </row>
    <row r="53" spans="2:21" x14ac:dyDescent="0.35">
      <c r="B53" s="48" t="s">
        <v>14</v>
      </c>
      <c r="C53" s="57">
        <f>SUMIFS(REALIZADO[META_SVA],REALIZADO[PDV],'NORTE SUL'!$M$7)</f>
        <v>900</v>
      </c>
      <c r="D53" s="58">
        <v>900</v>
      </c>
      <c r="E53" s="51">
        <f>IFERROR(D53/C53,0)</f>
        <v>1</v>
      </c>
      <c r="F53" s="16">
        <f>IF($E$53&gt;=0,FATORES!$Q$40)</f>
        <v>5.0000000000000001E-3</v>
      </c>
      <c r="G53" s="16">
        <f>IFERROR(VLOOKUP(E53,FATORES!$O$43:$Q$44,3),0)</f>
        <v>5.0000000000000001E-3</v>
      </c>
      <c r="H53" s="17">
        <f t="shared" si="17"/>
        <v>4.5</v>
      </c>
      <c r="I53" s="65">
        <f t="shared" si="16"/>
        <v>4.5</v>
      </c>
      <c r="J53" s="17">
        <f t="shared" si="18"/>
        <v>9</v>
      </c>
      <c r="K53" s="57">
        <v>0</v>
      </c>
      <c r="L53" s="58">
        <v>0</v>
      </c>
      <c r="M53" s="51">
        <f t="shared" si="19"/>
        <v>0</v>
      </c>
      <c r="N53" s="16">
        <f>IF($M$53&gt;=FATORES!$O$45,FATORES!$Q$45,0)</f>
        <v>0</v>
      </c>
      <c r="O53" s="14">
        <f t="shared" si="20"/>
        <v>0</v>
      </c>
      <c r="P53" s="18">
        <f t="shared" si="21"/>
        <v>9</v>
      </c>
      <c r="Q53" s="19">
        <f>IF($H$8=2,P53*0.05,0)</f>
        <v>0</v>
      </c>
      <c r="R53" s="19">
        <f>IF($H$8=3,P53*0.15,0)</f>
        <v>1.3499999999999999</v>
      </c>
      <c r="S53" s="100"/>
      <c r="T53" s="103"/>
      <c r="U53" s="103"/>
    </row>
    <row r="54" spans="2:21" x14ac:dyDescent="0.35">
      <c r="B54" s="66"/>
      <c r="C54" s="67"/>
      <c r="D54" s="67"/>
      <c r="E54" s="67"/>
      <c r="F54" s="67"/>
      <c r="G54" s="67"/>
      <c r="H54" s="67"/>
      <c r="I54" s="67"/>
      <c r="J54" s="68"/>
      <c r="K54" s="69"/>
      <c r="L54" s="67"/>
      <c r="M54" s="67"/>
      <c r="N54" s="67"/>
      <c r="O54" s="67"/>
      <c r="P54" s="70">
        <f>SUM(P45:P53)</f>
        <v>2387.1375000000003</v>
      </c>
      <c r="Q54" s="70">
        <f t="shared" ref="Q54:R54" si="22">SUM(Q45:Q53)</f>
        <v>0</v>
      </c>
      <c r="R54" s="70">
        <f t="shared" si="22"/>
        <v>358.07062500000018</v>
      </c>
      <c r="S54" s="71" t="str">
        <f>IF($P$7="ARIEL",IF(MIN(E45,E47,E48,E49,E50,E52,E53)&gt;=99.99%,SUM(P54:R54)*S45,""),IF(MIN(E45:E53)&gt;=99.99%,SUM(P54:R54)*S45,""))</f>
        <v/>
      </c>
      <c r="T54" s="153"/>
      <c r="U54" s="153"/>
    </row>
  </sheetData>
  <sheetProtection algorithmName="SHA-512" hashValue="5D4wesFeOc3zBi1Vb1YyzQAaA5mHPukKQGbBKM1nHEVRtR9oN9gMizOfEb1dPNhuOLWtSpZdZN88O4FUN4qXMg==" saltValue="7ATPNUtss4Q8D2pdfsGV1g==" spinCount="100000" sheet="1" objects="1" scenarios="1"/>
  <protectedRanges>
    <protectedRange sqref="B8:H8 C45:D53 K45:L53" name="Intervalo1"/>
  </protectedRanges>
  <mergeCells count="103">
    <mergeCell ref="B13:B14"/>
    <mergeCell ref="C13:E13"/>
    <mergeCell ref="F13:F14"/>
    <mergeCell ref="G13:G14"/>
    <mergeCell ref="H13:H14"/>
    <mergeCell ref="I13:I14"/>
    <mergeCell ref="B6:H6"/>
    <mergeCell ref="M6:N6"/>
    <mergeCell ref="M7:N7"/>
    <mergeCell ref="B12:J12"/>
    <mergeCell ref="K18:K19"/>
    <mergeCell ref="M18:M19"/>
    <mergeCell ref="C20:C21"/>
    <mergeCell ref="E20:E21"/>
    <mergeCell ref="K20:K21"/>
    <mergeCell ref="M20:M21"/>
    <mergeCell ref="R13:R14"/>
    <mergeCell ref="S13:S14"/>
    <mergeCell ref="T13:T14"/>
    <mergeCell ref="D14:E14"/>
    <mergeCell ref="L14:M14"/>
    <mergeCell ref="S15:S23"/>
    <mergeCell ref="T15:T23"/>
    <mergeCell ref="J13:J14"/>
    <mergeCell ref="K13:M13"/>
    <mergeCell ref="N13:N14"/>
    <mergeCell ref="O13:O14"/>
    <mergeCell ref="P13:P14"/>
    <mergeCell ref="Q13:Q14"/>
    <mergeCell ref="B27:J27"/>
    <mergeCell ref="B28:B29"/>
    <mergeCell ref="C28:E28"/>
    <mergeCell ref="F28:F29"/>
    <mergeCell ref="G28:G29"/>
    <mergeCell ref="H28:H29"/>
    <mergeCell ref="I28:I29"/>
    <mergeCell ref="J28:J29"/>
    <mergeCell ref="C18:C19"/>
    <mergeCell ref="E18:E19"/>
    <mergeCell ref="C35:C36"/>
    <mergeCell ref="E35:E36"/>
    <mergeCell ref="K35:K36"/>
    <mergeCell ref="M35:M36"/>
    <mergeCell ref="S28:S29"/>
    <mergeCell ref="T28:T29"/>
    <mergeCell ref="D29:E29"/>
    <mergeCell ref="L29:M29"/>
    <mergeCell ref="S30:S38"/>
    <mergeCell ref="T30:T38"/>
    <mergeCell ref="K28:M28"/>
    <mergeCell ref="N28:N29"/>
    <mergeCell ref="O28:O29"/>
    <mergeCell ref="P28:P29"/>
    <mergeCell ref="Q28:Q29"/>
    <mergeCell ref="R28:R29"/>
    <mergeCell ref="U13:U14"/>
    <mergeCell ref="B2:U4"/>
    <mergeCell ref="B11:U11"/>
    <mergeCell ref="K12:U12"/>
    <mergeCell ref="U15:U23"/>
    <mergeCell ref="T24:U24"/>
    <mergeCell ref="C48:C49"/>
    <mergeCell ref="E48:E49"/>
    <mergeCell ref="K48:K49"/>
    <mergeCell ref="M48:M49"/>
    <mergeCell ref="S43:S44"/>
    <mergeCell ref="T43:T44"/>
    <mergeCell ref="D44:E44"/>
    <mergeCell ref="L44:M44"/>
    <mergeCell ref="S45:S53"/>
    <mergeCell ref="T45:T53"/>
    <mergeCell ref="K43:M43"/>
    <mergeCell ref="N43:N44"/>
    <mergeCell ref="O43:O44"/>
    <mergeCell ref="P43:P44"/>
    <mergeCell ref="Q43:Q44"/>
    <mergeCell ref="R43:R44"/>
    <mergeCell ref="B42:J42"/>
    <mergeCell ref="K42:O42"/>
    <mergeCell ref="T54:U54"/>
    <mergeCell ref="U28:U29"/>
    <mergeCell ref="B26:U26"/>
    <mergeCell ref="K27:U27"/>
    <mergeCell ref="U30:U38"/>
    <mergeCell ref="U43:U44"/>
    <mergeCell ref="U45:U53"/>
    <mergeCell ref="B41:U41"/>
    <mergeCell ref="T42:U42"/>
    <mergeCell ref="C50:C51"/>
    <mergeCell ref="E50:E51"/>
    <mergeCell ref="K50:K51"/>
    <mergeCell ref="M50:M51"/>
    <mergeCell ref="B43:B44"/>
    <mergeCell ref="C43:E43"/>
    <mergeCell ref="F43:F44"/>
    <mergeCell ref="G43:G44"/>
    <mergeCell ref="H43:H44"/>
    <mergeCell ref="I43:I44"/>
    <mergeCell ref="J43:J44"/>
    <mergeCell ref="C33:C34"/>
    <mergeCell ref="E33:E34"/>
    <mergeCell ref="K33:K34"/>
    <mergeCell ref="M33:M34"/>
  </mergeCells>
  <conditionalFormatting sqref="E15:E18 E20 E22:E23">
    <cfRule type="cellIs" dxfId="342" priority="22" operator="between">
      <formula>0.7</formula>
      <formula>1</formula>
    </cfRule>
    <cfRule type="cellIs" dxfId="341" priority="23" operator="greaterThanOrEqual">
      <formula>1</formula>
    </cfRule>
    <cfRule type="cellIs" dxfId="340" priority="24" operator="lessThan">
      <formula>0.7</formula>
    </cfRule>
  </conditionalFormatting>
  <conditionalFormatting sqref="E30:E33 E35 E37:E38">
    <cfRule type="cellIs" dxfId="339" priority="10" operator="between">
      <formula>0.7</formula>
      <formula>1</formula>
    </cfRule>
    <cfRule type="cellIs" dxfId="338" priority="11" operator="greaterThanOrEqual">
      <formula>1</formula>
    </cfRule>
    <cfRule type="cellIs" dxfId="337" priority="12" operator="lessThan">
      <formula>0.7</formula>
    </cfRule>
  </conditionalFormatting>
  <conditionalFormatting sqref="E45:E48 E50 E52:E53">
    <cfRule type="cellIs" dxfId="336" priority="34" operator="between">
      <formula>0.7</formula>
      <formula>1</formula>
    </cfRule>
    <cfRule type="cellIs" dxfId="335" priority="35" operator="greaterThanOrEqual">
      <formula>1</formula>
    </cfRule>
    <cfRule type="cellIs" dxfId="334" priority="36" operator="lessThan">
      <formula>0.7</formula>
    </cfRule>
  </conditionalFormatting>
  <conditionalFormatting sqref="M15:M18">
    <cfRule type="cellIs" dxfId="333" priority="16" operator="between">
      <formula>0.7</formula>
      <formula>1</formula>
    </cfRule>
    <cfRule type="cellIs" dxfId="332" priority="17" operator="greaterThanOrEqual">
      <formula>1</formula>
    </cfRule>
    <cfRule type="cellIs" dxfId="331" priority="18" operator="lessThan">
      <formula>0.7</formula>
    </cfRule>
  </conditionalFormatting>
  <conditionalFormatting sqref="M20">
    <cfRule type="cellIs" dxfId="330" priority="13" operator="between">
      <formula>0.7</formula>
      <formula>1</formula>
    </cfRule>
    <cfRule type="cellIs" dxfId="329" priority="14" operator="greaterThanOrEqual">
      <formula>1</formula>
    </cfRule>
    <cfRule type="cellIs" dxfId="328" priority="15" operator="lessThan">
      <formula>0.7</formula>
    </cfRule>
  </conditionalFormatting>
  <conditionalFormatting sqref="M22:M23">
    <cfRule type="cellIs" dxfId="327" priority="19" operator="between">
      <formula>0.7</formula>
      <formula>1</formula>
    </cfRule>
    <cfRule type="cellIs" dxfId="326" priority="20" operator="greaterThanOrEqual">
      <formula>1</formula>
    </cfRule>
    <cfRule type="cellIs" dxfId="325" priority="21" operator="lessThan">
      <formula>0.7</formula>
    </cfRule>
  </conditionalFormatting>
  <conditionalFormatting sqref="M30:M33">
    <cfRule type="cellIs" dxfId="324" priority="4" operator="between">
      <formula>0.7</formula>
      <formula>1</formula>
    </cfRule>
    <cfRule type="cellIs" dxfId="323" priority="5" operator="greaterThanOrEqual">
      <formula>1</formula>
    </cfRule>
    <cfRule type="cellIs" dxfId="322" priority="6" operator="lessThan">
      <formula>0.7</formula>
    </cfRule>
  </conditionalFormatting>
  <conditionalFormatting sqref="M35">
    <cfRule type="cellIs" dxfId="321" priority="1" operator="between">
      <formula>0.7</formula>
      <formula>1</formula>
    </cfRule>
    <cfRule type="cellIs" dxfId="320" priority="2" operator="greaterThanOrEqual">
      <formula>1</formula>
    </cfRule>
    <cfRule type="cellIs" dxfId="319" priority="3" operator="lessThan">
      <formula>0.7</formula>
    </cfRule>
  </conditionalFormatting>
  <conditionalFormatting sqref="M37:M38">
    <cfRule type="cellIs" dxfId="318" priority="7" operator="between">
      <formula>0.7</formula>
      <formula>1</formula>
    </cfRule>
    <cfRule type="cellIs" dxfId="317" priority="8" operator="greaterThanOrEqual">
      <formula>1</formula>
    </cfRule>
    <cfRule type="cellIs" dxfId="316" priority="9" operator="lessThan">
      <formula>0.7</formula>
    </cfRule>
  </conditionalFormatting>
  <conditionalFormatting sqref="M45:M48">
    <cfRule type="cellIs" dxfId="315" priority="28" operator="between">
      <formula>0.7</formula>
      <formula>1</formula>
    </cfRule>
    <cfRule type="cellIs" dxfId="314" priority="29" operator="greaterThanOrEqual">
      <formula>1</formula>
    </cfRule>
    <cfRule type="cellIs" dxfId="313" priority="30" operator="lessThan">
      <formula>0.7</formula>
    </cfRule>
  </conditionalFormatting>
  <conditionalFormatting sqref="M50">
    <cfRule type="cellIs" dxfId="312" priority="25" operator="between">
      <formula>0.7</formula>
      <formula>1</formula>
    </cfRule>
    <cfRule type="cellIs" dxfId="311" priority="26" operator="greaterThanOrEqual">
      <formula>1</formula>
    </cfRule>
    <cfRule type="cellIs" dxfId="310" priority="27" operator="lessThan">
      <formula>0.7</formula>
    </cfRule>
  </conditionalFormatting>
  <conditionalFormatting sqref="M52:M53">
    <cfRule type="cellIs" dxfId="309" priority="31" operator="between">
      <formula>0.7</formula>
      <formula>1</formula>
    </cfRule>
    <cfRule type="cellIs" dxfId="308" priority="32" operator="greaterThanOrEqual">
      <formula>1</formula>
    </cfRule>
    <cfRule type="cellIs" dxfId="307" priority="33" operator="lessThan">
      <formula>0.7</formula>
    </cfRule>
  </conditionalFormatting>
  <dataValidations count="1">
    <dataValidation type="list" allowBlank="1" showInputMessage="1" showErrorMessage="1" sqref="B8:H8" xr:uid="{D3511099-EC68-4C9B-BC83-D40B38B06E12}">
      <formula1>$V$6:$X$6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15E0E-7677-4BF1-9EE7-D8181AC7A618}">
  <dimension ref="B1:X54"/>
  <sheetViews>
    <sheetView showGridLines="0" topLeftCell="D1" zoomScale="70" zoomScaleNormal="70" workbookViewId="0">
      <selection activeCell="P8" sqref="P8"/>
    </sheetView>
  </sheetViews>
  <sheetFormatPr defaultRowHeight="14.5" x14ac:dyDescent="0.35"/>
  <cols>
    <col min="1" max="1" width="2.1796875" customWidth="1"/>
    <col min="2" max="2" width="16.453125" customWidth="1"/>
    <col min="3" max="3" width="15" bestFit="1" customWidth="1"/>
    <col min="4" max="4" width="14.54296875" customWidth="1"/>
    <col min="5" max="5" width="13.453125" bestFit="1" customWidth="1"/>
    <col min="6" max="6" width="14" customWidth="1"/>
    <col min="7" max="7" width="18.7265625" customWidth="1"/>
    <col min="8" max="8" width="15" customWidth="1"/>
    <col min="9" max="9" width="20" customWidth="1"/>
    <col min="10" max="10" width="21.1796875" customWidth="1"/>
    <col min="11" max="12" width="16.453125" customWidth="1"/>
    <col min="13" max="13" width="9.7265625" customWidth="1"/>
    <col min="14" max="14" width="20.54296875" customWidth="1"/>
    <col min="15" max="15" width="21" customWidth="1"/>
    <col min="16" max="16" width="15.26953125" customWidth="1"/>
    <col min="17" max="17" width="13" bestFit="1" customWidth="1"/>
    <col min="18" max="18" width="10.453125" bestFit="1" customWidth="1"/>
    <col min="19" max="19" width="12.7265625" bestFit="1" customWidth="1"/>
    <col min="20" max="20" width="14.453125" customWidth="1"/>
  </cols>
  <sheetData>
    <row r="1" spans="2:24" x14ac:dyDescent="0.35">
      <c r="B1" s="59"/>
    </row>
    <row r="2" spans="2:24" x14ac:dyDescent="0.35">
      <c r="B2" s="143" t="s">
        <v>207</v>
      </c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5"/>
    </row>
    <row r="3" spans="2:24" x14ac:dyDescent="0.35">
      <c r="B3" s="146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8"/>
    </row>
    <row r="4" spans="2:24" x14ac:dyDescent="0.35">
      <c r="B4" s="149"/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1"/>
    </row>
    <row r="5" spans="2:24" x14ac:dyDescent="0.35">
      <c r="B5" s="60"/>
      <c r="T5" s="61"/>
    </row>
    <row r="6" spans="2:24" ht="14.5" customHeight="1" x14ac:dyDescent="0.35">
      <c r="B6" s="152" t="s">
        <v>208</v>
      </c>
      <c r="C6" s="153"/>
      <c r="D6" s="153"/>
      <c r="E6" s="153"/>
      <c r="F6" s="153"/>
      <c r="G6" s="153"/>
      <c r="H6" s="154"/>
      <c r="M6" s="155" t="s">
        <v>54</v>
      </c>
      <c r="N6" s="156"/>
      <c r="P6" s="74" t="s">
        <v>23</v>
      </c>
      <c r="T6" s="61"/>
      <c r="V6" s="1">
        <v>0</v>
      </c>
      <c r="W6" s="1">
        <v>2</v>
      </c>
      <c r="X6" s="1">
        <v>3</v>
      </c>
    </row>
    <row r="7" spans="2:24" ht="14.5" customHeight="1" x14ac:dyDescent="0.35">
      <c r="B7" s="62" t="s">
        <v>209</v>
      </c>
      <c r="C7" s="2" t="s">
        <v>13</v>
      </c>
      <c r="D7" s="2" t="s">
        <v>210</v>
      </c>
      <c r="E7" s="2" t="s">
        <v>16</v>
      </c>
      <c r="F7" s="2" t="s">
        <v>211</v>
      </c>
      <c r="G7" s="2" t="s">
        <v>212</v>
      </c>
      <c r="H7" s="3" t="s">
        <v>14</v>
      </c>
      <c r="M7" s="157" t="s">
        <v>43</v>
      </c>
      <c r="N7" s="158"/>
      <c r="P7" s="75" t="s">
        <v>201</v>
      </c>
      <c r="T7" s="61"/>
    </row>
    <row r="8" spans="2:24" ht="14.5" customHeight="1" x14ac:dyDescent="0.35">
      <c r="B8" s="63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5">
        <v>0</v>
      </c>
      <c r="T8" s="61"/>
    </row>
    <row r="9" spans="2:24" x14ac:dyDescent="0.35">
      <c r="B9" s="84"/>
      <c r="C9" s="85"/>
      <c r="D9" s="85"/>
      <c r="E9" s="85"/>
      <c r="F9" s="85"/>
      <c r="G9" s="85"/>
      <c r="H9" s="85"/>
    </row>
    <row r="10" spans="2:24" x14ac:dyDescent="0.35">
      <c r="B10" s="84"/>
      <c r="C10" s="85"/>
      <c r="D10" s="85"/>
      <c r="E10" s="85"/>
      <c r="F10" s="85"/>
      <c r="G10" s="85"/>
      <c r="H10" s="85"/>
    </row>
    <row r="11" spans="2:24" ht="18.5" x14ac:dyDescent="0.35">
      <c r="B11" s="159" t="s">
        <v>213</v>
      </c>
      <c r="C11" s="160"/>
      <c r="D11" s="160"/>
      <c r="E11" s="160"/>
      <c r="F11" s="160"/>
      <c r="G11" s="160"/>
      <c r="H11" s="160"/>
      <c r="I11" s="160"/>
      <c r="J11" s="160"/>
      <c r="K11" s="160"/>
      <c r="L11" s="160"/>
      <c r="M11" s="160"/>
      <c r="N11" s="160"/>
      <c r="O11" s="160"/>
      <c r="P11" s="160"/>
      <c r="Q11" s="160"/>
      <c r="R11" s="160"/>
      <c r="S11" s="160"/>
      <c r="T11" s="160"/>
    </row>
    <row r="12" spans="2:24" x14ac:dyDescent="0.35">
      <c r="B12" s="129" t="s">
        <v>9</v>
      </c>
      <c r="C12" s="130"/>
      <c r="D12" s="130"/>
      <c r="E12" s="130"/>
      <c r="F12" s="130"/>
      <c r="G12" s="130"/>
      <c r="H12" s="130"/>
      <c r="I12" s="130"/>
      <c r="J12" s="131"/>
      <c r="K12" s="132" t="s">
        <v>54</v>
      </c>
      <c r="L12" s="130"/>
      <c r="M12" s="130"/>
      <c r="N12" s="130"/>
      <c r="O12" s="130"/>
      <c r="P12" s="130"/>
      <c r="Q12" s="130"/>
      <c r="R12" s="130"/>
      <c r="S12" s="130"/>
      <c r="T12" s="133"/>
    </row>
    <row r="13" spans="2:24" ht="14.5" customHeight="1" x14ac:dyDescent="0.35">
      <c r="B13" s="115" t="s">
        <v>214</v>
      </c>
      <c r="C13" s="116" t="s">
        <v>215</v>
      </c>
      <c r="D13" s="117"/>
      <c r="E13" s="104"/>
      <c r="F13" s="135" t="s">
        <v>216</v>
      </c>
      <c r="G13" s="135" t="s">
        <v>217</v>
      </c>
      <c r="H13" s="135" t="s">
        <v>218</v>
      </c>
      <c r="I13" s="135" t="s">
        <v>219</v>
      </c>
      <c r="J13" s="135" t="s">
        <v>220</v>
      </c>
      <c r="K13" s="116" t="s">
        <v>221</v>
      </c>
      <c r="L13" s="117"/>
      <c r="M13" s="104"/>
      <c r="N13" s="127" t="s">
        <v>222</v>
      </c>
      <c r="O13" s="127" t="s">
        <v>223</v>
      </c>
      <c r="P13" s="127" t="s">
        <v>224</v>
      </c>
      <c r="Q13" s="127" t="s">
        <v>225</v>
      </c>
      <c r="R13" s="127" t="s">
        <v>226</v>
      </c>
      <c r="S13" s="127" t="s">
        <v>227</v>
      </c>
      <c r="T13" s="137" t="s">
        <v>228</v>
      </c>
    </row>
    <row r="14" spans="2:24" x14ac:dyDescent="0.35">
      <c r="B14" s="134"/>
      <c r="C14" s="94" t="s">
        <v>229</v>
      </c>
      <c r="D14" s="139" t="s">
        <v>230</v>
      </c>
      <c r="E14" s="140"/>
      <c r="F14" s="136"/>
      <c r="G14" s="136"/>
      <c r="H14" s="136"/>
      <c r="I14" s="136"/>
      <c r="J14" s="136"/>
      <c r="K14" s="52" t="s">
        <v>229</v>
      </c>
      <c r="L14" s="139" t="s">
        <v>230</v>
      </c>
      <c r="M14" s="140"/>
      <c r="N14" s="128"/>
      <c r="O14" s="128"/>
      <c r="P14" s="128"/>
      <c r="Q14" s="128"/>
      <c r="R14" s="128"/>
      <c r="S14" s="128"/>
      <c r="T14" s="138"/>
    </row>
    <row r="15" spans="2:24" x14ac:dyDescent="0.35">
      <c r="B15" s="45" t="s">
        <v>2</v>
      </c>
      <c r="C15" s="76">
        <f>SUMIFS(REALIZADO[META_MOVEL],REALIZADO[PDV],ITACIBA!$M$7)</f>
        <v>6300</v>
      </c>
      <c r="D15" s="77">
        <f>SUMIFS(PROJEÇÃO[PROJ_MOVEL],PROJEÇÃO[PDV],ITACIBA!$M$7)</f>
        <v>5460.3465999999999</v>
      </c>
      <c r="E15" s="49">
        <f>IFERROR(D15/C15,0)</f>
        <v>0.86672168253968251</v>
      </c>
      <c r="F15" s="8">
        <f>VLOOKUP($E$15,FATORES!$I$32:$K$34,3)</f>
        <v>0.02</v>
      </c>
      <c r="G15" s="8">
        <f>IFERROR(VLOOKUP($E$15,FATORES!$I$35:$K$36,3),0)</f>
        <v>0</v>
      </c>
      <c r="H15" s="9">
        <f>D15*F15</f>
        <v>109.20693199999999</v>
      </c>
      <c r="I15" s="9">
        <f t="shared" ref="I15:I23" si="0">IF($P$7="ARIEL",
   IF(AND($E$15&gt;=69.5%, AND($E$17&gt;=69.5%, $E$18&gt;=69.5%, $E$18&gt;=69.5%, $E$20&gt;=69.5%, $E$20&gt;=69.5%, $E$22&gt;=69.5%, $E$23&gt;=69.5%)),
      D15*G15,
      0),
   IF(AND($E$15&gt;=69.5%, $E$16&gt;=69.5%, $E$17&gt;=69.5%, $E$18&gt;=69.5%, $E$18&gt;=69.5%, $E$20&gt;=69.5%, $E$20&gt;=69.5%, $E$22&gt;=69.5%, $E$23&gt;=69.5%),
      D15*G15,
      0)
)</f>
        <v>0</v>
      </c>
      <c r="J15" s="9">
        <f>H15+I15</f>
        <v>109.20693199999999</v>
      </c>
      <c r="K15" s="76">
        <f>SUMIFS(REALIZADO[META_MOVEL],REALIZADO[COORDENAÇÃO],$P$7)</f>
        <v>53549.999899999995</v>
      </c>
      <c r="L15" s="77">
        <f>SUMIFS(PROJEÇÃO[PROJ_MOVEL],PROJEÇÃO[COORDENAÇÃO],$P$7)</f>
        <v>47019.827700000002</v>
      </c>
      <c r="M15" s="49">
        <f>IFERROR(L15/K15,0)</f>
        <v>0.87805467390859893</v>
      </c>
      <c r="N15" s="8">
        <f>IF($M$15&gt;=FATORES!$I$37,FATORES!$K$37,0)</f>
        <v>0</v>
      </c>
      <c r="O15" s="14">
        <f>IF(E15&gt;=100%,
   IF($P$7="ARIEL",
      IF(AND($E$15&gt;=69.5%,$E$17&gt;=69.5%,$E$18&gt;=69.5%,$E$20&gt;=69.5%,$E$22&gt;=69.5%,$E$23&gt;=69.5%),
         D15*N15,
         0
      ),
      IF(AND($E$15&gt;=69.5%,$E$16&gt;=69.5%,$E$17&gt;=69.5%,$E$18&gt;=69.5%,$E$20&gt;=69.5%,$E$22&gt;=69.5%,$E$23&gt;=69.5%),
         D15*N15,
         0
      )
   ),
0)</f>
        <v>0</v>
      </c>
      <c r="P15" s="10">
        <f>J15+O15</f>
        <v>109.20693199999999</v>
      </c>
      <c r="Q15" s="11">
        <f>IF($B$8=2,P15*0.05,0)</f>
        <v>0</v>
      </c>
      <c r="R15" s="11">
        <f>IF($B$8=3,P15*0.15,0)</f>
        <v>0</v>
      </c>
      <c r="S15" s="98">
        <v>0.1</v>
      </c>
      <c r="T15" s="124">
        <f>SUM(P24:S24)</f>
        <v>177.53673742499996</v>
      </c>
    </row>
    <row r="16" spans="2:24" x14ac:dyDescent="0.35">
      <c r="B16" s="46" t="s">
        <v>13</v>
      </c>
      <c r="C16" s="76">
        <f>SUMIFS(REALIZADO[META_FIXA],REALIZADO[PDV],ITACIBA!$M$7)</f>
        <v>2949.9998999999998</v>
      </c>
      <c r="D16" s="77">
        <f>SUMIFS(PROJEÇÃO[PROJ_FIXA],PROJEÇÃO[PDV],ITACIBA!$M$7)</f>
        <v>1446.1111000000001</v>
      </c>
      <c r="E16" s="50">
        <f>IFERROR(D16/C16,0)</f>
        <v>0.49020716915956514</v>
      </c>
      <c r="F16" s="12">
        <f>VLOOKUP($E$16,FATORES!$I$40:$K$42,3)</f>
        <v>5.0000000000000001E-3</v>
      </c>
      <c r="G16" s="12">
        <f>IFERROR(VLOOKUP($E$16,FATORES!$I$43:$K$44,3),0)</f>
        <v>0</v>
      </c>
      <c r="H16" s="65">
        <f t="shared" ref="H16:H23" si="1">D16*F16</f>
        <v>7.2305555000000004</v>
      </c>
      <c r="I16" s="65">
        <f t="shared" si="0"/>
        <v>0</v>
      </c>
      <c r="J16" s="65">
        <f t="shared" ref="J16:J23" si="2">H16+I16</f>
        <v>7.2305555000000004</v>
      </c>
      <c r="K16" s="76">
        <f>SUMIFS(REALIZADO[META_FIXA],REALIZADO[COORDENAÇÃO],$P$7)</f>
        <v>29649.999899999988</v>
      </c>
      <c r="L16" s="77">
        <f>SUMIFS(PROJEÇÃO[PROJ_FIXA],PROJEÇÃO[COORDENAÇÃO],$P$7)</f>
        <v>28246.582000000002</v>
      </c>
      <c r="M16" s="50">
        <f t="shared" ref="M16:M17" si="3">IFERROR(L16/K16,0)</f>
        <v>0.95266718702417308</v>
      </c>
      <c r="N16" s="12">
        <f>IF($M$16&gt;=FATORES!$I$45,FATORES!$K$45,0)</f>
        <v>0</v>
      </c>
      <c r="O16" s="14">
        <f t="shared" ref="O16:O23" si="4">IF(E16&gt;=100%,
   IF($P$7="ARIEL",
      IF(AND($E$15&gt;=69.5%,$E$17&gt;=69.5%,$E$18&gt;=69.5%,$E$20&gt;=69.5%,$E$22&gt;=69.5%,$E$23&gt;=69.5%),
         D16*N16,
         0
      ),
      IF(AND($E$15&gt;=69.5%,$E$16&gt;=69.5%,$E$17&gt;=69.5%,$E$18&gt;=69.5%,$E$20&gt;=69.5%,$E$22&gt;=69.5%,$E$23&gt;=69.5%),
         D16*N16,
         0
      )
   ),
0)</f>
        <v>0</v>
      </c>
      <c r="P16" s="13">
        <f t="shared" ref="P16:P23" si="5">J16+O16</f>
        <v>7.2305555000000004</v>
      </c>
      <c r="Q16" s="15">
        <f>IF($C$8=2,P16*0.05,0)</f>
        <v>0</v>
      </c>
      <c r="R16" s="15">
        <f>IF($C$8=3,P16*0.15,0)</f>
        <v>0</v>
      </c>
      <c r="S16" s="99"/>
      <c r="T16" s="125"/>
    </row>
    <row r="17" spans="2:20" x14ac:dyDescent="0.35">
      <c r="B17" s="46" t="s">
        <v>231</v>
      </c>
      <c r="C17" s="53">
        <f>SUMIFS(REALIZADO[META_SMARTPHONE],REALIZADO[PDV],ITACIBA!$M$7)</f>
        <v>90000</v>
      </c>
      <c r="D17" s="78">
        <f>SUMIFS(PROJEÇÃO[PROJ_APARELHO],PROJEÇÃO[PDV],ITACIBA!$M$7)</f>
        <v>94275.888900000005</v>
      </c>
      <c r="E17" s="50">
        <f>IFERROR(D17/C17,0)</f>
        <v>1.0475098766666666</v>
      </c>
      <c r="F17" s="12">
        <f>VLOOKUP($E$17,FATORES!$B$53:$D$54,3)</f>
        <v>5.0000000000000001E-4</v>
      </c>
      <c r="G17" s="12">
        <f>IFERROR(VLOOKUP($E$17,FATORES!$B$55:$D$55,3),0)</f>
        <v>1E-3</v>
      </c>
      <c r="H17" s="65">
        <f t="shared" si="1"/>
        <v>47.137944450000006</v>
      </c>
      <c r="I17" s="65">
        <f t="shared" si="0"/>
        <v>0</v>
      </c>
      <c r="J17" s="65">
        <f t="shared" si="2"/>
        <v>47.137944450000006</v>
      </c>
      <c r="K17" s="53">
        <f>SUMIFS(REALIZADO[META_SMARTPHONE],REALIZADO[COORDENAÇÃO],$P$7)</f>
        <v>741500.00009999995</v>
      </c>
      <c r="L17" s="78">
        <f>SUMIFS(PROJEÇÃO[PROJ_APARELHO],PROJEÇÃO[COORDENAÇÃO],$P$7)</f>
        <v>560223.55000000005</v>
      </c>
      <c r="M17" s="50">
        <f t="shared" si="3"/>
        <v>0.75552737683674631</v>
      </c>
      <c r="N17" s="12">
        <f>IF($M$17&gt;=FATORES!$B$56,FATORES!$D$56,0)</f>
        <v>0</v>
      </c>
      <c r="O17" s="14">
        <f t="shared" si="4"/>
        <v>0</v>
      </c>
      <c r="P17" s="13">
        <f t="shared" si="5"/>
        <v>47.137944450000006</v>
      </c>
      <c r="Q17" s="15">
        <f>IF($D$8=2,P17*0.05,0)</f>
        <v>0</v>
      </c>
      <c r="R17" s="15">
        <f>IF($D$8=3,P17*0.15,0)</f>
        <v>0</v>
      </c>
      <c r="S17" s="99"/>
      <c r="T17" s="125"/>
    </row>
    <row r="18" spans="2:20" x14ac:dyDescent="0.35">
      <c r="B18" s="47" t="s">
        <v>232</v>
      </c>
      <c r="C18" s="121">
        <f>SUMIFS(REALIZADO[META_ACESSORIO],REALIZADO[PDV],ITACIBA!$M$7)</f>
        <v>9999.9998999999989</v>
      </c>
      <c r="D18" s="86">
        <f>SUMIFS(PROJEÇÃO[PROJ_ELETRO_A],PROJEÇÃO[PDV],ITACIBA!$M$7)</f>
        <v>420.11110000000002</v>
      </c>
      <c r="E18" s="123">
        <f>IFERROR((D18+D19)/C18,0)</f>
        <v>0.3278555632785557</v>
      </c>
      <c r="F18" s="12">
        <f>VLOOKUP($E$18,FATORES!$B$44:$E$46,3)</f>
        <v>5.0000000000000001E-4</v>
      </c>
      <c r="G18" s="12">
        <f>IFERROR(VLOOKUP($E$18,FATORES!$B$47:$E$48,3),0)</f>
        <v>0</v>
      </c>
      <c r="H18" s="65">
        <f t="shared" si="1"/>
        <v>0.21005555000000001</v>
      </c>
      <c r="I18" s="65">
        <f t="shared" si="0"/>
        <v>0</v>
      </c>
      <c r="J18" s="65">
        <f t="shared" si="2"/>
        <v>0.21005555000000001</v>
      </c>
      <c r="K18" s="121">
        <f>SUMIFS(REALIZADO[META_ACESSORIO],REALIZADO[COORDENAÇÃO],$P$7)</f>
        <v>82600.000300000014</v>
      </c>
      <c r="L18" s="86">
        <f>SUMIFS(PROJEÇÃO[PROJ_ELETRO_A],PROJEÇÃO[COORDENAÇÃO],$P$7)</f>
        <v>6890.6666999999998</v>
      </c>
      <c r="M18" s="97">
        <f>IFERROR((L18+L19)/K18,0)</f>
        <v>1.2683688416403067</v>
      </c>
      <c r="N18" s="12">
        <f>IF($M$18&gt;=FATORES!$B$49,FATORES!$D$49,0)</f>
        <v>2.5000000000000001E-3</v>
      </c>
      <c r="O18" s="14">
        <f t="shared" si="4"/>
        <v>0</v>
      </c>
      <c r="P18" s="13">
        <f t="shared" si="5"/>
        <v>0.21005555000000001</v>
      </c>
      <c r="Q18" s="15">
        <f>IF($E$8=2,P18*0.05,0)</f>
        <v>0</v>
      </c>
      <c r="R18" s="15">
        <f>IF($E$8=3,P18*0.15,0)</f>
        <v>0</v>
      </c>
      <c r="S18" s="99"/>
      <c r="T18" s="125"/>
    </row>
    <row r="19" spans="2:20" x14ac:dyDescent="0.35">
      <c r="B19" s="47" t="s">
        <v>233</v>
      </c>
      <c r="C19" s="122"/>
      <c r="D19" s="87">
        <f>SUMIFS(PROJEÇÃO[PROJ_ELETRO_B],PROJEÇÃO[PDV],ITACIBA!$M$7)</f>
        <v>2858.4445000000001</v>
      </c>
      <c r="E19" s="123"/>
      <c r="F19" s="12">
        <f>VLOOKUP($E$18,FATORES!$B$44:$E$46,4)</f>
        <v>2.5000000000000001E-4</v>
      </c>
      <c r="G19" s="12">
        <f>IFERROR(VLOOKUP($E$18,FATORES!$B$47:$E$48,4),0)</f>
        <v>0</v>
      </c>
      <c r="H19" s="65">
        <f t="shared" si="1"/>
        <v>0.71461112500000001</v>
      </c>
      <c r="I19" s="65">
        <f t="shared" si="0"/>
        <v>0</v>
      </c>
      <c r="J19" s="65">
        <f t="shared" si="2"/>
        <v>0.71461112500000001</v>
      </c>
      <c r="K19" s="122"/>
      <c r="L19" s="87">
        <f>SUMIFS(PROJEÇÃO[PROJ_ELETRO_B],PROJEÇÃO[COORDENAÇÃO],$P$7)</f>
        <v>97876.6</v>
      </c>
      <c r="M19" s="97"/>
      <c r="N19" s="12">
        <f>IF($M$18&gt;=FATORES!$B$49,FATORES!$E$49,0)</f>
        <v>1.25E-3</v>
      </c>
      <c r="O19" s="14">
        <f t="shared" si="4"/>
        <v>0</v>
      </c>
      <c r="P19" s="13">
        <f t="shared" si="5"/>
        <v>0.71461112500000001</v>
      </c>
      <c r="Q19" s="15">
        <f>IF($E$8=2,P19*0.05,0)</f>
        <v>0</v>
      </c>
      <c r="R19" s="15">
        <f>IF($E$8=3,P19*0.15,0)</f>
        <v>0</v>
      </c>
      <c r="S19" s="99"/>
      <c r="T19" s="125"/>
    </row>
    <row r="20" spans="2:20" x14ac:dyDescent="0.35">
      <c r="B20" s="46" t="s">
        <v>234</v>
      </c>
      <c r="C20" s="121">
        <f>SUMIFS(REALIZADO[META_ESSENCIAIS],REALIZADO[PDV],ITACIBA!$M$7)</f>
        <v>6600</v>
      </c>
      <c r="D20" s="86">
        <f>SUMIFS(PROJEÇÃO[PROJ_ESSEN_A],PROJEÇÃO[PDV],ITACIBA!$M$7)</f>
        <v>2546</v>
      </c>
      <c r="E20" s="123">
        <f>IFERROR((D20+D21)/C20,0)</f>
        <v>1.0837036969696969</v>
      </c>
      <c r="F20" s="12">
        <f>VLOOKUP($E$20,FATORES!$B$34:$E$36,3)</f>
        <v>1.5E-3</v>
      </c>
      <c r="G20" s="12">
        <f>IFERROR(VLOOKUP($E$20,FATORES!$B$37:$E$38,3),0)</f>
        <v>6.0000000000000001E-3</v>
      </c>
      <c r="H20" s="65">
        <f t="shared" si="1"/>
        <v>3.819</v>
      </c>
      <c r="I20" s="65">
        <f t="shared" si="0"/>
        <v>0</v>
      </c>
      <c r="J20" s="65">
        <f t="shared" si="2"/>
        <v>3.819</v>
      </c>
      <c r="K20" s="121">
        <f>SUMIFS(REALIZADO[META_ESSENCIAIS],REALIZADO[COORDENAÇÃO],$P$7)</f>
        <v>41199.999999999993</v>
      </c>
      <c r="L20" s="86">
        <f>SUMIFS(PROJEÇÃO[PROJ_ESSEN_A],PROJEÇÃO[COORDENAÇÃO],$P$7)</f>
        <v>16007.2889</v>
      </c>
      <c r="M20" s="97">
        <f>IFERROR((L20+L21)/K20,0)</f>
        <v>0.92994956553398067</v>
      </c>
      <c r="N20" s="12">
        <f>IF($M$20&gt;=FATORES!$B$39,FATORES!$D$39,0)</f>
        <v>0</v>
      </c>
      <c r="O20" s="14">
        <f t="shared" si="4"/>
        <v>0</v>
      </c>
      <c r="P20" s="13">
        <f t="shared" si="5"/>
        <v>3.819</v>
      </c>
      <c r="Q20" s="15">
        <f>IF($F$8=2,P20*0.05,0)</f>
        <v>0</v>
      </c>
      <c r="R20" s="15">
        <f>IF($F$8=3,P20*0.15,0)</f>
        <v>0</v>
      </c>
      <c r="S20" s="99"/>
      <c r="T20" s="125"/>
    </row>
    <row r="21" spans="2:20" x14ac:dyDescent="0.35">
      <c r="B21" s="46" t="s">
        <v>235</v>
      </c>
      <c r="C21" s="122"/>
      <c r="D21" s="87">
        <f>SUMIFS(PROJEÇÃO[PROJ_ESSEN_B],PROJEÇÃO[PDV],ITACIBA!$M$7)</f>
        <v>4606.4444000000003</v>
      </c>
      <c r="E21" s="123"/>
      <c r="F21" s="12">
        <f>VLOOKUP($E$20,FATORES!$B$34:$E$36,4)</f>
        <v>7.5000000000000002E-4</v>
      </c>
      <c r="G21" s="12">
        <f>IFERROR(VLOOKUP($E$20,FATORES!$B$37:$E$38,4),0)</f>
        <v>3.0000000000000001E-3</v>
      </c>
      <c r="H21" s="65">
        <f t="shared" si="1"/>
        <v>3.4548333000000002</v>
      </c>
      <c r="I21" s="65">
        <f t="shared" si="0"/>
        <v>0</v>
      </c>
      <c r="J21" s="65">
        <f t="shared" si="2"/>
        <v>3.4548333000000002</v>
      </c>
      <c r="K21" s="122"/>
      <c r="L21" s="87">
        <f>SUMIFS(PROJEÇÃO[PROJ_ESSEN_B],PROJEÇÃO[COORDENAÇÃO],$P$7)</f>
        <v>22306.6332</v>
      </c>
      <c r="M21" s="97"/>
      <c r="N21" s="12">
        <f>IF($M$20&gt;=FATORES!$B$39,FATORES!$E$39,0)</f>
        <v>0</v>
      </c>
      <c r="O21" s="14">
        <f t="shared" si="4"/>
        <v>0</v>
      </c>
      <c r="P21" s="13">
        <f t="shared" si="5"/>
        <v>3.4548333000000002</v>
      </c>
      <c r="Q21" s="15">
        <f>IF($F$8=2,P21*0.05,0)</f>
        <v>0</v>
      </c>
      <c r="R21" s="15">
        <f>IF($F$8=3,P21*0.15,0)</f>
        <v>0</v>
      </c>
      <c r="S21" s="99"/>
      <c r="T21" s="125"/>
    </row>
    <row r="22" spans="2:20" x14ac:dyDescent="0.35">
      <c r="B22" s="46" t="s">
        <v>212</v>
      </c>
      <c r="C22" s="57">
        <f>SUMIFS(REALIZADO[META_SEGUROS],REALIZADO[PDV],ITACIBA!$M$7)</f>
        <v>600</v>
      </c>
      <c r="D22" s="79">
        <f>SUMIFS(PROJEÇÃO[PROJ_SEGURO],PROJEÇÃO[PDV],ITACIBA!$M$7)</f>
        <v>453.0444</v>
      </c>
      <c r="E22" s="83">
        <f>IFERROR(D22/C22,0)</f>
        <v>0.75507400000000002</v>
      </c>
      <c r="F22" s="83">
        <f>VLOOKUP($E$22,FATORES!$O$32:$Q$34,3)</f>
        <v>5.0000000000000001E-3</v>
      </c>
      <c r="G22" s="12">
        <f>IFERROR(VLOOKUP($E$22,FATORES!$O$35:$Q$36,3),0)</f>
        <v>0</v>
      </c>
      <c r="H22" s="65">
        <f t="shared" si="1"/>
        <v>2.2652220000000001</v>
      </c>
      <c r="I22" s="65">
        <f t="shared" si="0"/>
        <v>0</v>
      </c>
      <c r="J22" s="65">
        <f t="shared" si="2"/>
        <v>2.2652220000000001</v>
      </c>
      <c r="K22" s="57">
        <f>SUMIFS(REALIZADO[META_SEGUROS],REALIZADO[COORDENAÇÃO],$P$7)</f>
        <v>5129.9997999999996</v>
      </c>
      <c r="L22" s="79">
        <f>SUMIFS(PROJEÇÃO[PROJ_SEGURO],PROJEÇÃO[COORDENAÇÃO],$P$7)</f>
        <v>4017.2332999999999</v>
      </c>
      <c r="M22" s="50">
        <f t="shared" ref="M22:M23" si="6">IFERROR(L22/K22,0)</f>
        <v>0.78308644378504655</v>
      </c>
      <c r="N22" s="12">
        <f>IF($M$22&gt;=FATORES!$O$37,FATORES!$Q$37,0)</f>
        <v>0</v>
      </c>
      <c r="O22" s="14">
        <f t="shared" si="4"/>
        <v>0</v>
      </c>
      <c r="P22" s="13">
        <f t="shared" si="5"/>
        <v>2.2652220000000001</v>
      </c>
      <c r="Q22" s="15">
        <f>IF($G$8=2,P22*0.05,0)</f>
        <v>0</v>
      </c>
      <c r="R22" s="15">
        <f>IF($G$8=3,P22*0.15,0)</f>
        <v>0</v>
      </c>
      <c r="S22" s="99"/>
      <c r="T22" s="125"/>
    </row>
    <row r="23" spans="2:20" x14ac:dyDescent="0.35">
      <c r="B23" s="48" t="s">
        <v>14</v>
      </c>
      <c r="C23" s="76">
        <f>SUMIFS(REALIZADO[META_SVA],REALIZADO[PDV],ITACIBA!$M$7)</f>
        <v>690</v>
      </c>
      <c r="D23" s="77">
        <f>SUMIFS(PROJEÇÃO[PROJ_SVA],PROJEÇÃO[PDV],ITACIBA!$M$7)</f>
        <v>699.5166999999999</v>
      </c>
      <c r="E23" s="82">
        <f>IFERROR(D23/C23,0)</f>
        <v>1.0137923188405795</v>
      </c>
      <c r="F23" s="16">
        <f>IF($E$23&gt;=0,FATORES!$Q$40)</f>
        <v>5.0000000000000001E-3</v>
      </c>
      <c r="G23" s="16">
        <f>IFERROR(VLOOKUP($E$23,FATORES!$O$43:$Q$44,3),0)</f>
        <v>5.0000000000000001E-3</v>
      </c>
      <c r="H23" s="17">
        <f t="shared" si="1"/>
        <v>3.4975834999999997</v>
      </c>
      <c r="I23" s="65">
        <f t="shared" si="0"/>
        <v>0</v>
      </c>
      <c r="J23" s="17">
        <f t="shared" si="2"/>
        <v>3.4975834999999997</v>
      </c>
      <c r="K23" s="76">
        <f>SUMIFS(REALIZADO[META_SVA],REALIZADO[COORDENAÇÃO],$P$7)</f>
        <v>4540.0006000000003</v>
      </c>
      <c r="L23" s="77">
        <f>SUMIFS(PROJEÇÃO[PROJ_SVA],PROJEÇÃO[COORDENAÇÃO],$P$7)</f>
        <v>5391.4400000000005</v>
      </c>
      <c r="M23" s="51">
        <f t="shared" si="6"/>
        <v>1.1875416932764282</v>
      </c>
      <c r="N23" s="16">
        <f>IF($M$23&gt;=FATORES!$O$45,FATORES!$Q$45,0)</f>
        <v>5.0000000000000001E-3</v>
      </c>
      <c r="O23" s="14">
        <f t="shared" si="4"/>
        <v>0</v>
      </c>
      <c r="P23" s="18">
        <f t="shared" si="5"/>
        <v>3.4975834999999997</v>
      </c>
      <c r="Q23" s="19">
        <f>IF($H$8=2,P23*0.05,0)</f>
        <v>0</v>
      </c>
      <c r="R23" s="19">
        <f>IF($H$8=3,P23*0.15,0)</f>
        <v>0</v>
      </c>
      <c r="S23" s="100"/>
      <c r="T23" s="126"/>
    </row>
    <row r="24" spans="2:20" x14ac:dyDescent="0.35">
      <c r="B24" s="66"/>
      <c r="C24" s="67"/>
      <c r="D24" s="67"/>
      <c r="E24" s="67"/>
      <c r="F24" s="67"/>
      <c r="G24" s="67"/>
      <c r="H24" s="67"/>
      <c r="I24" s="67"/>
      <c r="J24" s="68"/>
      <c r="K24" s="69"/>
      <c r="L24" s="67"/>
      <c r="M24" s="67"/>
      <c r="N24" s="67"/>
      <c r="O24" s="67"/>
      <c r="P24" s="70">
        <f>SUM(P15:P23)</f>
        <v>177.53673742499996</v>
      </c>
      <c r="Q24" s="70">
        <f t="shared" ref="Q24:R24" si="7">SUM(Q15:Q23)</f>
        <v>0</v>
      </c>
      <c r="R24" s="70">
        <f t="shared" si="7"/>
        <v>0</v>
      </c>
      <c r="S24" s="71" t="str">
        <f>IF($P$7="ARIEL",IF(MIN(E15,E17,E18,E19,E20,E22,E23)&gt;=100%,SUM(P24:R24)*S15,""),IF(MIN(E15:E23)&gt;=100%,SUM(P24:R24)*S15,""))</f>
        <v/>
      </c>
      <c r="T24" s="72"/>
    </row>
    <row r="25" spans="2:20" ht="16.149999999999999" customHeight="1" x14ac:dyDescent="0.35">
      <c r="B25" s="80"/>
      <c r="C25" s="6"/>
      <c r="D25" s="6"/>
      <c r="E25" s="6"/>
      <c r="F25" s="6"/>
      <c r="G25" s="6"/>
      <c r="H25" s="6"/>
      <c r="T25" s="61"/>
    </row>
    <row r="26" spans="2:20" ht="18.5" x14ac:dyDescent="0.35">
      <c r="B26" s="141" t="s">
        <v>236</v>
      </c>
      <c r="C26" s="142"/>
      <c r="D26" s="142"/>
      <c r="E26" s="142"/>
      <c r="F26" s="142"/>
      <c r="G26" s="142"/>
      <c r="H26" s="142"/>
      <c r="I26" s="142"/>
      <c r="J26" s="142"/>
      <c r="K26" s="142"/>
      <c r="L26" s="142"/>
      <c r="M26" s="142"/>
      <c r="N26" s="142"/>
      <c r="O26" s="142"/>
      <c r="P26" s="142"/>
      <c r="Q26" s="142"/>
      <c r="R26" s="142"/>
      <c r="S26" s="142"/>
      <c r="T26" s="142"/>
    </row>
    <row r="27" spans="2:20" x14ac:dyDescent="0.35">
      <c r="B27" s="129" t="s">
        <v>9</v>
      </c>
      <c r="C27" s="130"/>
      <c r="D27" s="130"/>
      <c r="E27" s="130"/>
      <c r="F27" s="130"/>
      <c r="G27" s="130"/>
      <c r="H27" s="130"/>
      <c r="I27" s="130"/>
      <c r="J27" s="131"/>
      <c r="K27" s="132" t="s">
        <v>54</v>
      </c>
      <c r="L27" s="130"/>
      <c r="M27" s="130"/>
      <c r="N27" s="130"/>
      <c r="O27" s="130"/>
      <c r="P27" s="130"/>
      <c r="Q27" s="130"/>
      <c r="R27" s="130"/>
      <c r="S27" s="130"/>
      <c r="T27" s="133"/>
    </row>
    <row r="28" spans="2:20" ht="14.5" customHeight="1" x14ac:dyDescent="0.35">
      <c r="B28" s="115" t="s">
        <v>214</v>
      </c>
      <c r="C28" s="116" t="s">
        <v>237</v>
      </c>
      <c r="D28" s="117"/>
      <c r="E28" s="104"/>
      <c r="F28" s="135" t="s">
        <v>216</v>
      </c>
      <c r="G28" s="135" t="s">
        <v>217</v>
      </c>
      <c r="H28" s="135" t="s">
        <v>218</v>
      </c>
      <c r="I28" s="135" t="s">
        <v>219</v>
      </c>
      <c r="J28" s="135" t="s">
        <v>220</v>
      </c>
      <c r="K28" s="116" t="s">
        <v>238</v>
      </c>
      <c r="L28" s="117"/>
      <c r="M28" s="104"/>
      <c r="N28" s="127" t="s">
        <v>222</v>
      </c>
      <c r="O28" s="127" t="s">
        <v>223</v>
      </c>
      <c r="P28" s="127" t="s">
        <v>224</v>
      </c>
      <c r="Q28" s="127" t="s">
        <v>225</v>
      </c>
      <c r="R28" s="127" t="s">
        <v>226</v>
      </c>
      <c r="S28" s="127" t="s">
        <v>227</v>
      </c>
      <c r="T28" s="137" t="s">
        <v>228</v>
      </c>
    </row>
    <row r="29" spans="2:20" ht="14.5" customHeight="1" x14ac:dyDescent="0.35">
      <c r="B29" s="134"/>
      <c r="C29" s="94" t="s">
        <v>229</v>
      </c>
      <c r="D29" s="139" t="s">
        <v>230</v>
      </c>
      <c r="E29" s="140"/>
      <c r="F29" s="136"/>
      <c r="G29" s="136"/>
      <c r="H29" s="136"/>
      <c r="I29" s="136"/>
      <c r="J29" s="136"/>
      <c r="K29" s="52" t="s">
        <v>229</v>
      </c>
      <c r="L29" s="139" t="s">
        <v>230</v>
      </c>
      <c r="M29" s="140"/>
      <c r="N29" s="128"/>
      <c r="O29" s="128"/>
      <c r="P29" s="128"/>
      <c r="Q29" s="128"/>
      <c r="R29" s="128"/>
      <c r="S29" s="128"/>
      <c r="T29" s="138"/>
    </row>
    <row r="30" spans="2:20" x14ac:dyDescent="0.35">
      <c r="B30" s="45" t="s">
        <v>2</v>
      </c>
      <c r="C30" s="76">
        <f>SUMIFS(REALIZADO[META_MOVEL],REALIZADO[PDV],ITACIBA!$M$7)</f>
        <v>6300</v>
      </c>
      <c r="D30" s="77">
        <f>SUMIFS(REALIZADO[AT_MOVEL],REALIZADO[PDV],ITACIBA!$M$7)</f>
        <v>536</v>
      </c>
      <c r="E30" s="49">
        <f>IFERROR(D30/C30,0)</f>
        <v>8.5079365079365074E-2</v>
      </c>
      <c r="F30" s="8">
        <f>VLOOKUP($E$30,FATORES!$I$32:$K$34,3)</f>
        <v>5.0000000000000001E-3</v>
      </c>
      <c r="G30" s="8">
        <f>IFERROR(VLOOKUP($E$30,FATORES!$I$35:$K$36,3),0)</f>
        <v>0</v>
      </c>
      <c r="H30" s="9">
        <f>D30*F30</f>
        <v>2.68</v>
      </c>
      <c r="I30" s="9">
        <f t="shared" ref="I30:I38" si="8">IF($P$7="ARIEL",
   IF(AND($E$30&gt;=69.5%, AND($E$32&gt;=69.5%, $E$33&gt;=69.5%, $E$33&gt;=69.5%, $E$35&gt;=69.5%, $E$35&gt;=69.5%, $E$37&gt;=69.5%, $E$38&gt;=69.5%)),
      D30*G30,
      0),
   IF(AND($E$30&gt;=69.5%, $E$31&gt;=69.5%, $E$32&gt;=69.5%, $E$33&gt;=69.5%, $E$33&gt;=69.5%, $E$35&gt;=69.5%, $E$35&gt;=69.5%, $E$37&gt;=69.5%, $E$38&gt;=69.5%),
      D30*G30,
      0)
)</f>
        <v>0</v>
      </c>
      <c r="J30" s="9">
        <f>H30+I30</f>
        <v>2.68</v>
      </c>
      <c r="K30" s="76">
        <f>SUMIFS(REALIZADO[META_MOVEL],REALIZADO[COORDENAÇÃO],$P$7)</f>
        <v>53549.999899999995</v>
      </c>
      <c r="L30" s="77">
        <f>SUMIFS(REALIZADO[AT_MOVEL],REALIZADO[COORDENAÇÃO],$P$7)</f>
        <v>4789.97</v>
      </c>
      <c r="M30" s="49">
        <f>IFERROR(L30/K30,0)</f>
        <v>8.9448552921472566E-2</v>
      </c>
      <c r="N30" s="8">
        <f>IF($M$30&gt;=FATORES!$I$37,FATORES!$K$37,0)</f>
        <v>0</v>
      </c>
      <c r="O30" s="14">
        <f>IF(E30&gt;=100%,
IF($P$7="ARIEL",
IF(AND($E$30&gt;=69.5%,$E$32&gt;=69.5%,$E$33&gt;=69.5%,$E$35&gt;=69.5%,$E$37&gt;=69.5%,$E$38&gt;=69.5%),
D30*N30,
0),
IF(AND($E$30&gt;=69.5%,$E$31&gt;=69.5%,$E$32&gt;=69.5%,$E$33&gt;=69.5%,$E$35&gt;=69.5%,$E$37&gt;=69.5%,$E$38&gt;=69.5%),
D30*N30,
0)
),0)</f>
        <v>0</v>
      </c>
      <c r="P30" s="10">
        <f>J30+O30</f>
        <v>2.68</v>
      </c>
      <c r="Q30" s="11">
        <f>IF($B$8=2,P30*0.05,0)</f>
        <v>0</v>
      </c>
      <c r="R30" s="11">
        <f>IF($B$8=3,P30*0.15,0)</f>
        <v>0</v>
      </c>
      <c r="S30" s="98">
        <v>0.1</v>
      </c>
      <c r="T30" s="124">
        <f>SUM(P39:S39)</f>
        <v>10.17685</v>
      </c>
    </row>
    <row r="31" spans="2:20" x14ac:dyDescent="0.35">
      <c r="B31" s="46" t="s">
        <v>13</v>
      </c>
      <c r="C31" s="76">
        <f>SUMIFS(REALIZADO[META_FIXA],REALIZADO[PDV],ITACIBA!$M$7)</f>
        <v>2949.9998999999998</v>
      </c>
      <c r="D31" s="77">
        <f>SUMIFS(REALIZADO[AT_FIXA],REALIZADO[PDV],ITACIBA!$M$7)</f>
        <v>390</v>
      </c>
      <c r="E31" s="50">
        <f>IFERROR(D31/C31,0)</f>
        <v>0.13220339431197947</v>
      </c>
      <c r="F31" s="12">
        <f>VLOOKUP($E$31,FATORES!$I$40:$K$42,3)</f>
        <v>5.0000000000000001E-3</v>
      </c>
      <c r="G31" s="12">
        <f>IFERROR(VLOOKUP($E$31,FATORES!$I$43:$K$44,3),0)</f>
        <v>0</v>
      </c>
      <c r="H31" s="65">
        <f t="shared" ref="H31:H38" si="9">D31*F31</f>
        <v>1.95</v>
      </c>
      <c r="I31" s="65">
        <f t="shared" si="8"/>
        <v>0</v>
      </c>
      <c r="J31" s="65">
        <f t="shared" ref="J31:J38" si="10">H31+I31</f>
        <v>1.95</v>
      </c>
      <c r="K31" s="76">
        <f>SUMIFS(REALIZADO[META_FIXA],REALIZADO[COORDENAÇÃO],$P$7)</f>
        <v>29649.999899999988</v>
      </c>
      <c r="L31" s="77">
        <f>SUMIFS(REALIZADO[AT_FIXA],REALIZADO[COORDENAÇÃO],$P$7)</f>
        <v>3600.01</v>
      </c>
      <c r="M31" s="50">
        <f t="shared" ref="M31:M32" si="11">IFERROR(L31/K31,0)</f>
        <v>0.12141686381590854</v>
      </c>
      <c r="N31" s="12">
        <f>IF($M$31&gt;=FATORES!$I$45,FATORES!$K$45,0)</f>
        <v>0</v>
      </c>
      <c r="O31" s="14">
        <f t="shared" ref="O31:O38" si="12">IF(E31&gt;=100%,
IF($P$7="ARIEL",
IF(AND($E$30&gt;=69.5%,$E$32&gt;=69.5%,$E$33&gt;=69.5%,$E$35&gt;=69.5%,$E$37&gt;=69.5%,$E$38&gt;=69.5%),
D31*N31,
0),
IF(AND($E$30&gt;=69.5%,$E$31&gt;=69.5%,$E$32&gt;=69.5%,$E$33&gt;=69.5%,$E$35&gt;=69.5%,$E$37&gt;=69.5%,$E$38&gt;=69.5%),
D31*N31,
0)
),0)</f>
        <v>0</v>
      </c>
      <c r="P31" s="13">
        <f t="shared" ref="P31:P38" si="13">J31+O31</f>
        <v>1.95</v>
      </c>
      <c r="Q31" s="15">
        <f>IF($C$8=2,P31*0.05,0)</f>
        <v>0</v>
      </c>
      <c r="R31" s="15">
        <f>IF($C$8=3,P31*0.15,0)</f>
        <v>0</v>
      </c>
      <c r="S31" s="99"/>
      <c r="T31" s="125"/>
    </row>
    <row r="32" spans="2:20" x14ac:dyDescent="0.35">
      <c r="B32" s="46" t="s">
        <v>231</v>
      </c>
      <c r="C32" s="53">
        <f>SUMIFS(REALIZADO[META_SMARTPHONE],REALIZADO[PDV],ITACIBA!$M$7)</f>
        <v>90000</v>
      </c>
      <c r="D32" s="78">
        <f>SUMIFS(REALIZADO[AT_SMARTPHONE],REALIZADO[PDV],ITACIBA!$M$7)</f>
        <v>18094</v>
      </c>
      <c r="E32" s="50">
        <f>IFERROR(D32/C32,0)</f>
        <v>0.20104444444444444</v>
      </c>
      <c r="F32" s="12">
        <f>VLOOKUP($E$32,FATORES!$B$53:$D$54,3)</f>
        <v>2.0000000000000001E-4</v>
      </c>
      <c r="G32" s="12">
        <f>IFERROR(VLOOKUP($E$32,FATORES!$B$55:$D$55,3),0)</f>
        <v>0</v>
      </c>
      <c r="H32" s="65">
        <f t="shared" si="9"/>
        <v>3.6188000000000002</v>
      </c>
      <c r="I32" s="65">
        <f t="shared" si="8"/>
        <v>0</v>
      </c>
      <c r="J32" s="65">
        <f t="shared" si="10"/>
        <v>3.6188000000000002</v>
      </c>
      <c r="K32" s="53">
        <f>SUMIFS(REALIZADO[META_SMARTPHONE],REALIZADO[COORDENAÇÃO],$P$7)</f>
        <v>741500.00009999995</v>
      </c>
      <c r="L32" s="78">
        <f>SUMIFS(REALIZADO[AT_SMARTPHONE],REALIZADO[COORDENAÇÃO],$P$7)</f>
        <v>63660</v>
      </c>
      <c r="M32" s="50">
        <f t="shared" si="11"/>
        <v>8.585300066273055E-2</v>
      </c>
      <c r="N32" s="12">
        <f>IF($M$32&gt;=FATORES!$B$56,FATORES!$D$56,0)</f>
        <v>0</v>
      </c>
      <c r="O32" s="14">
        <f t="shared" si="12"/>
        <v>0</v>
      </c>
      <c r="P32" s="13">
        <f t="shared" si="13"/>
        <v>3.6188000000000002</v>
      </c>
      <c r="Q32" s="15">
        <f>IF($D$8=2,P32*0.05,0)</f>
        <v>0</v>
      </c>
      <c r="R32" s="15">
        <f>IF($D$8=3,P32*0.15,0)</f>
        <v>0</v>
      </c>
      <c r="S32" s="99"/>
      <c r="T32" s="125"/>
    </row>
    <row r="33" spans="2:20" x14ac:dyDescent="0.35">
      <c r="B33" s="47" t="s">
        <v>232</v>
      </c>
      <c r="C33" s="121">
        <f>SUMIFS(REALIZADO[META_ACESSORIO],REALIZADO[PDV],ITACIBA!$M$7)</f>
        <v>9999.9998999999989</v>
      </c>
      <c r="D33" s="86">
        <f>SUMIFS(REALIZADO[AT_ACESSORIOS_A],REALIZADO[PDV],ITACIBA!$M$7)</f>
        <v>0</v>
      </c>
      <c r="E33" s="123">
        <f>IFERROR((D33+D34)/C33,0)</f>
        <v>4.1800000418000006E-2</v>
      </c>
      <c r="F33" s="12">
        <f>VLOOKUP($E$33,FATORES!$B$44:$E$46,3)</f>
        <v>5.0000000000000001E-4</v>
      </c>
      <c r="G33" s="12">
        <f>IFERROR(VLOOKUP($E$33,FATORES!$B$47:$E$48,3),0)</f>
        <v>0</v>
      </c>
      <c r="H33" s="65">
        <f t="shared" si="9"/>
        <v>0</v>
      </c>
      <c r="I33" s="65">
        <f t="shared" si="8"/>
        <v>0</v>
      </c>
      <c r="J33" s="65">
        <f t="shared" si="10"/>
        <v>0</v>
      </c>
      <c r="K33" s="121">
        <f>SUMIFS(REALIZADO[META_ACESSORIO],REALIZADO[COORDENAÇÃO],$P$7)</f>
        <v>82600.000300000014</v>
      </c>
      <c r="L33" s="86">
        <f>SUMIFS(REALIZADO[AT_ACESSORIOS_A],REALIZADO[COORDENAÇÃO],$P$7)</f>
        <v>209</v>
      </c>
      <c r="M33" s="97">
        <f>IFERROR((L33+L34)/K33,0)</f>
        <v>0.19131961189593358</v>
      </c>
      <c r="N33" s="12">
        <f>IF($M$33&gt;=FATORES!$B$49,FATORES!$D$49,0)</f>
        <v>0</v>
      </c>
      <c r="O33" s="14">
        <f t="shared" si="12"/>
        <v>0</v>
      </c>
      <c r="P33" s="13">
        <f t="shared" si="13"/>
        <v>0</v>
      </c>
      <c r="Q33" s="15">
        <f>IF($E$8=2,P33*0.05,0)</f>
        <v>0</v>
      </c>
      <c r="R33" s="15">
        <f>IF($E$8=3,P33*0.15,0)</f>
        <v>0</v>
      </c>
      <c r="S33" s="99"/>
      <c r="T33" s="125"/>
    </row>
    <row r="34" spans="2:20" x14ac:dyDescent="0.35">
      <c r="B34" s="47" t="s">
        <v>233</v>
      </c>
      <c r="C34" s="122"/>
      <c r="D34" s="87">
        <f>SUMIFS(REALIZADO[AT_ACESSORIOS_B],REALIZADO[PDV],ITACIBA!$M$7)</f>
        <v>418</v>
      </c>
      <c r="E34" s="123"/>
      <c r="F34" s="12">
        <f>VLOOKUP($E$33,FATORES!$B$44:$E$46,4)</f>
        <v>2.5000000000000001E-4</v>
      </c>
      <c r="G34" s="12">
        <f>IFERROR(VLOOKUP($E$33,FATORES!$B$47:$E$48,4),0)</f>
        <v>0</v>
      </c>
      <c r="H34" s="65">
        <f t="shared" si="9"/>
        <v>0.1045</v>
      </c>
      <c r="I34" s="65">
        <f t="shared" si="8"/>
        <v>0</v>
      </c>
      <c r="J34" s="65">
        <f t="shared" si="10"/>
        <v>0.1045</v>
      </c>
      <c r="K34" s="122"/>
      <c r="L34" s="87">
        <f>SUMIFS(REALIZADO[AT_ACESSORIOS_B],REALIZADO[COORDENAÇÃO],$P$7)</f>
        <v>15594</v>
      </c>
      <c r="M34" s="97"/>
      <c r="N34" s="12">
        <f>IF($M$33&gt;=FATORES!$B$49,FATORES!$E$49,0)</f>
        <v>0</v>
      </c>
      <c r="O34" s="14">
        <f t="shared" si="12"/>
        <v>0</v>
      </c>
      <c r="P34" s="13">
        <f t="shared" si="13"/>
        <v>0.1045</v>
      </c>
      <c r="Q34" s="15">
        <f>IF($E$8=2,P34*0.05,0)</f>
        <v>0</v>
      </c>
      <c r="R34" s="15">
        <f>IF($E$8=3,P34*0.15,0)</f>
        <v>0</v>
      </c>
      <c r="S34" s="99"/>
      <c r="T34" s="125"/>
    </row>
    <row r="35" spans="2:20" x14ac:dyDescent="0.35">
      <c r="B35" s="46" t="s">
        <v>234</v>
      </c>
      <c r="C35" s="121">
        <f>SUMIFS(REALIZADO[META_ESSENCIAIS],REALIZADO[PDV],ITACIBA!$M$7)</f>
        <v>6600</v>
      </c>
      <c r="D35" s="86">
        <f>SUMIFS(REALIZADO[AT_ESSENCIAIS_A],REALIZADO[PDV],ITACIBA!$M$7)</f>
        <v>257</v>
      </c>
      <c r="E35" s="123">
        <f>IFERROR((D35+D36)/C35,0)</f>
        <v>0.17757575757575758</v>
      </c>
      <c r="F35" s="12">
        <f>VLOOKUP($E$35,FATORES!$B$34:$E$36,3)</f>
        <v>5.0000000000000001E-4</v>
      </c>
      <c r="G35" s="12">
        <f>IFERROR(VLOOKUP($E$35,FATORES!$B$37:$E$38,3),0)</f>
        <v>0</v>
      </c>
      <c r="H35" s="65">
        <f t="shared" si="9"/>
        <v>0.1285</v>
      </c>
      <c r="I35" s="65">
        <f t="shared" si="8"/>
        <v>0</v>
      </c>
      <c r="J35" s="65">
        <f t="shared" si="10"/>
        <v>0.1285</v>
      </c>
      <c r="K35" s="121">
        <f>SUMIFS(REALIZADO[META_ESSENCIAIS],REALIZADO[COORDENAÇÃO],$P$7)</f>
        <v>41199.999999999993</v>
      </c>
      <c r="L35" s="86">
        <f>SUMIFS(REALIZADO[AT_ESSENCIAIS_A],REALIZADO[COORDENAÇÃO],$P$7)</f>
        <v>1616.6499999999999</v>
      </c>
      <c r="M35" s="97">
        <f>IFERROR((L35+L36)/K35,0)</f>
        <v>0.10509466019417477</v>
      </c>
      <c r="N35" s="12">
        <f>IF($M$35&gt;=FATORES!$B$39,FATORES!$D$39,0)</f>
        <v>0</v>
      </c>
      <c r="O35" s="14">
        <f t="shared" si="12"/>
        <v>0</v>
      </c>
      <c r="P35" s="13">
        <f t="shared" si="13"/>
        <v>0.1285</v>
      </c>
      <c r="Q35" s="15">
        <f>IF($F$8=2,P35*0.05,0)</f>
        <v>0</v>
      </c>
      <c r="R35" s="15">
        <f>IF($F$8=3,P35*0.15,0)</f>
        <v>0</v>
      </c>
      <c r="S35" s="99"/>
      <c r="T35" s="125"/>
    </row>
    <row r="36" spans="2:20" x14ac:dyDescent="0.35">
      <c r="B36" s="46" t="s">
        <v>235</v>
      </c>
      <c r="C36" s="122"/>
      <c r="D36" s="87">
        <f>SUMIFS(REALIZADO[AT_ESSENCIAIS_B],REALIZADO[PDV],ITACIBA!$M$7)</f>
        <v>915</v>
      </c>
      <c r="E36" s="123"/>
      <c r="F36" s="12">
        <f>VLOOKUP($E$35,FATORES!$B$34:$E$36,4)</f>
        <v>2.5000000000000001E-4</v>
      </c>
      <c r="G36" s="12">
        <f>IFERROR(VLOOKUP($E$35,FATORES!$B$37:$E$38,4),0)</f>
        <v>0</v>
      </c>
      <c r="H36" s="65">
        <f t="shared" si="9"/>
        <v>0.22875000000000001</v>
      </c>
      <c r="I36" s="65">
        <f t="shared" si="8"/>
        <v>0</v>
      </c>
      <c r="J36" s="65">
        <f t="shared" si="10"/>
        <v>0.22875000000000001</v>
      </c>
      <c r="K36" s="122"/>
      <c r="L36" s="87">
        <f>SUMIFS(REALIZADO[AT_ESSENCIAIS_B],REALIZADO[COORDENAÇÃO],$P$7)</f>
        <v>2713.25</v>
      </c>
      <c r="M36" s="97"/>
      <c r="N36" s="12">
        <f>IF($M$35&gt;=FATORES!$B$39,FATORES!$E$39,0)</f>
        <v>0</v>
      </c>
      <c r="O36" s="14">
        <f t="shared" si="12"/>
        <v>0</v>
      </c>
      <c r="P36" s="13">
        <f t="shared" si="13"/>
        <v>0.22875000000000001</v>
      </c>
      <c r="Q36" s="15">
        <f>IF($F$8=2,P36*0.05,0)</f>
        <v>0</v>
      </c>
      <c r="R36" s="15">
        <f>IF($F$8=3,P36*0.15,0)</f>
        <v>0</v>
      </c>
      <c r="S36" s="99"/>
      <c r="T36" s="125"/>
    </row>
    <row r="37" spans="2:20" x14ac:dyDescent="0.35">
      <c r="B37" s="46" t="s">
        <v>212</v>
      </c>
      <c r="C37" s="57">
        <f>SUMIFS(REALIZADO[META_SEGUROS],REALIZADO[PDV],ITACIBA!$M$7)</f>
        <v>600</v>
      </c>
      <c r="D37" s="79">
        <f>SUMIFS(REALIZADO[AT_SEGUROS],REALIZADO[PDV],ITACIBA!$M$7)</f>
        <v>33.799999999999997</v>
      </c>
      <c r="E37" s="83">
        <f>IFERROR(D37/C37,0)</f>
        <v>5.6333333333333326E-2</v>
      </c>
      <c r="F37" s="83">
        <f>VLOOKUP($E$37,FATORES!$O$32:$Q$34,3)</f>
        <v>5.0000000000000001E-3</v>
      </c>
      <c r="G37" s="12">
        <f>IFERROR(VLOOKUP($E$37,FATORES!$O$35:$Q$36,3),0)</f>
        <v>0</v>
      </c>
      <c r="H37" s="65">
        <f t="shared" si="9"/>
        <v>0.16899999999999998</v>
      </c>
      <c r="I37" s="65">
        <f t="shared" si="8"/>
        <v>0</v>
      </c>
      <c r="J37" s="65">
        <f t="shared" si="10"/>
        <v>0.16899999999999998</v>
      </c>
      <c r="K37" s="57">
        <f>SUMIFS(REALIZADO[META_SEGUROS],REALIZADO[COORDENAÇÃO],$P$7)</f>
        <v>5129.9997999999996</v>
      </c>
      <c r="L37" s="79">
        <f>SUMIFS(REALIZADO[AT_SEGUROS],REALIZADO[COORDENAÇÃO],$P$7)</f>
        <v>328.9</v>
      </c>
      <c r="M37" s="50">
        <f t="shared" ref="M37:M38" si="14">IFERROR(L37/K37,0)</f>
        <v>6.411306292838452E-2</v>
      </c>
      <c r="N37" s="12">
        <f>IF($M$37&gt;=FATORES!$O$37,FATORES!$Q$37,0)</f>
        <v>0</v>
      </c>
      <c r="O37" s="14">
        <f t="shared" si="12"/>
        <v>0</v>
      </c>
      <c r="P37" s="13">
        <f t="shared" si="13"/>
        <v>0.16899999999999998</v>
      </c>
      <c r="Q37" s="15">
        <f>IF($G$8=2,P37*0.05,0)</f>
        <v>0</v>
      </c>
      <c r="R37" s="15">
        <f>IF($G$8=3,P37*0.15,0)</f>
        <v>0</v>
      </c>
      <c r="S37" s="99"/>
      <c r="T37" s="125"/>
    </row>
    <row r="38" spans="2:20" x14ac:dyDescent="0.35">
      <c r="B38" s="48" t="s">
        <v>14</v>
      </c>
      <c r="C38" s="76">
        <f>SUMIFS(REALIZADO[META_SVA],REALIZADO[PDV],ITACIBA!$M$7)</f>
        <v>690</v>
      </c>
      <c r="D38" s="77">
        <f>SUMIFS(REALIZADO[AT_SVA],REALIZADO[PDV],ITACIBA!$M$7)</f>
        <v>259.45999999999998</v>
      </c>
      <c r="E38" s="82">
        <f>IFERROR(D38/C38,0)</f>
        <v>0.37602898550724634</v>
      </c>
      <c r="F38" s="16">
        <f>IF($E$38&gt;=0,FATORES!$Q$40)</f>
        <v>5.0000000000000001E-3</v>
      </c>
      <c r="G38" s="16">
        <f>IFERROR(VLOOKUP($E$38,FATORES!$O$43:$Q$44,3),0)</f>
        <v>0</v>
      </c>
      <c r="H38" s="17">
        <f t="shared" si="9"/>
        <v>1.2972999999999999</v>
      </c>
      <c r="I38" s="65">
        <f t="shared" si="8"/>
        <v>0</v>
      </c>
      <c r="J38" s="17">
        <f t="shared" si="10"/>
        <v>1.2972999999999999</v>
      </c>
      <c r="K38" s="76">
        <f>SUMIFS(REALIZADO[META_SVA],REALIZADO[COORDENAÇÃO],$P$7)</f>
        <v>4540.0006000000003</v>
      </c>
      <c r="L38" s="77">
        <f>SUMIFS(REALIZADO[AT_SVA],REALIZADO[COORDENAÇÃO],$P$7)</f>
        <v>882.62999999999988</v>
      </c>
      <c r="M38" s="51">
        <f t="shared" si="14"/>
        <v>0.19441186857992923</v>
      </c>
      <c r="N38" s="16">
        <f>IF($M$38&gt;=FATORES!$O$45,FATORES!$Q$45,0)</f>
        <v>0</v>
      </c>
      <c r="O38" s="14">
        <f t="shared" si="12"/>
        <v>0</v>
      </c>
      <c r="P38" s="18">
        <f t="shared" si="13"/>
        <v>1.2972999999999999</v>
      </c>
      <c r="Q38" s="19">
        <f>IF($H$8=2,P38*0.05,0)</f>
        <v>0</v>
      </c>
      <c r="R38" s="19">
        <f>IF($H$8=3,P38*0.15,0)</f>
        <v>0</v>
      </c>
      <c r="S38" s="100"/>
      <c r="T38" s="126"/>
    </row>
    <row r="39" spans="2:20" x14ac:dyDescent="0.35">
      <c r="B39" s="66"/>
      <c r="C39" s="67"/>
      <c r="D39" s="67"/>
      <c r="E39" s="67"/>
      <c r="F39" s="67"/>
      <c r="G39" s="67"/>
      <c r="H39" s="67"/>
      <c r="I39" s="67"/>
      <c r="J39" s="68"/>
      <c r="K39" s="69"/>
      <c r="L39" s="67"/>
      <c r="M39" s="67"/>
      <c r="N39" s="67"/>
      <c r="O39" s="67"/>
      <c r="P39" s="70">
        <f>SUM(P30:P38)</f>
        <v>10.17685</v>
      </c>
      <c r="Q39" s="70">
        <f t="shared" ref="Q39:R39" si="15">SUM(Q30:Q38)</f>
        <v>0</v>
      </c>
      <c r="R39" s="70">
        <f t="shared" si="15"/>
        <v>0</v>
      </c>
      <c r="S39" s="71" t="str">
        <f>IF($P$7="ARIEL",IF(MIN(E30,E32,E33,E34,E35,E37,E38)&gt;=100%,SUM(P39:R39)*S30,""),IF(MIN(E30:E38)&gt;=100%,SUM(P39:R39)*S30,""))</f>
        <v/>
      </c>
      <c r="T39" s="72"/>
    </row>
    <row r="41" spans="2:20" ht="18.5" x14ac:dyDescent="0.35">
      <c r="B41" s="107" t="s">
        <v>239</v>
      </c>
      <c r="C41" s="108"/>
      <c r="D41" s="108"/>
      <c r="E41" s="108"/>
      <c r="F41" s="108"/>
      <c r="G41" s="108"/>
      <c r="H41" s="108"/>
      <c r="I41" s="108"/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T41" s="108"/>
    </row>
    <row r="42" spans="2:20" x14ac:dyDescent="0.35">
      <c r="B42" s="109" t="s">
        <v>9</v>
      </c>
      <c r="C42" s="110"/>
      <c r="D42" s="110"/>
      <c r="E42" s="110"/>
      <c r="F42" s="110"/>
      <c r="G42" s="110"/>
      <c r="H42" s="110"/>
      <c r="I42" s="110"/>
      <c r="J42" s="111"/>
      <c r="K42" s="112" t="s">
        <v>54</v>
      </c>
      <c r="L42" s="113"/>
      <c r="M42" s="113"/>
      <c r="N42" s="113"/>
      <c r="O42" s="113"/>
      <c r="P42" s="7"/>
      <c r="Q42" s="7"/>
      <c r="R42" s="7"/>
      <c r="S42" s="7"/>
      <c r="T42" s="64"/>
    </row>
    <row r="43" spans="2:20" ht="14.5" customHeight="1" x14ac:dyDescent="0.35">
      <c r="B43" s="114" t="s">
        <v>214</v>
      </c>
      <c r="C43" s="116" t="s">
        <v>237</v>
      </c>
      <c r="D43" s="117"/>
      <c r="E43" s="104"/>
      <c r="F43" s="118" t="s">
        <v>216</v>
      </c>
      <c r="G43" s="118" t="s">
        <v>217</v>
      </c>
      <c r="H43" s="118" t="s">
        <v>218</v>
      </c>
      <c r="I43" s="118" t="s">
        <v>219</v>
      </c>
      <c r="J43" s="118" t="s">
        <v>220</v>
      </c>
      <c r="K43" s="104" t="s">
        <v>238</v>
      </c>
      <c r="L43" s="105"/>
      <c r="M43" s="105"/>
      <c r="N43" s="106" t="s">
        <v>222</v>
      </c>
      <c r="O43" s="106" t="s">
        <v>223</v>
      </c>
      <c r="P43" s="106" t="s">
        <v>224</v>
      </c>
      <c r="Q43" s="106" t="s">
        <v>225</v>
      </c>
      <c r="R43" s="106" t="s">
        <v>226</v>
      </c>
      <c r="S43" s="106" t="s">
        <v>227</v>
      </c>
      <c r="T43" s="119" t="s">
        <v>228</v>
      </c>
    </row>
    <row r="44" spans="2:20" x14ac:dyDescent="0.35">
      <c r="B44" s="115"/>
      <c r="C44" s="94" t="s">
        <v>229</v>
      </c>
      <c r="D44" s="120" t="s">
        <v>230</v>
      </c>
      <c r="E44" s="120"/>
      <c r="F44" s="118"/>
      <c r="G44" s="118"/>
      <c r="H44" s="118"/>
      <c r="I44" s="118"/>
      <c r="J44" s="118"/>
      <c r="K44" s="52" t="s">
        <v>229</v>
      </c>
      <c r="L44" s="120" t="s">
        <v>230</v>
      </c>
      <c r="M44" s="120"/>
      <c r="N44" s="106"/>
      <c r="O44" s="106"/>
      <c r="P44" s="106"/>
      <c r="Q44" s="106"/>
      <c r="R44" s="106"/>
      <c r="S44" s="106"/>
      <c r="T44" s="119"/>
    </row>
    <row r="45" spans="2:20" x14ac:dyDescent="0.35">
      <c r="B45" s="45" t="s">
        <v>2</v>
      </c>
      <c r="C45" s="53">
        <f>SUMIFS(REALIZADO[META_MOVEL],REALIZADO[PDV],ITACIBA!$M$7)</f>
        <v>6300</v>
      </c>
      <c r="D45" s="54">
        <v>6820</v>
      </c>
      <c r="E45" s="49">
        <f>IFERROR(D45/C45,0)</f>
        <v>1.0825396825396825</v>
      </c>
      <c r="F45" s="8">
        <f>VLOOKUP($E$45,FATORES!$I$32:$K$34,3)</f>
        <v>0.04</v>
      </c>
      <c r="G45" s="8">
        <f>IFERROR(VLOOKUP(E45,FATORES!$I$35:$K$36,3),0)</f>
        <v>0.08</v>
      </c>
      <c r="H45" s="9">
        <f>D45*F45</f>
        <v>272.8</v>
      </c>
      <c r="I45" s="9">
        <f t="shared" ref="I45:I53" si="16">IF($P$7="ARIEL",
   IF(AND($E$45&gt;=69.5%, AND($E$47&gt;=69.5%, $E$48&gt;=69.5%, $E$48&gt;=69.5%, $E$50&gt;=69.5%, $E$50&gt;=69.5%, $E$52&gt;=69.5%, $E$53&gt;=69.5%)),
      D45*G45,
      0),
   IF(AND($E$45&gt;=69.5%, $E$46&gt;=69.5%, $E$47&gt;=69.5%, $E$48&gt;=69.5%, $E$48&gt;=69.5%, $E$50&gt;=69.5%, $E$50&gt;=69.5%, $E$52&gt;=69.5%, $E$53&gt;=69.5%),
      D45*G45,
      0)
)</f>
        <v>545.6</v>
      </c>
      <c r="J45" s="9">
        <f>H45+I45</f>
        <v>818.40000000000009</v>
      </c>
      <c r="K45" s="53">
        <f>SUMIFS(REALIZADO[META_MOVEL],REALIZADO[COORDENAÇÃO],$P$7)</f>
        <v>53549.999899999995</v>
      </c>
      <c r="L45" s="54">
        <f>SUMIFS(PROJEÇÃO[PROJ_MOVEL],PROJEÇÃO[COORDENAÇÃO],$P$7)</f>
        <v>47019.827700000002</v>
      </c>
      <c r="M45" s="49">
        <f>IFERROR(L45/K45,0)</f>
        <v>0.87805467390859893</v>
      </c>
      <c r="N45" s="8">
        <f>IF($M$45&gt;=FATORES!$I$37,FATORES!$K$37,0)</f>
        <v>0</v>
      </c>
      <c r="O45" s="14">
        <f>IF(E45&gt;=100%,
IF($P$7="ARIEL",
   IF(AND($E$45&gt;=69.5%, AND($E$47&gt;=69.5%, $E$48&gt;=69.5%, $E$48&gt;=69.5%, $E$50&gt;=69.5%, $E$50&gt;=69.5%, $E$52&gt;=69.5%, $E$53&gt;=69.5%)),
      D45*N45,
      0),
   IF(AND($E$45&gt;=69.5%, $E$46&gt;=69.5%, $E$47&gt;=69.5%, $E$48&gt;=69.5%, $E$48&gt;=69.5%, $E$50&gt;=69.5%, $E$50&gt;=69.5%, $E$52&gt;=69.5%, $E$53&gt;=69.5%),
      D45*N45,
      0)
),0)</f>
        <v>0</v>
      </c>
      <c r="P45" s="10">
        <f>J45+O45</f>
        <v>818.40000000000009</v>
      </c>
      <c r="Q45" s="11">
        <f>IF($B$8=2,P45*0.05,0)</f>
        <v>0</v>
      </c>
      <c r="R45" s="11">
        <f>IF($B$8=3,P45*0.15,0)</f>
        <v>0</v>
      </c>
      <c r="S45" s="98">
        <v>0.1</v>
      </c>
      <c r="T45" s="101">
        <f>SUM($P$54:$S$54)</f>
        <v>1535.4282000000003</v>
      </c>
    </row>
    <row r="46" spans="2:20" x14ac:dyDescent="0.35">
      <c r="B46" s="46" t="s">
        <v>13</v>
      </c>
      <c r="C46" s="55">
        <f>SUMIFS(REALIZADO[META_FIXA],REALIZADO[PDV],ITACIBA!$M$7)</f>
        <v>2949.9998999999998</v>
      </c>
      <c r="D46" s="56">
        <v>3520</v>
      </c>
      <c r="E46" s="50">
        <f>IFERROR(D46/C46,0)</f>
        <v>1.1932203794311993</v>
      </c>
      <c r="F46" s="12">
        <f>VLOOKUP($E$46,FATORES!$I$40:$K$42,3)</f>
        <v>0.04</v>
      </c>
      <c r="G46" s="12">
        <f>IFERROR(VLOOKUP(E46,FATORES!$I$43:$K$44,3),0)</f>
        <v>0.1</v>
      </c>
      <c r="H46" s="65">
        <f t="shared" ref="H46:H53" si="17">D46*F46</f>
        <v>140.80000000000001</v>
      </c>
      <c r="I46" s="65">
        <f t="shared" si="16"/>
        <v>352</v>
      </c>
      <c r="J46" s="65">
        <f t="shared" ref="J46:J53" si="18">H46+I46</f>
        <v>492.8</v>
      </c>
      <c r="K46" s="55">
        <f>SUMIFS(REALIZADO[META_FIXA],REALIZADO[COORDENAÇÃO],$P$7)</f>
        <v>29649.999899999988</v>
      </c>
      <c r="L46" s="56">
        <v>39752</v>
      </c>
      <c r="M46" s="50">
        <f t="shared" ref="M46:M53" si="19">IFERROR(L46/K46,0)</f>
        <v>1.3407082675909221</v>
      </c>
      <c r="N46" s="12">
        <f>IF($M$46&gt;=FATORES!$I$45,FATORES!$K$45,0)</f>
        <v>0.03</v>
      </c>
      <c r="O46" s="14">
        <f t="shared" ref="O46:O53" si="20">IF(E46&gt;=100%,
IF($P$7="ARIEL",
   IF(AND($E$45&gt;=69.5%, AND($E$47&gt;=69.5%, $E$48&gt;=69.5%, $E$48&gt;=69.5%, $E$50&gt;=69.5%, $E$50&gt;=69.5%, $E$52&gt;=69.5%, $E$53&gt;=69.5%)),
      D46*N46,
      0),
   IF(AND($E$45&gt;=69.5%, $E$46&gt;=69.5%, $E$47&gt;=69.5%, $E$48&gt;=69.5%, $E$48&gt;=69.5%, $E$50&gt;=69.5%, $E$50&gt;=69.5%, $E$52&gt;=69.5%, $E$53&gt;=69.5%),
      D46*N46,
      0)
),0)</f>
        <v>105.6</v>
      </c>
      <c r="P46" s="13">
        <f t="shared" ref="P46:P53" si="21">J46+O46</f>
        <v>598.4</v>
      </c>
      <c r="Q46" s="15">
        <f>IF($C$8=2,P46*0.05,0)</f>
        <v>0</v>
      </c>
      <c r="R46" s="15">
        <f>IF($C$8=3,P46*0.15,0)</f>
        <v>0</v>
      </c>
      <c r="S46" s="99"/>
      <c r="T46" s="102"/>
    </row>
    <row r="47" spans="2:20" x14ac:dyDescent="0.35">
      <c r="B47" s="46" t="s">
        <v>231</v>
      </c>
      <c r="C47" s="55">
        <f>SUMIFS(REALIZADO[META_SMARTPHONE],REALIZADO[PDV],ITACIBA!$M$7)</f>
        <v>90000</v>
      </c>
      <c r="D47" s="56">
        <v>72516</v>
      </c>
      <c r="E47" s="50">
        <f>IFERROR(D47/C47,0)</f>
        <v>0.8057333333333333</v>
      </c>
      <c r="F47" s="12">
        <f>VLOOKUP($E$47,FATORES!$B$53:$D$54,3)</f>
        <v>2.0000000000000001E-4</v>
      </c>
      <c r="G47" s="12">
        <f>IFERROR(VLOOKUP(E47,FATORES!$B$55:$D$55,3),0)</f>
        <v>0</v>
      </c>
      <c r="H47" s="65">
        <f t="shared" si="17"/>
        <v>14.503200000000001</v>
      </c>
      <c r="I47" s="65">
        <f t="shared" si="16"/>
        <v>0</v>
      </c>
      <c r="J47" s="65">
        <f t="shared" si="18"/>
        <v>14.503200000000001</v>
      </c>
      <c r="K47" s="55">
        <f>SUMIFS(REALIZADO[META_SMARTPHONE],REALIZADO[COORDENAÇÃO],$P$7)</f>
        <v>741500.00009999995</v>
      </c>
      <c r="L47" s="56">
        <f>SUMIFS(PROJEÇÃO[PROJ_APARELHO],PROJEÇÃO[COORDENAÇÃO],$P$7)</f>
        <v>560223.55000000005</v>
      </c>
      <c r="M47" s="50">
        <f t="shared" si="19"/>
        <v>0.75552737683674631</v>
      </c>
      <c r="N47" s="12">
        <f>IF($M$47&gt;=FATORES!$B$56,FATORES!$D$56,0)</f>
        <v>0</v>
      </c>
      <c r="O47" s="14">
        <f t="shared" si="20"/>
        <v>0</v>
      </c>
      <c r="P47" s="13">
        <f t="shared" si="21"/>
        <v>14.503200000000001</v>
      </c>
      <c r="Q47" s="15">
        <f>IF($D$8=2,P47*0.05,0)</f>
        <v>0</v>
      </c>
      <c r="R47" s="15">
        <f>IF($D$8=3,P47*0.15,0)</f>
        <v>0</v>
      </c>
      <c r="S47" s="99"/>
      <c r="T47" s="102"/>
    </row>
    <row r="48" spans="2:20" x14ac:dyDescent="0.35">
      <c r="B48" s="47" t="s">
        <v>232</v>
      </c>
      <c r="C48" s="96">
        <f>SUMIFS(REALIZADO[META_ACESSORIO],REALIZADO[PDV],ITACIBA!$M$7)</f>
        <v>9999.9998999999989</v>
      </c>
      <c r="D48" s="56">
        <v>8580</v>
      </c>
      <c r="E48" s="97">
        <f>IFERROR((D48+D49)/C48,0)</f>
        <v>0.85800000858000014</v>
      </c>
      <c r="F48" s="12">
        <f>VLOOKUP($E$48,FATORES!$B$44:$E$46,3)</f>
        <v>1E-3</v>
      </c>
      <c r="G48" s="12">
        <f>IFERROR(VLOOKUP(E48,FATORES!$B$47:$E$48,3),0)</f>
        <v>0</v>
      </c>
      <c r="H48" s="65">
        <f t="shared" si="17"/>
        <v>8.58</v>
      </c>
      <c r="I48" s="65">
        <f t="shared" si="16"/>
        <v>0</v>
      </c>
      <c r="J48" s="65">
        <f t="shared" si="18"/>
        <v>8.58</v>
      </c>
      <c r="K48" s="96">
        <f>SUMIFS(REALIZADO[META_ACESSORIO],REALIZADO[COORDENAÇÃO],$P$7)</f>
        <v>82600.000300000014</v>
      </c>
      <c r="L48" s="56">
        <f>SUMIFS(PROJEÇÃO[PROJ_ELETRO_A],PROJEÇÃO[COORDENAÇÃO],$P$7)</f>
        <v>6890.6666999999998</v>
      </c>
      <c r="M48" s="97">
        <f>IFERROR((L48+L49)/K48,0)</f>
        <v>1.2683688416403067</v>
      </c>
      <c r="N48" s="12">
        <f>IF($M$48&gt;=FATORES!$B$49,FATORES!$D$49,0)</f>
        <v>2.5000000000000001E-3</v>
      </c>
      <c r="O48" s="14">
        <f t="shared" si="20"/>
        <v>0</v>
      </c>
      <c r="P48" s="13">
        <f t="shared" si="21"/>
        <v>8.58</v>
      </c>
      <c r="Q48" s="15">
        <f>IF($E$8=2,P48*0.05,0)</f>
        <v>0</v>
      </c>
      <c r="R48" s="15">
        <f>IF($E$8=3,P48*0.15,0)</f>
        <v>0</v>
      </c>
      <c r="S48" s="99"/>
      <c r="T48" s="102"/>
    </row>
    <row r="49" spans="2:20" x14ac:dyDescent="0.35">
      <c r="B49" s="47" t="s">
        <v>233</v>
      </c>
      <c r="C49" s="96"/>
      <c r="D49" s="56">
        <v>0</v>
      </c>
      <c r="E49" s="97"/>
      <c r="F49" s="12">
        <f>VLOOKUP($E$48,FATORES!$B$44:$E$46,4)</f>
        <v>5.0000000000000001E-4</v>
      </c>
      <c r="G49" s="12">
        <f>IFERROR(VLOOKUP(E48,FATORES!$B$47:$E$48,4),0)</f>
        <v>0</v>
      </c>
      <c r="H49" s="65">
        <f t="shared" si="17"/>
        <v>0</v>
      </c>
      <c r="I49" s="65">
        <f t="shared" si="16"/>
        <v>0</v>
      </c>
      <c r="J49" s="65">
        <f t="shared" si="18"/>
        <v>0</v>
      </c>
      <c r="K49" s="96"/>
      <c r="L49" s="56">
        <f>SUMIFS(PROJEÇÃO[PROJ_ELETRO_B],PROJEÇÃO[COORDENAÇÃO],$P$7)</f>
        <v>97876.6</v>
      </c>
      <c r="M49" s="97"/>
      <c r="N49" s="12">
        <f>IF($M$48&gt;=FATORES!$B$49,FATORES!$E$49,0)</f>
        <v>1.25E-3</v>
      </c>
      <c r="O49" s="14">
        <f t="shared" si="20"/>
        <v>0</v>
      </c>
      <c r="P49" s="13">
        <f t="shared" si="21"/>
        <v>0</v>
      </c>
      <c r="Q49" s="15">
        <f>IF($E$8=2,P49*0.05,0)</f>
        <v>0</v>
      </c>
      <c r="R49" s="15">
        <f>IF($E$8=3,P49*0.15,0)</f>
        <v>0</v>
      </c>
      <c r="S49" s="99"/>
      <c r="T49" s="102"/>
    </row>
    <row r="50" spans="2:20" x14ac:dyDescent="0.35">
      <c r="B50" s="46" t="s">
        <v>234</v>
      </c>
      <c r="C50" s="96">
        <f>SUMIFS(REALIZADO[META_ESSENCIAIS],REALIZADO[PDV],ITACIBA!$M$7)</f>
        <v>6600</v>
      </c>
      <c r="D50" s="56">
        <v>6100</v>
      </c>
      <c r="E50" s="97">
        <f>IFERROR((D50+D51)/C50,0)</f>
        <v>0.9242424242424242</v>
      </c>
      <c r="F50" s="12">
        <f>VLOOKUP($E$50,FATORES!$B$34:$E$36,3)</f>
        <v>1.5E-3</v>
      </c>
      <c r="G50" s="12">
        <f>IFERROR(VLOOKUP(E50,FATORES!$B$37:$E$38,3),0)</f>
        <v>0</v>
      </c>
      <c r="H50" s="65">
        <f t="shared" si="17"/>
        <v>9.15</v>
      </c>
      <c r="I50" s="65">
        <f t="shared" si="16"/>
        <v>0</v>
      </c>
      <c r="J50" s="65">
        <f t="shared" si="18"/>
        <v>9.15</v>
      </c>
      <c r="K50" s="96">
        <f>SUMIFS(REALIZADO[META_ESSENCIAIS],REALIZADO[COORDENAÇÃO],$P$7)</f>
        <v>41199.999999999993</v>
      </c>
      <c r="L50" s="56">
        <f>SUMIFS(PROJEÇÃO[PROJ_ESSEN_A],PROJEÇÃO[COORDENAÇÃO],$P$7)</f>
        <v>16007.2889</v>
      </c>
      <c r="M50" s="97">
        <f>IFERROR((L50+L51)/K50,0)</f>
        <v>0.92994956553398067</v>
      </c>
      <c r="N50" s="12">
        <f>IF($M$50&gt;=FATORES!$B$39,FATORES!$D$39,0)</f>
        <v>0</v>
      </c>
      <c r="O50" s="14">
        <f t="shared" si="20"/>
        <v>0</v>
      </c>
      <c r="P50" s="13">
        <f t="shared" si="21"/>
        <v>9.15</v>
      </c>
      <c r="Q50" s="15">
        <f>IF($F$8=2,P50*0.05,0)</f>
        <v>0</v>
      </c>
      <c r="R50" s="15">
        <f>IF($F$8=3,P50*0.15,0)</f>
        <v>0</v>
      </c>
      <c r="S50" s="99"/>
      <c r="T50" s="102"/>
    </row>
    <row r="51" spans="2:20" x14ac:dyDescent="0.35">
      <c r="B51" s="46" t="s">
        <v>235</v>
      </c>
      <c r="C51" s="96"/>
      <c r="D51" s="56"/>
      <c r="E51" s="97"/>
      <c r="F51" s="12">
        <f>VLOOKUP($E$50,FATORES!$B$34:$E$36,4)</f>
        <v>7.5000000000000002E-4</v>
      </c>
      <c r="G51" s="12">
        <f>IFERROR(VLOOKUP(E50,FATORES!$B$37:$E$38,4),0)</f>
        <v>0</v>
      </c>
      <c r="H51" s="65">
        <f t="shared" si="17"/>
        <v>0</v>
      </c>
      <c r="I51" s="65">
        <f t="shared" si="16"/>
        <v>0</v>
      </c>
      <c r="J51" s="65">
        <f t="shared" si="18"/>
        <v>0</v>
      </c>
      <c r="K51" s="96"/>
      <c r="L51" s="56">
        <f>SUMIFS(PROJEÇÃO[PROJ_ESSEN_B],PROJEÇÃO[COORDENAÇÃO],$P$7)</f>
        <v>22306.6332</v>
      </c>
      <c r="M51" s="97"/>
      <c r="N51" s="12">
        <f>IF($M$50&gt;=FATORES!$B$39,FATORES!$E$39,0)</f>
        <v>0</v>
      </c>
      <c r="O51" s="14">
        <f t="shared" si="20"/>
        <v>0</v>
      </c>
      <c r="P51" s="13">
        <f t="shared" si="21"/>
        <v>0</v>
      </c>
      <c r="Q51" s="15">
        <f>IF($F$8=2,P51*0.05,0)</f>
        <v>0</v>
      </c>
      <c r="R51" s="15">
        <f>IF($F$8=3,P51*0.15,0)</f>
        <v>0</v>
      </c>
      <c r="S51" s="99"/>
      <c r="T51" s="102"/>
    </row>
    <row r="52" spans="2:20" x14ac:dyDescent="0.35">
      <c r="B52" s="46" t="s">
        <v>212</v>
      </c>
      <c r="C52" s="55">
        <v>500</v>
      </c>
      <c r="D52" s="56">
        <v>530</v>
      </c>
      <c r="E52" s="50">
        <f>IFERROR(D52/C52,0)</f>
        <v>1.06</v>
      </c>
      <c r="F52" s="83">
        <f>VLOOKUP($E$52,FATORES!$O$32:$Q$34,3)</f>
        <v>0.04</v>
      </c>
      <c r="G52" s="12">
        <f>IFERROR(VLOOKUP(E52,FATORES!$O$35:$Q$36,3),0)</f>
        <v>0.1</v>
      </c>
      <c r="H52" s="65">
        <f t="shared" si="17"/>
        <v>21.2</v>
      </c>
      <c r="I52" s="65">
        <f t="shared" si="16"/>
        <v>53</v>
      </c>
      <c r="J52" s="65">
        <f t="shared" si="18"/>
        <v>74.2</v>
      </c>
      <c r="K52" s="55">
        <f>SUMIFS(REALIZADO[META_SEGUROS],REALIZADO[COORDENAÇÃO],$P$7)</f>
        <v>5129.9997999999996</v>
      </c>
      <c r="L52" s="56">
        <f>SUMIFS(PROJEÇÃO[PROJ_SEGURO],PROJEÇÃO[COORDENAÇÃO],$P$7)</f>
        <v>4017.2332999999999</v>
      </c>
      <c r="M52" s="50">
        <f t="shared" si="19"/>
        <v>0.78308644378504655</v>
      </c>
      <c r="N52" s="12">
        <f>IF($M$52&gt;=FATORES!$O$37,FATORES!$Q$37,0)</f>
        <v>0</v>
      </c>
      <c r="O52" s="14">
        <f t="shared" si="20"/>
        <v>0</v>
      </c>
      <c r="P52" s="13">
        <f t="shared" si="21"/>
        <v>74.2</v>
      </c>
      <c r="Q52" s="15">
        <f>IF($G$8=2,P52*0.05,0)</f>
        <v>0</v>
      </c>
      <c r="R52" s="15">
        <f>IF($G$8=3,P52*0.15,0)</f>
        <v>0</v>
      </c>
      <c r="S52" s="99"/>
      <c r="T52" s="102"/>
    </row>
    <row r="53" spans="2:20" x14ac:dyDescent="0.35">
      <c r="B53" s="48" t="s">
        <v>14</v>
      </c>
      <c r="C53" s="57">
        <f>SUMIFS(REALIZADO[META_SVA],REALIZADO[PDV],ITACIBA!$M$7)</f>
        <v>690</v>
      </c>
      <c r="D53" s="58">
        <v>813</v>
      </c>
      <c r="E53" s="51">
        <f>IFERROR(D53/C53,0)</f>
        <v>1.1782608695652175</v>
      </c>
      <c r="F53" s="16">
        <f>IF($E$53&gt;=0,FATORES!$Q$40)</f>
        <v>5.0000000000000001E-3</v>
      </c>
      <c r="G53" s="16">
        <f>IFERROR(VLOOKUP(E53,FATORES!$O$43:$Q$44,3),0)</f>
        <v>5.0000000000000001E-3</v>
      </c>
      <c r="H53" s="17">
        <f t="shared" si="17"/>
        <v>4.0650000000000004</v>
      </c>
      <c r="I53" s="65">
        <f t="shared" si="16"/>
        <v>4.0650000000000004</v>
      </c>
      <c r="J53" s="17">
        <f t="shared" si="18"/>
        <v>8.1300000000000008</v>
      </c>
      <c r="K53" s="57">
        <f>SUMIFS(REALIZADO[META_SVA],REALIZADO[COORDENAÇÃO],$P$7)</f>
        <v>4540.0006000000003</v>
      </c>
      <c r="L53" s="58">
        <f>SUMIFS(PROJEÇÃO[PROJ_SVA],PROJEÇÃO[COORDENAÇÃO],$P$7)</f>
        <v>5391.4400000000005</v>
      </c>
      <c r="M53" s="51">
        <f t="shared" si="19"/>
        <v>1.1875416932764282</v>
      </c>
      <c r="N53" s="16">
        <f>IF($M$53&gt;=FATORES!$O$45,FATORES!$Q$45,0)</f>
        <v>5.0000000000000001E-3</v>
      </c>
      <c r="O53" s="14">
        <f t="shared" si="20"/>
        <v>4.0650000000000004</v>
      </c>
      <c r="P53" s="18">
        <f t="shared" si="21"/>
        <v>12.195</v>
      </c>
      <c r="Q53" s="19">
        <f>IF($H$8=2,P53*0.05,0)</f>
        <v>0</v>
      </c>
      <c r="R53" s="19">
        <f>IF($H$8=3,P53*0.15,0)</f>
        <v>0</v>
      </c>
      <c r="S53" s="100"/>
      <c r="T53" s="103"/>
    </row>
    <row r="54" spans="2:20" x14ac:dyDescent="0.35">
      <c r="B54" s="66"/>
      <c r="C54" s="67"/>
      <c r="D54" s="67"/>
      <c r="E54" s="67"/>
      <c r="F54" s="67"/>
      <c r="G54" s="67"/>
      <c r="H54" s="67"/>
      <c r="I54" s="67"/>
      <c r="J54" s="68"/>
      <c r="K54" s="69"/>
      <c r="L54" s="67"/>
      <c r="M54" s="67"/>
      <c r="N54" s="67"/>
      <c r="O54" s="67"/>
      <c r="P54" s="70">
        <f>SUM(P45:P53)</f>
        <v>1535.4282000000003</v>
      </c>
      <c r="Q54" s="70">
        <f t="shared" ref="Q54:R54" si="22">SUM(Q45:Q53)</f>
        <v>0</v>
      </c>
      <c r="R54" s="70">
        <f t="shared" si="22"/>
        <v>0</v>
      </c>
      <c r="S54" s="71" t="str">
        <f>IF($P$7="ARIEL",IF(MIN(E45,E47,E48,E49,E50,E52,E53)&gt;=99.99%,SUM(P54:R54)*S45,""),IF(MIN(E45:E53)&gt;=99.99%,SUM(P54:R54)*S45,""))</f>
        <v/>
      </c>
      <c r="T54" s="72"/>
    </row>
  </sheetData>
  <sheetProtection algorithmName="SHA-512" hashValue="agzp5GAi1uMig4BkKt2WRk6tPZN9MOIUJEEfUT3v3Rel0/I+ockfkFW5gi6FnAxJWD6RMYBe+voMarWRtwN8dw==" saltValue="jQTWaeEs67d6xx66rqlb1A==" spinCount="100000" sheet="1" objects="1" scenarios="1"/>
  <protectedRanges>
    <protectedRange sqref="B8:H8 C45:D53 K45:L53" name="Intervalo1"/>
  </protectedRanges>
  <mergeCells count="94">
    <mergeCell ref="I13:I14"/>
    <mergeCell ref="B12:J12"/>
    <mergeCell ref="K12:T12"/>
    <mergeCell ref="B2:T4"/>
    <mergeCell ref="B6:H6"/>
    <mergeCell ref="M6:N6"/>
    <mergeCell ref="M7:N7"/>
    <mergeCell ref="B11:T11"/>
    <mergeCell ref="B13:B14"/>
    <mergeCell ref="C13:E13"/>
    <mergeCell ref="F13:F14"/>
    <mergeCell ref="G13:G14"/>
    <mergeCell ref="H13:H14"/>
    <mergeCell ref="D14:E14"/>
    <mergeCell ref="J13:J14"/>
    <mergeCell ref="K13:M13"/>
    <mergeCell ref="S13:S14"/>
    <mergeCell ref="T13:T14"/>
    <mergeCell ref="L14:M14"/>
    <mergeCell ref="N13:N14"/>
    <mergeCell ref="O13:O14"/>
    <mergeCell ref="P13:P14"/>
    <mergeCell ref="Q13:Q14"/>
    <mergeCell ref="R13:R14"/>
    <mergeCell ref="C20:C21"/>
    <mergeCell ref="E20:E21"/>
    <mergeCell ref="K20:K21"/>
    <mergeCell ref="M20:M21"/>
    <mergeCell ref="B26:T26"/>
    <mergeCell ref="S15:S23"/>
    <mergeCell ref="T15:T23"/>
    <mergeCell ref="C18:C19"/>
    <mergeCell ref="E18:E19"/>
    <mergeCell ref="K18:K19"/>
    <mergeCell ref="M18:M19"/>
    <mergeCell ref="B27:J27"/>
    <mergeCell ref="K27:T27"/>
    <mergeCell ref="B28:B29"/>
    <mergeCell ref="C28:E28"/>
    <mergeCell ref="F28:F29"/>
    <mergeCell ref="G28:G29"/>
    <mergeCell ref="H28:H29"/>
    <mergeCell ref="I28:I29"/>
    <mergeCell ref="J28:J29"/>
    <mergeCell ref="S28:S29"/>
    <mergeCell ref="T28:T29"/>
    <mergeCell ref="D29:E29"/>
    <mergeCell ref="L29:M29"/>
    <mergeCell ref="S30:S38"/>
    <mergeCell ref="T30:T38"/>
    <mergeCell ref="K28:M28"/>
    <mergeCell ref="N28:N29"/>
    <mergeCell ref="O28:O29"/>
    <mergeCell ref="P28:P29"/>
    <mergeCell ref="Q28:Q29"/>
    <mergeCell ref="R28:R29"/>
    <mergeCell ref="C33:C34"/>
    <mergeCell ref="E33:E34"/>
    <mergeCell ref="K33:K34"/>
    <mergeCell ref="M33:M34"/>
    <mergeCell ref="C35:C36"/>
    <mergeCell ref="E35:E36"/>
    <mergeCell ref="K35:K36"/>
    <mergeCell ref="M35:M36"/>
    <mergeCell ref="B41:T41"/>
    <mergeCell ref="B42:J42"/>
    <mergeCell ref="K42:O42"/>
    <mergeCell ref="B43:B44"/>
    <mergeCell ref="C43:E43"/>
    <mergeCell ref="F43:F44"/>
    <mergeCell ref="G43:G44"/>
    <mergeCell ref="H43:H44"/>
    <mergeCell ref="I43:I44"/>
    <mergeCell ref="J43:J44"/>
    <mergeCell ref="S43:S44"/>
    <mergeCell ref="T43:T44"/>
    <mergeCell ref="D44:E44"/>
    <mergeCell ref="L44:M44"/>
    <mergeCell ref="S45:S53"/>
    <mergeCell ref="T45:T53"/>
    <mergeCell ref="K43:M43"/>
    <mergeCell ref="N43:N44"/>
    <mergeCell ref="O43:O44"/>
    <mergeCell ref="P43:P44"/>
    <mergeCell ref="Q43:Q44"/>
    <mergeCell ref="R43:R44"/>
    <mergeCell ref="C48:C49"/>
    <mergeCell ref="E48:E49"/>
    <mergeCell ref="K48:K49"/>
    <mergeCell ref="M48:M49"/>
    <mergeCell ref="C50:C51"/>
    <mergeCell ref="E50:E51"/>
    <mergeCell ref="K50:K51"/>
    <mergeCell ref="M50:M51"/>
  </mergeCells>
  <conditionalFormatting sqref="E15:E18 E20 E22:E23">
    <cfRule type="cellIs" dxfId="306" priority="22" operator="between">
      <formula>0.7</formula>
      <formula>1</formula>
    </cfRule>
    <cfRule type="cellIs" dxfId="305" priority="23" operator="greaterThanOrEqual">
      <formula>1</formula>
    </cfRule>
    <cfRule type="cellIs" dxfId="304" priority="24" operator="lessThan">
      <formula>0.7</formula>
    </cfRule>
  </conditionalFormatting>
  <conditionalFormatting sqref="E30:E33 E35 E37:E38">
    <cfRule type="cellIs" dxfId="303" priority="10" operator="between">
      <formula>0.7</formula>
      <formula>1</formula>
    </cfRule>
    <cfRule type="cellIs" dxfId="302" priority="11" operator="greaterThanOrEqual">
      <formula>1</formula>
    </cfRule>
    <cfRule type="cellIs" dxfId="301" priority="12" operator="lessThan">
      <formula>0.7</formula>
    </cfRule>
  </conditionalFormatting>
  <conditionalFormatting sqref="E45:E48 E50 E52:E53">
    <cfRule type="cellIs" dxfId="300" priority="34" operator="between">
      <formula>0.7</formula>
      <formula>1</formula>
    </cfRule>
    <cfRule type="cellIs" dxfId="299" priority="35" operator="greaterThanOrEqual">
      <formula>1</formula>
    </cfRule>
    <cfRule type="cellIs" dxfId="298" priority="36" operator="lessThan">
      <formula>0.7</formula>
    </cfRule>
  </conditionalFormatting>
  <conditionalFormatting sqref="M15:M18">
    <cfRule type="cellIs" dxfId="297" priority="16" operator="between">
      <formula>0.7</formula>
      <formula>1</formula>
    </cfRule>
    <cfRule type="cellIs" dxfId="296" priority="17" operator="greaterThanOrEqual">
      <formula>1</formula>
    </cfRule>
    <cfRule type="cellIs" dxfId="295" priority="18" operator="lessThan">
      <formula>0.7</formula>
    </cfRule>
  </conditionalFormatting>
  <conditionalFormatting sqref="M20">
    <cfRule type="cellIs" dxfId="294" priority="13" operator="between">
      <formula>0.7</formula>
      <formula>1</formula>
    </cfRule>
    <cfRule type="cellIs" dxfId="293" priority="14" operator="greaterThanOrEqual">
      <formula>1</formula>
    </cfRule>
    <cfRule type="cellIs" dxfId="292" priority="15" operator="lessThan">
      <formula>0.7</formula>
    </cfRule>
  </conditionalFormatting>
  <conditionalFormatting sqref="M22:M23">
    <cfRule type="cellIs" dxfId="291" priority="19" operator="between">
      <formula>0.7</formula>
      <formula>1</formula>
    </cfRule>
    <cfRule type="cellIs" dxfId="290" priority="20" operator="greaterThanOrEqual">
      <formula>1</formula>
    </cfRule>
    <cfRule type="cellIs" dxfId="289" priority="21" operator="lessThan">
      <formula>0.7</formula>
    </cfRule>
  </conditionalFormatting>
  <conditionalFormatting sqref="M30:M33">
    <cfRule type="cellIs" dxfId="288" priority="4" operator="between">
      <formula>0.7</formula>
      <formula>1</formula>
    </cfRule>
    <cfRule type="cellIs" dxfId="287" priority="5" operator="greaterThanOrEqual">
      <formula>1</formula>
    </cfRule>
    <cfRule type="cellIs" dxfId="286" priority="6" operator="lessThan">
      <formula>0.7</formula>
    </cfRule>
  </conditionalFormatting>
  <conditionalFormatting sqref="M35">
    <cfRule type="cellIs" dxfId="285" priority="1" operator="between">
      <formula>0.7</formula>
      <formula>1</formula>
    </cfRule>
    <cfRule type="cellIs" dxfId="284" priority="2" operator="greaterThanOrEqual">
      <formula>1</formula>
    </cfRule>
    <cfRule type="cellIs" dxfId="283" priority="3" operator="lessThan">
      <formula>0.7</formula>
    </cfRule>
  </conditionalFormatting>
  <conditionalFormatting sqref="M37:M38">
    <cfRule type="cellIs" dxfId="282" priority="7" operator="between">
      <formula>0.7</formula>
      <formula>1</formula>
    </cfRule>
    <cfRule type="cellIs" dxfId="281" priority="8" operator="greaterThanOrEqual">
      <formula>1</formula>
    </cfRule>
    <cfRule type="cellIs" dxfId="280" priority="9" operator="lessThan">
      <formula>0.7</formula>
    </cfRule>
  </conditionalFormatting>
  <conditionalFormatting sqref="M45:M48">
    <cfRule type="cellIs" dxfId="279" priority="28" operator="between">
      <formula>0.7</formula>
      <formula>1</formula>
    </cfRule>
    <cfRule type="cellIs" dxfId="278" priority="29" operator="greaterThanOrEqual">
      <formula>1</formula>
    </cfRule>
    <cfRule type="cellIs" dxfId="277" priority="30" operator="lessThan">
      <formula>0.7</formula>
    </cfRule>
  </conditionalFormatting>
  <conditionalFormatting sqref="M50">
    <cfRule type="cellIs" dxfId="276" priority="25" operator="between">
      <formula>0.7</formula>
      <formula>1</formula>
    </cfRule>
    <cfRule type="cellIs" dxfId="275" priority="26" operator="greaterThanOrEqual">
      <formula>1</formula>
    </cfRule>
    <cfRule type="cellIs" dxfId="274" priority="27" operator="lessThan">
      <formula>0.7</formula>
    </cfRule>
  </conditionalFormatting>
  <conditionalFormatting sqref="M52:M53">
    <cfRule type="cellIs" dxfId="273" priority="31" operator="between">
      <formula>0.7</formula>
      <formula>1</formula>
    </cfRule>
    <cfRule type="cellIs" dxfId="272" priority="32" operator="greaterThanOrEqual">
      <formula>1</formula>
    </cfRule>
    <cfRule type="cellIs" dxfId="271" priority="33" operator="lessThan">
      <formula>0.7</formula>
    </cfRule>
  </conditionalFormatting>
  <dataValidations count="1">
    <dataValidation type="list" allowBlank="1" showInputMessage="1" showErrorMessage="1" sqref="B8:H8" xr:uid="{762BDEDF-2C6F-4F3A-ACFB-192B433746D1}">
      <formula1>$V$6:$X$6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23C5A-5329-4A35-917D-06EC8F1C3088}">
  <dimension ref="B1:X54"/>
  <sheetViews>
    <sheetView showGridLines="0" zoomScale="70" zoomScaleNormal="70" workbookViewId="0">
      <selection activeCell="K6" sqref="K6"/>
    </sheetView>
  </sheetViews>
  <sheetFormatPr defaultRowHeight="14.5" x14ac:dyDescent="0.35"/>
  <cols>
    <col min="1" max="1" width="2.1796875" customWidth="1"/>
    <col min="2" max="2" width="16.453125" customWidth="1"/>
    <col min="3" max="3" width="15" bestFit="1" customWidth="1"/>
    <col min="4" max="4" width="14.54296875" customWidth="1"/>
    <col min="5" max="5" width="13.453125" bestFit="1" customWidth="1"/>
    <col min="6" max="6" width="14" customWidth="1"/>
    <col min="7" max="7" width="18.7265625" customWidth="1"/>
    <col min="8" max="8" width="15" customWidth="1"/>
    <col min="9" max="9" width="20" customWidth="1"/>
    <col min="10" max="10" width="21.1796875" customWidth="1"/>
    <col min="11" max="12" width="16.453125" customWidth="1"/>
    <col min="13" max="13" width="9.7265625" customWidth="1"/>
    <col min="14" max="14" width="20.54296875" customWidth="1"/>
    <col min="15" max="15" width="21" customWidth="1"/>
    <col min="16" max="16" width="15.26953125" customWidth="1"/>
    <col min="17" max="17" width="13" bestFit="1" customWidth="1"/>
    <col min="18" max="18" width="10.453125" bestFit="1" customWidth="1"/>
    <col min="19" max="19" width="12.7265625" bestFit="1" customWidth="1"/>
    <col min="20" max="20" width="14.453125" customWidth="1"/>
  </cols>
  <sheetData>
    <row r="1" spans="2:24" x14ac:dyDescent="0.35">
      <c r="B1" s="59"/>
    </row>
    <row r="2" spans="2:24" x14ac:dyDescent="0.35">
      <c r="B2" s="143" t="s">
        <v>207</v>
      </c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5"/>
    </row>
    <row r="3" spans="2:24" x14ac:dyDescent="0.35">
      <c r="B3" s="146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8"/>
    </row>
    <row r="4" spans="2:24" x14ac:dyDescent="0.35">
      <c r="B4" s="149"/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1"/>
    </row>
    <row r="5" spans="2:24" x14ac:dyDescent="0.35">
      <c r="B5" s="60"/>
      <c r="T5" s="61"/>
    </row>
    <row r="6" spans="2:24" ht="14.5" customHeight="1" x14ac:dyDescent="0.35">
      <c r="B6" s="152" t="s">
        <v>208</v>
      </c>
      <c r="C6" s="153"/>
      <c r="D6" s="153"/>
      <c r="E6" s="153"/>
      <c r="F6" s="153"/>
      <c r="G6" s="153"/>
      <c r="H6" s="154"/>
      <c r="M6" s="155" t="s">
        <v>54</v>
      </c>
      <c r="N6" s="156"/>
      <c r="P6" s="74" t="s">
        <v>23</v>
      </c>
      <c r="T6" s="61"/>
      <c r="V6" s="1">
        <v>0</v>
      </c>
      <c r="W6" s="1">
        <v>2</v>
      </c>
      <c r="X6" s="1">
        <v>3</v>
      </c>
    </row>
    <row r="7" spans="2:24" ht="14.5" customHeight="1" x14ac:dyDescent="0.35">
      <c r="B7" s="62" t="s">
        <v>209</v>
      </c>
      <c r="C7" s="2" t="s">
        <v>13</v>
      </c>
      <c r="D7" s="2" t="s">
        <v>210</v>
      </c>
      <c r="E7" s="2" t="s">
        <v>16</v>
      </c>
      <c r="F7" s="2" t="s">
        <v>211</v>
      </c>
      <c r="G7" s="2" t="s">
        <v>212</v>
      </c>
      <c r="H7" s="3" t="s">
        <v>14</v>
      </c>
      <c r="M7" s="157" t="s">
        <v>40</v>
      </c>
      <c r="N7" s="158"/>
      <c r="P7" s="75" t="s">
        <v>45</v>
      </c>
      <c r="T7" s="61"/>
    </row>
    <row r="8" spans="2:24" ht="14.5" customHeight="1" x14ac:dyDescent="0.35">
      <c r="B8" s="63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5">
        <v>0</v>
      </c>
      <c r="T8" s="61"/>
    </row>
    <row r="9" spans="2:24" x14ac:dyDescent="0.35">
      <c r="B9" s="84"/>
      <c r="C9" s="85"/>
      <c r="D9" s="85"/>
      <c r="E9" s="85"/>
      <c r="F9" s="85"/>
      <c r="G9" s="85"/>
      <c r="H9" s="85"/>
    </row>
    <row r="10" spans="2:24" x14ac:dyDescent="0.35">
      <c r="B10" s="84"/>
      <c r="C10" s="85"/>
      <c r="D10" s="85"/>
      <c r="E10" s="85"/>
      <c r="F10" s="85"/>
      <c r="G10" s="85"/>
      <c r="H10" s="85"/>
    </row>
    <row r="11" spans="2:24" ht="18.5" x14ac:dyDescent="0.35">
      <c r="B11" s="159" t="s">
        <v>213</v>
      </c>
      <c r="C11" s="160"/>
      <c r="D11" s="160"/>
      <c r="E11" s="160"/>
      <c r="F11" s="160"/>
      <c r="G11" s="160"/>
      <c r="H11" s="160"/>
      <c r="I11" s="160"/>
      <c r="J11" s="160"/>
      <c r="K11" s="160"/>
      <c r="L11" s="160"/>
      <c r="M11" s="160"/>
      <c r="N11" s="160"/>
      <c r="O11" s="160"/>
      <c r="P11" s="160"/>
      <c r="Q11" s="160"/>
      <c r="R11" s="160"/>
      <c r="S11" s="160"/>
      <c r="T11" s="160"/>
    </row>
    <row r="12" spans="2:24" x14ac:dyDescent="0.35">
      <c r="B12" s="129" t="s">
        <v>9</v>
      </c>
      <c r="C12" s="130"/>
      <c r="D12" s="130"/>
      <c r="E12" s="130"/>
      <c r="F12" s="130"/>
      <c r="G12" s="130"/>
      <c r="H12" s="130"/>
      <c r="I12" s="130"/>
      <c r="J12" s="131"/>
      <c r="K12" s="132" t="s">
        <v>54</v>
      </c>
      <c r="L12" s="130"/>
      <c r="M12" s="130"/>
      <c r="N12" s="130"/>
      <c r="O12" s="130"/>
      <c r="P12" s="130"/>
      <c r="Q12" s="130"/>
      <c r="R12" s="130"/>
      <c r="S12" s="130"/>
      <c r="T12" s="133"/>
    </row>
    <row r="13" spans="2:24" ht="14.5" customHeight="1" x14ac:dyDescent="0.35">
      <c r="B13" s="115" t="s">
        <v>214</v>
      </c>
      <c r="C13" s="116" t="s">
        <v>215</v>
      </c>
      <c r="D13" s="117"/>
      <c r="E13" s="104"/>
      <c r="F13" s="135" t="s">
        <v>216</v>
      </c>
      <c r="G13" s="135" t="s">
        <v>217</v>
      </c>
      <c r="H13" s="135" t="s">
        <v>218</v>
      </c>
      <c r="I13" s="135" t="s">
        <v>219</v>
      </c>
      <c r="J13" s="135" t="s">
        <v>220</v>
      </c>
      <c r="K13" s="116" t="s">
        <v>221</v>
      </c>
      <c r="L13" s="117"/>
      <c r="M13" s="104"/>
      <c r="N13" s="127" t="s">
        <v>222</v>
      </c>
      <c r="O13" s="127" t="s">
        <v>223</v>
      </c>
      <c r="P13" s="127" t="s">
        <v>224</v>
      </c>
      <c r="Q13" s="127" t="s">
        <v>225</v>
      </c>
      <c r="R13" s="127" t="s">
        <v>226</v>
      </c>
      <c r="S13" s="127" t="s">
        <v>227</v>
      </c>
      <c r="T13" s="137" t="s">
        <v>228</v>
      </c>
    </row>
    <row r="14" spans="2:24" x14ac:dyDescent="0.35">
      <c r="B14" s="134"/>
      <c r="C14" s="94" t="s">
        <v>229</v>
      </c>
      <c r="D14" s="139" t="s">
        <v>230</v>
      </c>
      <c r="E14" s="140"/>
      <c r="F14" s="136"/>
      <c r="G14" s="136"/>
      <c r="H14" s="136"/>
      <c r="I14" s="136"/>
      <c r="J14" s="136"/>
      <c r="K14" s="52" t="s">
        <v>229</v>
      </c>
      <c r="L14" s="139" t="s">
        <v>230</v>
      </c>
      <c r="M14" s="140"/>
      <c r="N14" s="128"/>
      <c r="O14" s="128"/>
      <c r="P14" s="128"/>
      <c r="Q14" s="128"/>
      <c r="R14" s="128"/>
      <c r="S14" s="128"/>
      <c r="T14" s="138"/>
    </row>
    <row r="15" spans="2:24" x14ac:dyDescent="0.35">
      <c r="B15" s="45" t="s">
        <v>2</v>
      </c>
      <c r="C15" s="76">
        <f>SUMIFS(REALIZADO[META_MOVEL],REALIZADO[PDV],'JARDIM CAMBURI'!$M$7)</f>
        <v>4500.0001000000002</v>
      </c>
      <c r="D15" s="77">
        <f>SUMIFS(PROJEÇÃO[PROJ_MOVEL],PROJEÇÃO[PDV],'JARDIM CAMBURI'!$M$7)</f>
        <v>4555.25</v>
      </c>
      <c r="E15" s="49">
        <f>IFERROR(D15/C15,0)</f>
        <v>1.0122777552827165</v>
      </c>
      <c r="F15" s="8">
        <f>VLOOKUP($E$15,FATORES!$I$32:$K$34,3)</f>
        <v>0.04</v>
      </c>
      <c r="G15" s="8">
        <f>IFERROR(VLOOKUP($E$15,FATORES!$I$35:$K$36,3),0)</f>
        <v>0.08</v>
      </c>
      <c r="H15" s="9">
        <f>D15*F15</f>
        <v>182.21</v>
      </c>
      <c r="I15" s="9">
        <f t="shared" ref="I15:I23" si="0">IF($P$7="ARIEL",
   IF(AND($E$15&gt;=69.5%, AND($E$17&gt;=69.5%, $E$18&gt;=69.5%, $E$18&gt;=69.5%, $E$20&gt;=69.5%, $E$20&gt;=69.5%, $E$22&gt;=69.5%, $E$23&gt;=69.5%)),
      D15*G15,
      0),
   IF(AND($E$15&gt;=69.5%, $E$16&gt;=69.5%, $E$17&gt;=69.5%, $E$18&gt;=69.5%, $E$18&gt;=69.5%, $E$20&gt;=69.5%, $E$20&gt;=69.5%, $E$22&gt;=69.5%, $E$23&gt;=69.5%),
      D15*G15,
      0)
)</f>
        <v>364.42</v>
      </c>
      <c r="J15" s="9">
        <f>H15+I15</f>
        <v>546.63</v>
      </c>
      <c r="K15" s="76">
        <f>SUMIFS(REALIZADO[META_MOVEL],REALIZADO[COORDENAÇÃO],$P$7)</f>
        <v>83640</v>
      </c>
      <c r="L15" s="77">
        <f>SUMIFS(PROJEÇÃO[PROJ_MOVEL],PROJEÇÃO[COORDENAÇÃO],$P$7)</f>
        <v>77669.213200000013</v>
      </c>
      <c r="M15" s="49">
        <f>IFERROR(L15/K15,0)</f>
        <v>0.92861326159732205</v>
      </c>
      <c r="N15" s="8">
        <f>IF($M$15&gt;=FATORES!$I$37,FATORES!$K$37,0)</f>
        <v>0</v>
      </c>
      <c r="O15" s="14">
        <f>IF(E15&gt;=100%,
   IF($P$7="ARIEL",
      IF(AND($E$15&gt;=69.5%,$E$17&gt;=69.5%,$E$18&gt;=69.5%,$E$20&gt;=69.5%,$E$22&gt;=69.5%,$E$23&gt;=69.5%),
         D15*N15,
         0
      ),
      IF(AND($E$15&gt;=69.5%,$E$16&gt;=69.5%,$E$17&gt;=69.5%,$E$18&gt;=69.5%,$E$20&gt;=69.5%,$E$22&gt;=69.5%,$E$23&gt;=69.5%),
         D15*N15,
         0
      )
   ),
0)</f>
        <v>0</v>
      </c>
      <c r="P15" s="10">
        <f>J15+O15</f>
        <v>546.63</v>
      </c>
      <c r="Q15" s="11">
        <f>IF($B$8=2,P15*0.05,0)</f>
        <v>0</v>
      </c>
      <c r="R15" s="11">
        <f>IF($B$8=3,P15*0.15,0)</f>
        <v>0</v>
      </c>
      <c r="S15" s="98">
        <v>0.1</v>
      </c>
      <c r="T15" s="124">
        <f>SUM(P24:S24)</f>
        <v>2024.9758047750001</v>
      </c>
    </row>
    <row r="16" spans="2:24" x14ac:dyDescent="0.35">
      <c r="B16" s="46" t="s">
        <v>13</v>
      </c>
      <c r="C16" s="76">
        <f>SUMIFS(REALIZADO[META_FIXA],REALIZADO[PDV],'JARDIM CAMBURI'!$M$7)</f>
        <v>2949.9998999999998</v>
      </c>
      <c r="D16" s="77">
        <f>SUMIFS(PROJEÇÃO[PROJ_FIXA],PROJEÇÃO[PDV],'JARDIM CAMBURI'!$M$7)</f>
        <v>4549.4022000000004</v>
      </c>
      <c r="E16" s="50">
        <f>IFERROR(D16/C16,0)</f>
        <v>1.5421702895650948</v>
      </c>
      <c r="F16" s="12">
        <f>VLOOKUP($E$16,FATORES!$I$40:$K$42,3)</f>
        <v>0.04</v>
      </c>
      <c r="G16" s="12">
        <f>IFERROR(VLOOKUP($E$16,FATORES!$I$43:$K$44,3),0)</f>
        <v>0.15</v>
      </c>
      <c r="H16" s="65">
        <f t="shared" ref="H16:H23" si="1">D16*F16</f>
        <v>181.97608800000003</v>
      </c>
      <c r="I16" s="65">
        <f t="shared" si="0"/>
        <v>682.41033000000004</v>
      </c>
      <c r="J16" s="65">
        <f t="shared" ref="J16:J23" si="2">H16+I16</f>
        <v>864.38641800000005</v>
      </c>
      <c r="K16" s="76">
        <f>SUMIFS(REALIZADO[META_FIXA],REALIZADO[COORDENAÇÃO],$P$7)</f>
        <v>36849.999799999998</v>
      </c>
      <c r="L16" s="77">
        <f>SUMIFS(PROJEÇÃO[PROJ_FIXA],PROJEÇÃO[COORDENAÇÃO],$P$7)</f>
        <v>42376.122200000013</v>
      </c>
      <c r="M16" s="50">
        <f t="shared" ref="M16:M17" si="3">IFERROR(L16/K16,0)</f>
        <v>1.1499626168247636</v>
      </c>
      <c r="N16" s="12">
        <f>IF($M$16&gt;=FATORES!$I$45,FATORES!$K$45,0)</f>
        <v>0.03</v>
      </c>
      <c r="O16" s="14">
        <f t="shared" ref="O16:O23" si="4">IF(E16&gt;=100%,
   IF($P$7="ARIEL",
      IF(AND($E$15&gt;=69.5%,$E$17&gt;=69.5%,$E$18&gt;=69.5%,$E$20&gt;=69.5%,$E$22&gt;=69.5%,$E$23&gt;=69.5%),
         D16*N16,
         0
      ),
      IF(AND($E$15&gt;=69.5%,$E$16&gt;=69.5%,$E$17&gt;=69.5%,$E$18&gt;=69.5%,$E$20&gt;=69.5%,$E$22&gt;=69.5%,$E$23&gt;=69.5%),
         D16*N16,
         0
      )
   ),
0)</f>
        <v>136.482066</v>
      </c>
      <c r="P16" s="13">
        <f t="shared" ref="P16:P23" si="5">J16+O16</f>
        <v>1000.8684840000001</v>
      </c>
      <c r="Q16" s="15">
        <f>IF($C$8=2,P16*0.05,0)</f>
        <v>0</v>
      </c>
      <c r="R16" s="15">
        <f>IF($C$8=3,P16*0.15,0)</f>
        <v>0</v>
      </c>
      <c r="S16" s="99"/>
      <c r="T16" s="125"/>
    </row>
    <row r="17" spans="2:20" x14ac:dyDescent="0.35">
      <c r="B17" s="46" t="s">
        <v>231</v>
      </c>
      <c r="C17" s="53">
        <f>SUMIFS(REALIZADO[META_SMARTPHONE],REALIZADO[PDV],'JARDIM CAMBURI'!$M$7)</f>
        <v>85000.000100000005</v>
      </c>
      <c r="D17" s="78">
        <f>SUMIFS(PROJEÇÃO[PROJ_APARELHO],PROJEÇÃO[PDV],'JARDIM CAMBURI'!$M$7)</f>
        <v>104576</v>
      </c>
      <c r="E17" s="50">
        <f>IFERROR(D17/C17,0)</f>
        <v>1.2303058809055225</v>
      </c>
      <c r="F17" s="12">
        <f>VLOOKUP($E$17,FATORES!$B$53:$D$54,3)</f>
        <v>5.0000000000000001E-4</v>
      </c>
      <c r="G17" s="12">
        <f>IFERROR(VLOOKUP($E$17,FATORES!$B$55:$D$55,3),0)</f>
        <v>1E-3</v>
      </c>
      <c r="H17" s="65">
        <f t="shared" si="1"/>
        <v>52.288000000000004</v>
      </c>
      <c r="I17" s="65">
        <f t="shared" si="0"/>
        <v>104.57600000000001</v>
      </c>
      <c r="J17" s="65">
        <f t="shared" si="2"/>
        <v>156.864</v>
      </c>
      <c r="K17" s="53">
        <f>SUMIFS(REALIZADO[META_SMARTPHONE],REALIZADO[COORDENAÇÃO],$P$7)</f>
        <v>1296000</v>
      </c>
      <c r="L17" s="78">
        <f>SUMIFS(PROJEÇÃO[PROJ_APARELHO],PROJEÇÃO[COORDENAÇÃO],$P$7)</f>
        <v>1267838.5443</v>
      </c>
      <c r="M17" s="50">
        <f t="shared" si="3"/>
        <v>0.97827048171296294</v>
      </c>
      <c r="N17" s="12">
        <f>IF($M$17&gt;=FATORES!$B$56,FATORES!$D$56,0)</f>
        <v>0</v>
      </c>
      <c r="O17" s="14">
        <f t="shared" si="4"/>
        <v>0</v>
      </c>
      <c r="P17" s="13">
        <f t="shared" si="5"/>
        <v>156.864</v>
      </c>
      <c r="Q17" s="15">
        <f>IF($D$8=2,P17*0.05,0)</f>
        <v>0</v>
      </c>
      <c r="R17" s="15">
        <f>IF($D$8=3,P17*0.15,0)</f>
        <v>0</v>
      </c>
      <c r="S17" s="99"/>
      <c r="T17" s="125"/>
    </row>
    <row r="18" spans="2:20" x14ac:dyDescent="0.35">
      <c r="B18" s="47" t="s">
        <v>232</v>
      </c>
      <c r="C18" s="121">
        <f>SUMIFS(REALIZADO[META_ACESSORIO],REALIZADO[PDV],'JARDIM CAMBURI'!$M$7)</f>
        <v>5900.0000999999993</v>
      </c>
      <c r="D18" s="86">
        <f>SUMIFS(PROJEÇÃO[PROJ_ELETRO_A],PROJEÇÃO[PDV],'JARDIM CAMBURI'!$M$7)</f>
        <v>420.11110000000002</v>
      </c>
      <c r="E18" s="123">
        <f>IFERROR((D18+D19)/C18,0)</f>
        <v>1.2069114541201451</v>
      </c>
      <c r="F18" s="12">
        <f>VLOOKUP($E$18,FATORES!$B$44:$E$46,3)</f>
        <v>1.5E-3</v>
      </c>
      <c r="G18" s="12">
        <f>IFERROR(VLOOKUP($E$18,FATORES!$B$47:$E$48,3),0)</f>
        <v>6.0000000000000001E-3</v>
      </c>
      <c r="H18" s="65">
        <f t="shared" si="1"/>
        <v>0.63016665000000005</v>
      </c>
      <c r="I18" s="65">
        <f t="shared" si="0"/>
        <v>2.5206666000000002</v>
      </c>
      <c r="J18" s="65">
        <f t="shared" si="2"/>
        <v>3.1508332500000003</v>
      </c>
      <c r="K18" s="121">
        <f>SUMIFS(REALIZADO[META_ACESSORIO],REALIZADO[COORDENAÇÃO],$P$7)</f>
        <v>141750</v>
      </c>
      <c r="L18" s="86">
        <f>SUMIFS(PROJEÇÃO[PROJ_ELETRO_A],PROJEÇÃO[COORDENAÇÃO],$P$7)</f>
        <v>2847.8889000000004</v>
      </c>
      <c r="M18" s="97">
        <f>IFERROR((L18+L19)/K18,0)</f>
        <v>1.1761539851851854</v>
      </c>
      <c r="N18" s="12">
        <f>IF($M$18&gt;=FATORES!$B$49,FATORES!$D$49,0)</f>
        <v>2.5000000000000001E-3</v>
      </c>
      <c r="O18" s="14">
        <f t="shared" si="4"/>
        <v>1.05027775</v>
      </c>
      <c r="P18" s="13">
        <f t="shared" si="5"/>
        <v>4.201111</v>
      </c>
      <c r="Q18" s="15">
        <f>IF($E$8=2,P18*0.05,0)</f>
        <v>0</v>
      </c>
      <c r="R18" s="15">
        <f>IF($E$8=3,P18*0.15,0)</f>
        <v>0</v>
      </c>
      <c r="S18" s="99"/>
      <c r="T18" s="125"/>
    </row>
    <row r="19" spans="2:20" x14ac:dyDescent="0.35">
      <c r="B19" s="47" t="s">
        <v>233</v>
      </c>
      <c r="C19" s="122"/>
      <c r="D19" s="87">
        <f>SUMIFS(PROJEÇÃO[PROJ_ELETRO_B],PROJEÇÃO[PDV],'JARDIM CAMBURI'!$M$7)</f>
        <v>6700.6666000000005</v>
      </c>
      <c r="E19" s="123"/>
      <c r="F19" s="12">
        <f>VLOOKUP($E$18,FATORES!$B$44:$E$46,4)</f>
        <v>7.5000000000000002E-4</v>
      </c>
      <c r="G19" s="12">
        <f>IFERROR(VLOOKUP($E$18,FATORES!$B$47:$E$48,4),0)</f>
        <v>3.0000000000000001E-3</v>
      </c>
      <c r="H19" s="65">
        <f t="shared" si="1"/>
        <v>5.0254999500000004</v>
      </c>
      <c r="I19" s="65">
        <f t="shared" si="0"/>
        <v>20.101999800000002</v>
      </c>
      <c r="J19" s="65">
        <f t="shared" si="2"/>
        <v>25.127499750000002</v>
      </c>
      <c r="K19" s="122"/>
      <c r="L19" s="87">
        <f>SUMIFS(PROJEÇÃO[PROJ_ELETRO_B],PROJEÇÃO[COORDENAÇÃO],$P$7)</f>
        <v>163871.93850000005</v>
      </c>
      <c r="M19" s="97"/>
      <c r="N19" s="12">
        <f>IF($M$18&gt;=FATORES!$B$49,FATORES!$E$49,0)</f>
        <v>1.25E-3</v>
      </c>
      <c r="O19" s="14">
        <f t="shared" si="4"/>
        <v>0</v>
      </c>
      <c r="P19" s="13">
        <f t="shared" si="5"/>
        <v>25.127499750000002</v>
      </c>
      <c r="Q19" s="15">
        <f>IF($E$8=2,P19*0.05,0)</f>
        <v>0</v>
      </c>
      <c r="R19" s="15">
        <f>IF($E$8=3,P19*0.15,0)</f>
        <v>0</v>
      </c>
      <c r="S19" s="99"/>
      <c r="T19" s="125"/>
    </row>
    <row r="20" spans="2:20" x14ac:dyDescent="0.35">
      <c r="B20" s="46" t="s">
        <v>234</v>
      </c>
      <c r="C20" s="121">
        <f>SUMIFS(REALIZADO[META_ESSENCIAIS],REALIZADO[PDV],'JARDIM CAMBURI'!$M$7)</f>
        <v>5900.0000999999993</v>
      </c>
      <c r="D20" s="86">
        <f>SUMIFS(PROJEÇÃO[PROJ_ESSEN_A],PROJEÇÃO[PDV],'JARDIM CAMBURI'!$M$7)</f>
        <v>2231.4443999999999</v>
      </c>
      <c r="E20" s="123">
        <f>IFERROR((D20+D21)/C20,0)</f>
        <v>1.1138794387478064</v>
      </c>
      <c r="F20" s="12">
        <f>VLOOKUP($E$20,FATORES!$B$34:$E$36,3)</f>
        <v>1.5E-3</v>
      </c>
      <c r="G20" s="12">
        <f>IFERROR(VLOOKUP($E$20,FATORES!$B$37:$E$38,3),0)</f>
        <v>6.0000000000000001E-3</v>
      </c>
      <c r="H20" s="65">
        <f t="shared" si="1"/>
        <v>3.3471666</v>
      </c>
      <c r="I20" s="65">
        <f t="shared" si="0"/>
        <v>13.3886664</v>
      </c>
      <c r="J20" s="65">
        <f t="shared" si="2"/>
        <v>16.735833</v>
      </c>
      <c r="K20" s="121">
        <f>SUMIFS(REALIZADO[META_ESSENCIAIS],REALIZADO[COORDENAÇÃO],$P$7)</f>
        <v>80500.0003</v>
      </c>
      <c r="L20" s="86">
        <f>SUMIFS(PROJEÇÃO[PROJ_ESSEN_A],PROJEÇÃO[COORDENAÇÃO],$P$7)</f>
        <v>32670.500100000008</v>
      </c>
      <c r="M20" s="97">
        <f>IFERROR((L20+L21)/K20,0)</f>
        <v>0.97865446467582207</v>
      </c>
      <c r="N20" s="12">
        <f>IF($M$20&gt;=FATORES!$B$39,FATORES!$D$39,0)</f>
        <v>0</v>
      </c>
      <c r="O20" s="14">
        <f t="shared" si="4"/>
        <v>0</v>
      </c>
      <c r="P20" s="13">
        <f t="shared" si="5"/>
        <v>16.735833</v>
      </c>
      <c r="Q20" s="15">
        <f>IF($F$8=2,P20*0.05,0)</f>
        <v>0</v>
      </c>
      <c r="R20" s="15">
        <f>IF($F$8=3,P20*0.15,0)</f>
        <v>0</v>
      </c>
      <c r="S20" s="99"/>
      <c r="T20" s="125"/>
    </row>
    <row r="21" spans="2:20" x14ac:dyDescent="0.35">
      <c r="B21" s="46" t="s">
        <v>235</v>
      </c>
      <c r="C21" s="122"/>
      <c r="D21" s="87">
        <f>SUMIFS(PROJEÇÃO[PROJ_ESSEN_B],PROJEÇÃO[PDV],'JARDIM CAMBURI'!$M$7)</f>
        <v>4340.4444000000003</v>
      </c>
      <c r="E21" s="123"/>
      <c r="F21" s="12">
        <f>VLOOKUP($E$20,FATORES!$B$34:$E$36,4)</f>
        <v>7.5000000000000002E-4</v>
      </c>
      <c r="G21" s="12">
        <f>IFERROR(VLOOKUP($E$20,FATORES!$B$37:$E$38,4),0)</f>
        <v>3.0000000000000001E-3</v>
      </c>
      <c r="H21" s="65">
        <f t="shared" si="1"/>
        <v>3.2553333000000002</v>
      </c>
      <c r="I21" s="65">
        <f t="shared" si="0"/>
        <v>13.021333200000001</v>
      </c>
      <c r="J21" s="65">
        <f t="shared" si="2"/>
        <v>16.276666500000001</v>
      </c>
      <c r="K21" s="122"/>
      <c r="L21" s="87">
        <f>SUMIFS(PROJEÇÃO[PROJ_ESSEN_B],PROJEÇÃO[COORDENAÇÃO],$P$7)</f>
        <v>46111.184600000001</v>
      </c>
      <c r="M21" s="97"/>
      <c r="N21" s="12">
        <f>IF($M$20&gt;=FATORES!$B$39,FATORES!$E$39,0)</f>
        <v>0</v>
      </c>
      <c r="O21" s="14">
        <f t="shared" si="4"/>
        <v>0</v>
      </c>
      <c r="P21" s="13">
        <f t="shared" si="5"/>
        <v>16.276666500000001</v>
      </c>
      <c r="Q21" s="15">
        <f>IF($F$8=2,P21*0.05,0)</f>
        <v>0</v>
      </c>
      <c r="R21" s="15">
        <f>IF($F$8=3,P21*0.15,0)</f>
        <v>0</v>
      </c>
      <c r="S21" s="99"/>
      <c r="T21" s="125"/>
    </row>
    <row r="22" spans="2:20" x14ac:dyDescent="0.35">
      <c r="B22" s="46" t="s">
        <v>212</v>
      </c>
      <c r="C22" s="57">
        <f>SUMIFS(REALIZADO[META_SEGUROS],REALIZADO[PDV],'JARDIM CAMBURI'!$M$7)</f>
        <v>399.99990000000003</v>
      </c>
      <c r="D22" s="79">
        <f>SUMIFS(PROJEÇÃO[PROJ_SEGURO],PROJEÇÃO[PDV],'JARDIM CAMBURI'!$M$7)</f>
        <v>460.85559999999998</v>
      </c>
      <c r="E22" s="83">
        <f>IFERROR(D22/C22,0)</f>
        <v>1.1521392880348218</v>
      </c>
      <c r="F22" s="83">
        <f>VLOOKUP($E$22,FATORES!$O$32:$Q$34,3)</f>
        <v>0.04</v>
      </c>
      <c r="G22" s="12">
        <f>IFERROR(VLOOKUP($E$22,FATORES!$O$35:$Q$36,3),0)</f>
        <v>0.1</v>
      </c>
      <c r="H22" s="65">
        <f t="shared" si="1"/>
        <v>18.434224</v>
      </c>
      <c r="I22" s="65">
        <f t="shared" si="0"/>
        <v>46.085560000000001</v>
      </c>
      <c r="J22" s="65">
        <f t="shared" si="2"/>
        <v>64.519784000000001</v>
      </c>
      <c r="K22" s="57">
        <f>SUMIFS(REALIZADO[META_SEGUROS],REALIZADO[COORDENAÇÃO],$P$7)</f>
        <v>8560.0000999999993</v>
      </c>
      <c r="L22" s="79">
        <f>SUMIFS(PROJEÇÃO[PROJ_SEGURO],PROJEÇÃO[COORDENAÇÃO],$P$7)</f>
        <v>8140.4447</v>
      </c>
      <c r="M22" s="50">
        <f t="shared" ref="M22:M23" si="6">IFERROR(L22/K22,0)</f>
        <v>0.95098651926417621</v>
      </c>
      <c r="N22" s="12">
        <f>IF($M$22&gt;=FATORES!$O$37,FATORES!$Q$37,0)</f>
        <v>0</v>
      </c>
      <c r="O22" s="14">
        <f t="shared" si="4"/>
        <v>0</v>
      </c>
      <c r="P22" s="13">
        <f t="shared" si="5"/>
        <v>64.519784000000001</v>
      </c>
      <c r="Q22" s="15">
        <f>IF($G$8=2,P22*0.05,0)</f>
        <v>0</v>
      </c>
      <c r="R22" s="15">
        <f>IF($G$8=3,P22*0.15,0)</f>
        <v>0</v>
      </c>
      <c r="S22" s="99"/>
      <c r="T22" s="125"/>
    </row>
    <row r="23" spans="2:20" x14ac:dyDescent="0.35">
      <c r="B23" s="48" t="s">
        <v>14</v>
      </c>
      <c r="C23" s="76">
        <f>SUMIFS(REALIZADO[META_SVA],REALIZADO[PDV],'JARDIM CAMBURI'!$M$7)</f>
        <v>499.99990000000003</v>
      </c>
      <c r="D23" s="77">
        <f>SUMIFS(PROJEÇÃO[PROJ_SVA],PROJEÇÃO[PDV],'JARDIM CAMBURI'!$M$7)</f>
        <v>644.24779999999998</v>
      </c>
      <c r="E23" s="82">
        <f>IFERROR(D23/C23,0)</f>
        <v>1.2884958576991714</v>
      </c>
      <c r="F23" s="16">
        <f>IF($E$23&gt;=0,FATORES!$Q$40)</f>
        <v>5.0000000000000001E-3</v>
      </c>
      <c r="G23" s="16">
        <f>IFERROR(VLOOKUP($E$23,FATORES!$O$43:$Q$44,3),0)</f>
        <v>5.0000000000000001E-3</v>
      </c>
      <c r="H23" s="17">
        <f t="shared" si="1"/>
        <v>3.2212390000000002</v>
      </c>
      <c r="I23" s="65">
        <f t="shared" si="0"/>
        <v>3.2212390000000002</v>
      </c>
      <c r="J23" s="17">
        <f t="shared" si="2"/>
        <v>6.4424780000000004</v>
      </c>
      <c r="K23" s="76">
        <f>SUMIFS(REALIZADO[META_SVA],REALIZADO[COORDENAÇÃO],$P$7)</f>
        <v>7799.9998999999989</v>
      </c>
      <c r="L23" s="77">
        <f>SUMIFS(PROJEÇÃO[PROJ_SVA],PROJEÇÃO[COORDENAÇÃO],$P$7)</f>
        <v>10286.177699999998</v>
      </c>
      <c r="M23" s="51">
        <f t="shared" si="6"/>
        <v>1.3187407476761634</v>
      </c>
      <c r="N23" s="16">
        <f>IF($M$23&gt;=FATORES!$O$45,FATORES!$Q$45,0)</f>
        <v>5.0000000000000001E-3</v>
      </c>
      <c r="O23" s="14">
        <f t="shared" si="4"/>
        <v>3.2212390000000002</v>
      </c>
      <c r="P23" s="18">
        <f t="shared" si="5"/>
        <v>9.6637170000000001</v>
      </c>
      <c r="Q23" s="19">
        <f>IF($H$8=2,P23*0.05,0)</f>
        <v>0</v>
      </c>
      <c r="R23" s="19">
        <f>IF($H$8=3,P23*0.15,0)</f>
        <v>0</v>
      </c>
      <c r="S23" s="100"/>
      <c r="T23" s="126"/>
    </row>
    <row r="24" spans="2:20" x14ac:dyDescent="0.35">
      <c r="B24" s="66"/>
      <c r="C24" s="67"/>
      <c r="D24" s="67"/>
      <c r="E24" s="67"/>
      <c r="F24" s="67"/>
      <c r="G24" s="67"/>
      <c r="H24" s="67"/>
      <c r="I24" s="67"/>
      <c r="J24" s="68"/>
      <c r="K24" s="69"/>
      <c r="L24" s="67"/>
      <c r="M24" s="67"/>
      <c r="N24" s="67"/>
      <c r="O24" s="67"/>
      <c r="P24" s="70">
        <f>SUM(P15:P23)</f>
        <v>1840.8870952500001</v>
      </c>
      <c r="Q24" s="70">
        <f t="shared" ref="Q24:R24" si="7">SUM(Q15:Q23)</f>
        <v>0</v>
      </c>
      <c r="R24" s="70">
        <f t="shared" si="7"/>
        <v>0</v>
      </c>
      <c r="S24" s="71">
        <f>IF($P$7="ARIEL",IF(MIN(E15,E17,E18,E19,E20,E22,E23)&gt;=100%,SUM(P24:R24)*S15,""),IF(MIN(E15:E23)&gt;=100%,SUM(P24:R24)*S15,""))</f>
        <v>184.08870952500001</v>
      </c>
      <c r="T24" s="72"/>
    </row>
    <row r="25" spans="2:20" ht="16.149999999999999" customHeight="1" x14ac:dyDescent="0.35">
      <c r="B25" s="80"/>
      <c r="C25" s="6"/>
      <c r="D25" s="6"/>
      <c r="E25" s="6"/>
      <c r="F25" s="6"/>
      <c r="G25" s="6"/>
      <c r="H25" s="6"/>
      <c r="T25" s="61"/>
    </row>
    <row r="26" spans="2:20" ht="18.5" x14ac:dyDescent="0.35">
      <c r="B26" s="141" t="s">
        <v>236</v>
      </c>
      <c r="C26" s="142"/>
      <c r="D26" s="142"/>
      <c r="E26" s="142"/>
      <c r="F26" s="142"/>
      <c r="G26" s="142"/>
      <c r="H26" s="142"/>
      <c r="I26" s="142"/>
      <c r="J26" s="142"/>
      <c r="K26" s="142"/>
      <c r="L26" s="142"/>
      <c r="M26" s="142"/>
      <c r="N26" s="142"/>
      <c r="O26" s="142"/>
      <c r="P26" s="142"/>
      <c r="Q26" s="142"/>
      <c r="R26" s="142"/>
      <c r="S26" s="142"/>
      <c r="T26" s="142"/>
    </row>
    <row r="27" spans="2:20" x14ac:dyDescent="0.35">
      <c r="B27" s="129" t="s">
        <v>9</v>
      </c>
      <c r="C27" s="130"/>
      <c r="D27" s="130"/>
      <c r="E27" s="130"/>
      <c r="F27" s="130"/>
      <c r="G27" s="130"/>
      <c r="H27" s="130"/>
      <c r="I27" s="130"/>
      <c r="J27" s="131"/>
      <c r="K27" s="132" t="s">
        <v>54</v>
      </c>
      <c r="L27" s="130"/>
      <c r="M27" s="130"/>
      <c r="N27" s="130"/>
      <c r="O27" s="130"/>
      <c r="P27" s="130"/>
      <c r="Q27" s="130"/>
      <c r="R27" s="130"/>
      <c r="S27" s="130"/>
      <c r="T27" s="133"/>
    </row>
    <row r="28" spans="2:20" ht="14.5" customHeight="1" x14ac:dyDescent="0.35">
      <c r="B28" s="115" t="s">
        <v>214</v>
      </c>
      <c r="C28" s="116" t="s">
        <v>237</v>
      </c>
      <c r="D28" s="117"/>
      <c r="E28" s="104"/>
      <c r="F28" s="135" t="s">
        <v>216</v>
      </c>
      <c r="G28" s="135" t="s">
        <v>217</v>
      </c>
      <c r="H28" s="135" t="s">
        <v>218</v>
      </c>
      <c r="I28" s="135" t="s">
        <v>219</v>
      </c>
      <c r="J28" s="135" t="s">
        <v>220</v>
      </c>
      <c r="K28" s="116" t="s">
        <v>238</v>
      </c>
      <c r="L28" s="117"/>
      <c r="M28" s="104"/>
      <c r="N28" s="127" t="s">
        <v>222</v>
      </c>
      <c r="O28" s="127" t="s">
        <v>223</v>
      </c>
      <c r="P28" s="127" t="s">
        <v>224</v>
      </c>
      <c r="Q28" s="127" t="s">
        <v>225</v>
      </c>
      <c r="R28" s="127" t="s">
        <v>226</v>
      </c>
      <c r="S28" s="127" t="s">
        <v>227</v>
      </c>
      <c r="T28" s="137" t="s">
        <v>228</v>
      </c>
    </row>
    <row r="29" spans="2:20" ht="14.5" customHeight="1" x14ac:dyDescent="0.35">
      <c r="B29" s="134"/>
      <c r="C29" s="94" t="s">
        <v>229</v>
      </c>
      <c r="D29" s="139" t="s">
        <v>230</v>
      </c>
      <c r="E29" s="140"/>
      <c r="F29" s="136"/>
      <c r="G29" s="136"/>
      <c r="H29" s="136"/>
      <c r="I29" s="136"/>
      <c r="J29" s="136"/>
      <c r="K29" s="52" t="s">
        <v>229</v>
      </c>
      <c r="L29" s="139" t="s">
        <v>230</v>
      </c>
      <c r="M29" s="140"/>
      <c r="N29" s="128"/>
      <c r="O29" s="128"/>
      <c r="P29" s="128"/>
      <c r="Q29" s="128"/>
      <c r="R29" s="128"/>
      <c r="S29" s="128"/>
      <c r="T29" s="138"/>
    </row>
    <row r="30" spans="2:20" x14ac:dyDescent="0.35">
      <c r="B30" s="45" t="s">
        <v>2</v>
      </c>
      <c r="C30" s="76">
        <f>SUMIFS(REALIZADO[META_MOVEL],REALIZADO[PDV],'JARDIM CAMBURI'!$M$7)</f>
        <v>4500.0001000000002</v>
      </c>
      <c r="D30" s="77">
        <f>SUMIFS(REALIZADO[AT_MOVEL],REALIZADO[PDV],'JARDIM CAMBURI'!$M$7)</f>
        <v>315.75</v>
      </c>
      <c r="E30" s="49">
        <f>IFERROR(D30/C30,0)</f>
        <v>7.0166665107407433E-2</v>
      </c>
      <c r="F30" s="8">
        <f>VLOOKUP($E$30,FATORES!$I$32:$K$34,3)</f>
        <v>5.0000000000000001E-3</v>
      </c>
      <c r="G30" s="8">
        <f>IFERROR(VLOOKUP($E$30,FATORES!$I$35:$K$36,3),0)</f>
        <v>0</v>
      </c>
      <c r="H30" s="9">
        <f>D30*F30</f>
        <v>1.5787500000000001</v>
      </c>
      <c r="I30" s="9">
        <f t="shared" ref="I30:I38" si="8">IF($P$7="ARIEL",
   IF(AND($E$30&gt;=69.5%, AND($E$32&gt;=69.5%, $E$33&gt;=69.5%, $E$33&gt;=69.5%, $E$35&gt;=69.5%, $E$35&gt;=69.5%, $E$37&gt;=69.5%, $E$38&gt;=69.5%)),
      D30*G30,
      0),
   IF(AND($E$30&gt;=69.5%, $E$31&gt;=69.5%, $E$32&gt;=69.5%, $E$33&gt;=69.5%, $E$33&gt;=69.5%, $E$35&gt;=69.5%, $E$35&gt;=69.5%, $E$37&gt;=69.5%, $E$38&gt;=69.5%),
      D30*G30,
      0)
)</f>
        <v>0</v>
      </c>
      <c r="J30" s="9">
        <f>H30+I30</f>
        <v>1.5787500000000001</v>
      </c>
      <c r="K30" s="76">
        <f>SUMIFS(REALIZADO[META_MOVEL],REALIZADO[COORDENAÇÃO],$P$7)</f>
        <v>83640</v>
      </c>
      <c r="L30" s="77">
        <f>SUMIFS(REALIZADO[AT_MOVEL],REALIZADO[COORDENAÇÃO],$P$7)</f>
        <v>10363.76</v>
      </c>
      <c r="M30" s="49">
        <f>IFERROR(L30/K30,0)</f>
        <v>0.1239091343854615</v>
      </c>
      <c r="N30" s="8">
        <f>IF($M$30&gt;=FATORES!$I$37,FATORES!$K$37,0)</f>
        <v>0</v>
      </c>
      <c r="O30" s="14">
        <f>IF(E30&gt;=100%,
IF($P$7="ARIEL",
IF(AND($E$30&gt;=69.5%,$E$32&gt;=69.5%,$E$33&gt;=69.5%,$E$35&gt;=69.5%,$E$37&gt;=69.5%,$E$38&gt;=69.5%),
D30*N30,
0),
IF(AND($E$30&gt;=69.5%,$E$31&gt;=69.5%,$E$32&gt;=69.5%,$E$33&gt;=69.5%,$E$35&gt;=69.5%,$E$37&gt;=69.5%,$E$38&gt;=69.5%),
D30*N30,
0)
),0)</f>
        <v>0</v>
      </c>
      <c r="P30" s="10">
        <f>J30+O30</f>
        <v>1.5787500000000001</v>
      </c>
      <c r="Q30" s="11">
        <f>IF($B$8=2,P30*0.05,0)</f>
        <v>0</v>
      </c>
      <c r="R30" s="11">
        <f>IF($B$8=3,P30*0.15,0)</f>
        <v>0</v>
      </c>
      <c r="S30" s="98">
        <v>0.1</v>
      </c>
      <c r="T30" s="124">
        <f>SUM(P39:S39)</f>
        <v>6.3258999999999999</v>
      </c>
    </row>
    <row r="31" spans="2:20" x14ac:dyDescent="0.35">
      <c r="B31" s="46" t="s">
        <v>13</v>
      </c>
      <c r="C31" s="76">
        <f>SUMIFS(REALIZADO[META_FIXA],REALIZADO[PDV],'JARDIM CAMBURI'!$M$7)</f>
        <v>2949.9998999999998</v>
      </c>
      <c r="D31" s="77">
        <f>SUMIFS(REALIZADO[AT_FIXA],REALIZADO[PDV],'JARDIM CAMBURI'!$M$7)</f>
        <v>530</v>
      </c>
      <c r="E31" s="50">
        <f>IFERROR(D31/C31,0)</f>
        <v>0.17966102303935672</v>
      </c>
      <c r="F31" s="12">
        <f>VLOOKUP($E$31,FATORES!$I$40:$K$42,3)</f>
        <v>5.0000000000000001E-3</v>
      </c>
      <c r="G31" s="12">
        <f>IFERROR(VLOOKUP($E$31,FATORES!$I$43:$K$44,3),0)</f>
        <v>0</v>
      </c>
      <c r="H31" s="65">
        <f t="shared" ref="H31:H38" si="9">D31*F31</f>
        <v>2.65</v>
      </c>
      <c r="I31" s="65">
        <f t="shared" si="8"/>
        <v>0</v>
      </c>
      <c r="J31" s="65">
        <f t="shared" ref="J31:J38" si="10">H31+I31</f>
        <v>2.65</v>
      </c>
      <c r="K31" s="76">
        <f>SUMIFS(REALIZADO[META_FIXA],REALIZADO[COORDENAÇÃO],$P$7)</f>
        <v>36849.999799999998</v>
      </c>
      <c r="L31" s="77">
        <f>SUMIFS(REALIZADO[AT_FIXA],REALIZADO[COORDENAÇÃO],$P$7)</f>
        <v>4391.01</v>
      </c>
      <c r="M31" s="50">
        <f t="shared" ref="M31:M32" si="11">IFERROR(L31/K31,0)</f>
        <v>0.11915902371321045</v>
      </c>
      <c r="N31" s="12">
        <f>IF($M$31&gt;=FATORES!$I$45,FATORES!$K$45,0)</f>
        <v>0</v>
      </c>
      <c r="O31" s="14">
        <f t="shared" ref="O31:O38" si="12">IF(E31&gt;=100%,
IF($P$7="ARIEL",
IF(AND($E$30&gt;=69.5%,$E$32&gt;=69.5%,$E$33&gt;=69.5%,$E$35&gt;=69.5%,$E$37&gt;=69.5%,$E$38&gt;=69.5%),
D31*N31,
0),
IF(AND($E$30&gt;=69.5%,$E$31&gt;=69.5%,$E$32&gt;=69.5%,$E$33&gt;=69.5%,$E$35&gt;=69.5%,$E$37&gt;=69.5%,$E$38&gt;=69.5%),
D31*N31,
0)
),0)</f>
        <v>0</v>
      </c>
      <c r="P31" s="13">
        <f t="shared" ref="P31:P38" si="13">J31+O31</f>
        <v>2.65</v>
      </c>
      <c r="Q31" s="15">
        <f>IF($C$8=2,P31*0.05,0)</f>
        <v>0</v>
      </c>
      <c r="R31" s="15">
        <f>IF($C$8=3,P31*0.15,0)</f>
        <v>0</v>
      </c>
      <c r="S31" s="99"/>
      <c r="T31" s="125"/>
    </row>
    <row r="32" spans="2:20" x14ac:dyDescent="0.35">
      <c r="B32" s="46" t="s">
        <v>231</v>
      </c>
      <c r="C32" s="53">
        <f>SUMIFS(REALIZADO[META_SMARTPHONE],REALIZADO[PDV],'JARDIM CAMBURI'!$M$7)</f>
        <v>85000.000100000005</v>
      </c>
      <c r="D32" s="78">
        <f>SUMIFS(REALIZADO[AT_SMARTPHONE],REALIZADO[PDV],'JARDIM CAMBURI'!$M$7)</f>
        <v>5947</v>
      </c>
      <c r="E32" s="50">
        <f>IFERROR(D32/C32,0)</f>
        <v>6.9964705800041521E-2</v>
      </c>
      <c r="F32" s="12">
        <f>VLOOKUP($E$32,FATORES!$B$53:$D$54,3)</f>
        <v>2.0000000000000001E-4</v>
      </c>
      <c r="G32" s="12">
        <f>IFERROR(VLOOKUP($E$32,FATORES!$B$55:$D$55,3),0)</f>
        <v>0</v>
      </c>
      <c r="H32" s="65">
        <f t="shared" si="9"/>
        <v>1.1894</v>
      </c>
      <c r="I32" s="65">
        <f t="shared" si="8"/>
        <v>0</v>
      </c>
      <c r="J32" s="65">
        <f t="shared" si="10"/>
        <v>1.1894</v>
      </c>
      <c r="K32" s="53">
        <f>SUMIFS(REALIZADO[META_SMARTPHONE],REALIZADO[COORDENAÇÃO],$P$7)</f>
        <v>1296000</v>
      </c>
      <c r="L32" s="78">
        <f>SUMIFS(REALIZADO[AT_SMARTPHONE],REALIZADO[COORDENAÇÃO],$P$7)</f>
        <v>175436.05</v>
      </c>
      <c r="M32" s="50">
        <f t="shared" si="11"/>
        <v>0.1353673225308642</v>
      </c>
      <c r="N32" s="12">
        <f>IF($M$32&gt;=FATORES!$B$56,FATORES!$D$56,0)</f>
        <v>0</v>
      </c>
      <c r="O32" s="14">
        <f t="shared" si="12"/>
        <v>0</v>
      </c>
      <c r="P32" s="13">
        <f t="shared" si="13"/>
        <v>1.1894</v>
      </c>
      <c r="Q32" s="15">
        <f>IF($D$8=2,P32*0.05,0)</f>
        <v>0</v>
      </c>
      <c r="R32" s="15">
        <f>IF($D$8=3,P32*0.15,0)</f>
        <v>0</v>
      </c>
      <c r="S32" s="99"/>
      <c r="T32" s="125"/>
    </row>
    <row r="33" spans="2:20" x14ac:dyDescent="0.35">
      <c r="B33" s="47" t="s">
        <v>232</v>
      </c>
      <c r="C33" s="121">
        <f>SUMIFS(REALIZADO[META_ACESSORIO],REALIZADO[PDV],'JARDIM CAMBURI'!$M$7)</f>
        <v>5900.0000999999993</v>
      </c>
      <c r="D33" s="86">
        <f>SUMIFS(REALIZADO[AT_ACESSORIOS_A],REALIZADO[PDV],'JARDIM CAMBURI'!$M$7)</f>
        <v>0</v>
      </c>
      <c r="E33" s="123">
        <f>IFERROR((D33+D34)/C33,0)</f>
        <v>0.3128813506291297</v>
      </c>
      <c r="F33" s="12">
        <f>VLOOKUP($E$33,FATORES!$B$44:$E$46,3)</f>
        <v>5.0000000000000001E-4</v>
      </c>
      <c r="G33" s="12">
        <f>IFERROR(VLOOKUP($E$33,FATORES!$B$47:$E$48,3),0)</f>
        <v>0</v>
      </c>
      <c r="H33" s="65">
        <f t="shared" si="9"/>
        <v>0</v>
      </c>
      <c r="I33" s="65">
        <f t="shared" si="8"/>
        <v>0</v>
      </c>
      <c r="J33" s="65">
        <f t="shared" si="10"/>
        <v>0</v>
      </c>
      <c r="K33" s="121">
        <f>SUMIFS(REALIZADO[META_ACESSORIO],REALIZADO[COORDENAÇÃO],$P$7)</f>
        <v>141750</v>
      </c>
      <c r="L33" s="86">
        <f>SUMIFS(REALIZADO[AT_ACESSORIOS_A],REALIZADO[COORDENAÇÃO],$P$7)</f>
        <v>0</v>
      </c>
      <c r="M33" s="97">
        <f>IFERROR((L33+L34)/K33,0)</f>
        <v>0.11075132275132275</v>
      </c>
      <c r="N33" s="12">
        <f>IF($M$33&gt;=FATORES!$B$49,FATORES!$D$49,0)</f>
        <v>0</v>
      </c>
      <c r="O33" s="14">
        <f t="shared" si="12"/>
        <v>0</v>
      </c>
      <c r="P33" s="13">
        <f t="shared" si="13"/>
        <v>0</v>
      </c>
      <c r="Q33" s="15">
        <f>IF($E$8=2,P33*0.05,0)</f>
        <v>0</v>
      </c>
      <c r="R33" s="15">
        <f>IF($E$8=3,P33*0.15,0)</f>
        <v>0</v>
      </c>
      <c r="S33" s="99"/>
      <c r="T33" s="125"/>
    </row>
    <row r="34" spans="2:20" x14ac:dyDescent="0.35">
      <c r="B34" s="47" t="s">
        <v>233</v>
      </c>
      <c r="C34" s="122"/>
      <c r="D34" s="87">
        <f>SUMIFS(REALIZADO[AT_ACESSORIOS_B],REALIZADO[PDV],'JARDIM CAMBURI'!$M$7)</f>
        <v>1846</v>
      </c>
      <c r="E34" s="123"/>
      <c r="F34" s="12">
        <f>VLOOKUP($E$33,FATORES!$B$44:$E$46,4)</f>
        <v>2.5000000000000001E-4</v>
      </c>
      <c r="G34" s="12">
        <f>IFERROR(VLOOKUP($E$33,FATORES!$B$47:$E$48,4),0)</f>
        <v>0</v>
      </c>
      <c r="H34" s="65">
        <f t="shared" si="9"/>
        <v>0.46150000000000002</v>
      </c>
      <c r="I34" s="65">
        <f t="shared" si="8"/>
        <v>0</v>
      </c>
      <c r="J34" s="65">
        <f t="shared" si="10"/>
        <v>0.46150000000000002</v>
      </c>
      <c r="K34" s="122"/>
      <c r="L34" s="87">
        <f>SUMIFS(REALIZADO[AT_ACESSORIOS_B],REALIZADO[COORDENAÇÃO],$P$7)</f>
        <v>15699</v>
      </c>
      <c r="M34" s="97"/>
      <c r="N34" s="12">
        <f>IF($M$33&gt;=FATORES!$B$49,FATORES!$E$49,0)</f>
        <v>0</v>
      </c>
      <c r="O34" s="14">
        <f t="shared" si="12"/>
        <v>0</v>
      </c>
      <c r="P34" s="13">
        <f t="shared" si="13"/>
        <v>0.46150000000000002</v>
      </c>
      <c r="Q34" s="15">
        <f>IF($E$8=2,P34*0.05,0)</f>
        <v>0</v>
      </c>
      <c r="R34" s="15">
        <f>IF($E$8=3,P34*0.15,0)</f>
        <v>0</v>
      </c>
      <c r="S34" s="99"/>
      <c r="T34" s="125"/>
    </row>
    <row r="35" spans="2:20" x14ac:dyDescent="0.35">
      <c r="B35" s="46" t="s">
        <v>234</v>
      </c>
      <c r="C35" s="121">
        <f>SUMIFS(REALIZADO[META_ESSENCIAIS],REALIZADO[PDV],'JARDIM CAMBURI'!$M$7)</f>
        <v>5900.0000999999993</v>
      </c>
      <c r="D35" s="86">
        <f>SUMIFS(REALIZADO[AT_ESSENCIAIS_A],REALIZADO[PDV],'JARDIM CAMBURI'!$M$7)</f>
        <v>356</v>
      </c>
      <c r="E35" s="123">
        <f>IFERROR((D35+D36)/C35,0)</f>
        <v>0.18491525110313137</v>
      </c>
      <c r="F35" s="12">
        <f>VLOOKUP($E$35,FATORES!$B$34:$E$36,3)</f>
        <v>5.0000000000000001E-4</v>
      </c>
      <c r="G35" s="12">
        <f>IFERROR(VLOOKUP($E$35,FATORES!$B$37:$E$38,3),0)</f>
        <v>0</v>
      </c>
      <c r="H35" s="65">
        <f t="shared" si="9"/>
        <v>0.17799999999999999</v>
      </c>
      <c r="I35" s="65">
        <f t="shared" si="8"/>
        <v>0</v>
      </c>
      <c r="J35" s="65">
        <f t="shared" si="10"/>
        <v>0.17799999999999999</v>
      </c>
      <c r="K35" s="121">
        <f>SUMIFS(REALIZADO[META_ESSENCIAIS],REALIZADO[COORDENAÇÃO],$P$7)</f>
        <v>80500.0003</v>
      </c>
      <c r="L35" s="86">
        <f>SUMIFS(REALIZADO[AT_ESSENCIAIS_A],REALIZADO[COORDENAÇÃO],$P$7)</f>
        <v>5749.95</v>
      </c>
      <c r="M35" s="97">
        <f>IFERROR((L35+L36)/K35,0)</f>
        <v>0.15028074478156242</v>
      </c>
      <c r="N35" s="12">
        <f>IF($M$35&gt;=FATORES!$B$39,FATORES!$D$39,0)</f>
        <v>0</v>
      </c>
      <c r="O35" s="14">
        <f t="shared" si="12"/>
        <v>0</v>
      </c>
      <c r="P35" s="13">
        <f t="shared" si="13"/>
        <v>0.17799999999999999</v>
      </c>
      <c r="Q35" s="15">
        <f>IF($F$8=2,P35*0.05,0)</f>
        <v>0</v>
      </c>
      <c r="R35" s="15">
        <f>IF($F$8=3,P35*0.15,0)</f>
        <v>0</v>
      </c>
      <c r="S35" s="99"/>
      <c r="T35" s="125"/>
    </row>
    <row r="36" spans="2:20" x14ac:dyDescent="0.35">
      <c r="B36" s="46" t="s">
        <v>235</v>
      </c>
      <c r="C36" s="122"/>
      <c r="D36" s="87">
        <f>SUMIFS(REALIZADO[AT_ESSENCIAIS_B],REALIZADO[PDV],'JARDIM CAMBURI'!$M$7)</f>
        <v>735</v>
      </c>
      <c r="E36" s="123"/>
      <c r="F36" s="12">
        <f>VLOOKUP($E$35,FATORES!$B$34:$E$36,4)</f>
        <v>2.5000000000000001E-4</v>
      </c>
      <c r="G36" s="12">
        <f>IFERROR(VLOOKUP($E$35,FATORES!$B$37:$E$38,4),0)</f>
        <v>0</v>
      </c>
      <c r="H36" s="65">
        <f t="shared" si="9"/>
        <v>0.18375</v>
      </c>
      <c r="I36" s="65">
        <f t="shared" si="8"/>
        <v>0</v>
      </c>
      <c r="J36" s="65">
        <f t="shared" si="10"/>
        <v>0.18375</v>
      </c>
      <c r="K36" s="122"/>
      <c r="L36" s="87">
        <f>SUMIFS(REALIZADO[AT_ESSENCIAIS_B],REALIZADO[COORDENAÇÃO],$P$7)</f>
        <v>6347.65</v>
      </c>
      <c r="M36" s="97"/>
      <c r="N36" s="12">
        <f>IF($M$35&gt;=FATORES!$B$39,FATORES!$E$39,0)</f>
        <v>0</v>
      </c>
      <c r="O36" s="14">
        <f t="shared" si="12"/>
        <v>0</v>
      </c>
      <c r="P36" s="13">
        <f t="shared" si="13"/>
        <v>0.18375</v>
      </c>
      <c r="Q36" s="15">
        <f>IF($F$8=2,P36*0.05,0)</f>
        <v>0</v>
      </c>
      <c r="R36" s="15">
        <f>IF($F$8=3,P36*0.15,0)</f>
        <v>0</v>
      </c>
      <c r="S36" s="99"/>
      <c r="T36" s="125"/>
    </row>
    <row r="37" spans="2:20" x14ac:dyDescent="0.35">
      <c r="B37" s="46" t="s">
        <v>212</v>
      </c>
      <c r="C37" s="57">
        <f>SUMIFS(REALIZADO[META_SEGUROS],REALIZADO[PDV],'JARDIM CAMBURI'!$M$7)</f>
        <v>399.99990000000003</v>
      </c>
      <c r="D37" s="79">
        <f>SUMIFS(REALIZADO[AT_SEGUROS],REALIZADO[PDV],'JARDIM CAMBURI'!$M$7)</f>
        <v>16.899999999999999</v>
      </c>
      <c r="E37" s="83">
        <f>IFERROR(D37/C37,0)</f>
        <v>4.2250010562502632E-2</v>
      </c>
      <c r="F37" s="83">
        <f>VLOOKUP($E$37,FATORES!$O$32:$Q$34,3)</f>
        <v>5.0000000000000001E-3</v>
      </c>
      <c r="G37" s="12">
        <f>IFERROR(VLOOKUP($E$37,FATORES!$O$35:$Q$36,3),0)</f>
        <v>0</v>
      </c>
      <c r="H37" s="65">
        <f t="shared" si="9"/>
        <v>8.4499999999999992E-2</v>
      </c>
      <c r="I37" s="65">
        <f t="shared" si="8"/>
        <v>0</v>
      </c>
      <c r="J37" s="65">
        <f t="shared" si="10"/>
        <v>8.4499999999999992E-2</v>
      </c>
      <c r="K37" s="57">
        <f>SUMIFS(REALIZADO[META_SEGUROS],REALIZADO[COORDENAÇÃO],$P$7)</f>
        <v>8560.0000999999993</v>
      </c>
      <c r="L37" s="79">
        <f>SUMIFS(REALIZADO[AT_SEGUROS],REALIZADO[COORDENAÇÃO],$P$7)</f>
        <v>887.5999999999998</v>
      </c>
      <c r="M37" s="50">
        <f t="shared" ref="M37:M38" si="14">IFERROR(L37/K37,0)</f>
        <v>0.1036915875736964</v>
      </c>
      <c r="N37" s="12">
        <f>IF($M$37&gt;=FATORES!$O$37,FATORES!$Q$37,0)</f>
        <v>0</v>
      </c>
      <c r="O37" s="14">
        <f t="shared" si="12"/>
        <v>0</v>
      </c>
      <c r="P37" s="13">
        <f t="shared" si="13"/>
        <v>8.4499999999999992E-2</v>
      </c>
      <c r="Q37" s="15">
        <f>IF($G$8=2,P37*0.05,0)</f>
        <v>0</v>
      </c>
      <c r="R37" s="15">
        <f>IF($G$8=3,P37*0.15,0)</f>
        <v>0</v>
      </c>
      <c r="S37" s="99"/>
      <c r="T37" s="125"/>
    </row>
    <row r="38" spans="2:20" x14ac:dyDescent="0.35">
      <c r="B38" s="48" t="s">
        <v>14</v>
      </c>
      <c r="C38" s="76">
        <f>SUMIFS(REALIZADO[META_SVA],REALIZADO[PDV],'JARDIM CAMBURI'!$M$7)</f>
        <v>499.99990000000003</v>
      </c>
      <c r="D38" s="77">
        <f>SUMIFS(REALIZADO[AT_SVA],REALIZADO[PDV],'JARDIM CAMBURI'!$M$7)</f>
        <v>0</v>
      </c>
      <c r="E38" s="82">
        <f>IFERROR(D38/C38,0)</f>
        <v>0</v>
      </c>
      <c r="F38" s="16">
        <f>IF($E$38&gt;=0,FATORES!$Q$40)</f>
        <v>5.0000000000000001E-3</v>
      </c>
      <c r="G38" s="16">
        <f>IFERROR(VLOOKUP($E$38,FATORES!$O$43:$Q$44,3),0)</f>
        <v>0</v>
      </c>
      <c r="H38" s="17">
        <f t="shared" si="9"/>
        <v>0</v>
      </c>
      <c r="I38" s="65">
        <f t="shared" si="8"/>
        <v>0</v>
      </c>
      <c r="J38" s="17">
        <f t="shared" si="10"/>
        <v>0</v>
      </c>
      <c r="K38" s="76">
        <f>SUMIFS(REALIZADO[META_SVA],REALIZADO[COORDENAÇÃO],$P$7)</f>
        <v>7799.9998999999989</v>
      </c>
      <c r="L38" s="77">
        <f>SUMIFS(REALIZADO[AT_SVA],REALIZADO[COORDENAÇÃO],$P$7)</f>
        <v>1187.3599999999999</v>
      </c>
      <c r="M38" s="51">
        <f t="shared" si="14"/>
        <v>0.15222564297725183</v>
      </c>
      <c r="N38" s="16">
        <f>IF($M$38&gt;=FATORES!$O$45,FATORES!$Q$45,0)</f>
        <v>0</v>
      </c>
      <c r="O38" s="14">
        <f t="shared" si="12"/>
        <v>0</v>
      </c>
      <c r="P38" s="18">
        <f t="shared" si="13"/>
        <v>0</v>
      </c>
      <c r="Q38" s="19">
        <f>IF($H$8=2,P38*0.05,0)</f>
        <v>0</v>
      </c>
      <c r="R38" s="19">
        <f>IF($H$8=3,P38*0.15,0)</f>
        <v>0</v>
      </c>
      <c r="S38" s="100"/>
      <c r="T38" s="126"/>
    </row>
    <row r="39" spans="2:20" x14ac:dyDescent="0.35">
      <c r="B39" s="66"/>
      <c r="C39" s="67"/>
      <c r="D39" s="67"/>
      <c r="E39" s="67"/>
      <c r="F39" s="67"/>
      <c r="G39" s="67"/>
      <c r="H39" s="67"/>
      <c r="I39" s="67"/>
      <c r="J39" s="68"/>
      <c r="K39" s="69"/>
      <c r="L39" s="67"/>
      <c r="M39" s="67"/>
      <c r="N39" s="67"/>
      <c r="O39" s="67"/>
      <c r="P39" s="70">
        <f>SUM(P30:P38)</f>
        <v>6.3258999999999999</v>
      </c>
      <c r="Q39" s="70">
        <f t="shared" ref="Q39:R39" si="15">SUM(Q30:Q38)</f>
        <v>0</v>
      </c>
      <c r="R39" s="70">
        <f t="shared" si="15"/>
        <v>0</v>
      </c>
      <c r="S39" s="71" t="str">
        <f>IF($P$7="ARIEL",IF(MIN(E30,E32,E33,E34,E35,E37,E38)&gt;=100%,SUM(P39:R39)*S30,""),IF(MIN(E30:E38)&gt;=100%,SUM(P39:R39)*S30,""))</f>
        <v/>
      </c>
      <c r="T39" s="72"/>
    </row>
    <row r="41" spans="2:20" ht="18.5" x14ac:dyDescent="0.35">
      <c r="B41" s="107" t="s">
        <v>239</v>
      </c>
      <c r="C41" s="108"/>
      <c r="D41" s="108"/>
      <c r="E41" s="108"/>
      <c r="F41" s="108"/>
      <c r="G41" s="108"/>
      <c r="H41" s="108"/>
      <c r="I41" s="108"/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T41" s="108"/>
    </row>
    <row r="42" spans="2:20" x14ac:dyDescent="0.35">
      <c r="B42" s="109" t="s">
        <v>9</v>
      </c>
      <c r="C42" s="110"/>
      <c r="D42" s="110"/>
      <c r="E42" s="110"/>
      <c r="F42" s="110"/>
      <c r="G42" s="110"/>
      <c r="H42" s="110"/>
      <c r="I42" s="110"/>
      <c r="J42" s="111"/>
      <c r="K42" s="112" t="s">
        <v>54</v>
      </c>
      <c r="L42" s="113"/>
      <c r="M42" s="113"/>
      <c r="N42" s="113"/>
      <c r="O42" s="113"/>
      <c r="P42" s="7"/>
      <c r="Q42" s="7"/>
      <c r="R42" s="7"/>
      <c r="S42" s="7"/>
      <c r="T42" s="64"/>
    </row>
    <row r="43" spans="2:20" ht="14.5" customHeight="1" x14ac:dyDescent="0.35">
      <c r="B43" s="114" t="s">
        <v>214</v>
      </c>
      <c r="C43" s="116" t="s">
        <v>237</v>
      </c>
      <c r="D43" s="117"/>
      <c r="E43" s="104"/>
      <c r="F43" s="118" t="s">
        <v>216</v>
      </c>
      <c r="G43" s="118" t="s">
        <v>217</v>
      </c>
      <c r="H43" s="118" t="s">
        <v>218</v>
      </c>
      <c r="I43" s="118" t="s">
        <v>219</v>
      </c>
      <c r="J43" s="118" t="s">
        <v>220</v>
      </c>
      <c r="K43" s="104" t="s">
        <v>238</v>
      </c>
      <c r="L43" s="105"/>
      <c r="M43" s="105"/>
      <c r="N43" s="106" t="s">
        <v>222</v>
      </c>
      <c r="O43" s="106" t="s">
        <v>223</v>
      </c>
      <c r="P43" s="106" t="s">
        <v>224</v>
      </c>
      <c r="Q43" s="106" t="s">
        <v>225</v>
      </c>
      <c r="R43" s="106" t="s">
        <v>226</v>
      </c>
      <c r="S43" s="106" t="s">
        <v>227</v>
      </c>
      <c r="T43" s="119" t="s">
        <v>228</v>
      </c>
    </row>
    <row r="44" spans="2:20" x14ac:dyDescent="0.35">
      <c r="B44" s="115"/>
      <c r="C44" s="94" t="s">
        <v>229</v>
      </c>
      <c r="D44" s="120" t="s">
        <v>230</v>
      </c>
      <c r="E44" s="120"/>
      <c r="F44" s="118"/>
      <c r="G44" s="118"/>
      <c r="H44" s="118"/>
      <c r="I44" s="118"/>
      <c r="J44" s="118"/>
      <c r="K44" s="52" t="s">
        <v>229</v>
      </c>
      <c r="L44" s="120" t="s">
        <v>230</v>
      </c>
      <c r="M44" s="120"/>
      <c r="N44" s="106"/>
      <c r="O44" s="106"/>
      <c r="P44" s="106"/>
      <c r="Q44" s="106"/>
      <c r="R44" s="106"/>
      <c r="S44" s="106"/>
      <c r="T44" s="119"/>
    </row>
    <row r="45" spans="2:20" x14ac:dyDescent="0.35">
      <c r="B45" s="45" t="s">
        <v>2</v>
      </c>
      <c r="C45" s="53">
        <f>SUMIFS(REALIZADO[META_MOVEL],REALIZADO[PDV],'JARDIM CAMBURI'!$M$7)</f>
        <v>4500.0001000000002</v>
      </c>
      <c r="D45" s="54">
        <v>5102</v>
      </c>
      <c r="E45" s="49">
        <f>IFERROR(D45/C45,0)</f>
        <v>1.1337777525827166</v>
      </c>
      <c r="F45" s="8">
        <f>VLOOKUP($E$45,FATORES!$I$32:$K$34,3)</f>
        <v>0.04</v>
      </c>
      <c r="G45" s="8">
        <f>IFERROR(VLOOKUP(E45,FATORES!$I$35:$K$36,3),0)</f>
        <v>0.08</v>
      </c>
      <c r="H45" s="9">
        <f>D45*F45</f>
        <v>204.08</v>
      </c>
      <c r="I45" s="9">
        <f t="shared" ref="I45:I53" si="16">IF($P$7="ARIEL",
   IF(AND($E$45&gt;=69.5%, AND($E$47&gt;=69.5%, $E$48&gt;=69.5%, $E$48&gt;=69.5%, $E$50&gt;=69.5%, $E$50&gt;=69.5%, $E$52&gt;=69.5%, $E$53&gt;=69.5%)),
      D45*G45,
      0),
   IF(AND($E$45&gt;=69.5%, $E$46&gt;=69.5%, $E$47&gt;=69.5%, $E$48&gt;=69.5%, $E$48&gt;=69.5%, $E$50&gt;=69.5%, $E$50&gt;=69.5%, $E$52&gt;=69.5%, $E$53&gt;=69.5%),
      D45*G45,
      0)
)</f>
        <v>0</v>
      </c>
      <c r="J45" s="9">
        <f>H45+I45</f>
        <v>204.08</v>
      </c>
      <c r="K45" s="53">
        <v>0</v>
      </c>
      <c r="L45" s="54">
        <v>0</v>
      </c>
      <c r="M45" s="49">
        <f>IFERROR(L45/K45,0)</f>
        <v>0</v>
      </c>
      <c r="N45" s="8">
        <f>IF($M$45&gt;=FATORES!$I$37,FATORES!$K$37,0)</f>
        <v>0</v>
      </c>
      <c r="O45" s="14">
        <f>IF(E45&gt;=100%,
IF($P$7="ARIEL",
   IF(AND($E$45&gt;=69.5%, AND($E$47&gt;=69.5%, $E$48&gt;=69.5%, $E$48&gt;=69.5%, $E$50&gt;=69.5%, $E$50&gt;=69.5%, $E$52&gt;=69.5%, $E$53&gt;=69.5%)),
      D45*N45,
      0),
   IF(AND($E$45&gt;=69.5%, $E$46&gt;=69.5%, $E$47&gt;=69.5%, $E$48&gt;=69.5%, $E$48&gt;=69.5%, $E$50&gt;=69.5%, $E$50&gt;=69.5%, $E$52&gt;=69.5%, $E$53&gt;=69.5%),
      D45*N45,
      0)
),0)</f>
        <v>0</v>
      </c>
      <c r="P45" s="10">
        <f>J45+O45</f>
        <v>204.08</v>
      </c>
      <c r="Q45" s="11">
        <f>IF($B$8=2,P45*0.05,0)</f>
        <v>0</v>
      </c>
      <c r="R45" s="11">
        <f>IF($B$8=3,P45*0.15,0)</f>
        <v>0</v>
      </c>
      <c r="S45" s="98">
        <v>0.1</v>
      </c>
      <c r="T45" s="101">
        <f>SUM($P$54:$S$54)</f>
        <v>450.41195000000005</v>
      </c>
    </row>
    <row r="46" spans="2:20" x14ac:dyDescent="0.35">
      <c r="B46" s="46" t="s">
        <v>13</v>
      </c>
      <c r="C46" s="55">
        <f>SUMIFS(REALIZADO[META_FIXA],REALIZADO[PDV],'JARDIM CAMBURI'!$M$7)</f>
        <v>2949.9998999999998</v>
      </c>
      <c r="D46" s="56">
        <v>4305</v>
      </c>
      <c r="E46" s="50">
        <f>IFERROR(D46/C46,0)</f>
        <v>1.4593220833668503</v>
      </c>
      <c r="F46" s="12">
        <f>VLOOKUP($E$46,FATORES!$I$40:$K$42,3)</f>
        <v>0.04</v>
      </c>
      <c r="G46" s="12">
        <f>IFERROR(VLOOKUP(E46,FATORES!$I$43:$K$44,3),0)</f>
        <v>0.15</v>
      </c>
      <c r="H46" s="65">
        <f t="shared" ref="H46:H53" si="17">D46*F46</f>
        <v>172.20000000000002</v>
      </c>
      <c r="I46" s="65">
        <f t="shared" si="16"/>
        <v>0</v>
      </c>
      <c r="J46" s="65">
        <f t="shared" ref="J46:J53" si="18">H46+I46</f>
        <v>172.20000000000002</v>
      </c>
      <c r="K46" s="55">
        <v>0</v>
      </c>
      <c r="L46" s="56">
        <v>0</v>
      </c>
      <c r="M46" s="50">
        <f t="shared" ref="M46:M53" si="19">IFERROR(L46/K46,0)</f>
        <v>0</v>
      </c>
      <c r="N46" s="12">
        <f>IF($M$46&gt;=FATORES!$I$45,FATORES!$K$45,0)</f>
        <v>0</v>
      </c>
      <c r="O46" s="14">
        <f t="shared" ref="O46:O53" si="20">IF(E46&gt;=100%,
IF($P$7="ARIEL",
   IF(AND($E$45&gt;=69.5%, AND($E$47&gt;=69.5%, $E$48&gt;=69.5%, $E$48&gt;=69.5%, $E$50&gt;=69.5%, $E$50&gt;=69.5%, $E$52&gt;=69.5%, $E$53&gt;=69.5%)),
      D46*N46,
      0),
   IF(AND($E$45&gt;=69.5%, $E$46&gt;=69.5%, $E$47&gt;=69.5%, $E$48&gt;=69.5%, $E$48&gt;=69.5%, $E$50&gt;=69.5%, $E$50&gt;=69.5%, $E$52&gt;=69.5%, $E$53&gt;=69.5%),
      D46*N46,
      0)
),0)</f>
        <v>0</v>
      </c>
      <c r="P46" s="13">
        <f t="shared" ref="P46:P53" si="21">J46+O46</f>
        <v>172.20000000000002</v>
      </c>
      <c r="Q46" s="15">
        <f>IF($C$8=2,P46*0.05,0)</f>
        <v>0</v>
      </c>
      <c r="R46" s="15">
        <f>IF($C$8=3,P46*0.15,0)</f>
        <v>0</v>
      </c>
      <c r="S46" s="99"/>
      <c r="T46" s="102"/>
    </row>
    <row r="47" spans="2:20" x14ac:dyDescent="0.35">
      <c r="B47" s="46" t="s">
        <v>231</v>
      </c>
      <c r="C47" s="55">
        <f>SUMIFS(REALIZADO[META_SMARTPHONE],REALIZADO[PDV],'JARDIM CAMBURI'!$M$7)</f>
        <v>85000.000100000005</v>
      </c>
      <c r="D47" s="56">
        <v>83428</v>
      </c>
      <c r="E47" s="50">
        <f>IFERROR(D47/C47,0)</f>
        <v>0.98150588119822835</v>
      </c>
      <c r="F47" s="12">
        <f>VLOOKUP($E$47,FATORES!$B$53:$D$54,3)</f>
        <v>5.0000000000000001E-4</v>
      </c>
      <c r="G47" s="12">
        <f>IFERROR(VLOOKUP(E47,FATORES!$B$55:$D$55,3),0)</f>
        <v>0</v>
      </c>
      <c r="H47" s="65">
        <f t="shared" si="17"/>
        <v>41.713999999999999</v>
      </c>
      <c r="I47" s="65">
        <f t="shared" si="16"/>
        <v>0</v>
      </c>
      <c r="J47" s="65">
        <f t="shared" si="18"/>
        <v>41.713999999999999</v>
      </c>
      <c r="K47" s="55">
        <v>0</v>
      </c>
      <c r="L47" s="56">
        <v>0</v>
      </c>
      <c r="M47" s="50">
        <f t="shared" si="19"/>
        <v>0</v>
      </c>
      <c r="N47" s="12">
        <f>IF($M$47&gt;=FATORES!$B$56,FATORES!$D$56,0)</f>
        <v>0</v>
      </c>
      <c r="O47" s="14">
        <f t="shared" si="20"/>
        <v>0</v>
      </c>
      <c r="P47" s="13">
        <f t="shared" si="21"/>
        <v>41.713999999999999</v>
      </c>
      <c r="Q47" s="15">
        <f>IF($D$8=2,P47*0.05,0)</f>
        <v>0</v>
      </c>
      <c r="R47" s="15">
        <f>IF($D$8=3,P47*0.15,0)</f>
        <v>0</v>
      </c>
      <c r="S47" s="99"/>
      <c r="T47" s="102"/>
    </row>
    <row r="48" spans="2:20" x14ac:dyDescent="0.35">
      <c r="B48" s="47" t="s">
        <v>232</v>
      </c>
      <c r="C48" s="96">
        <f>SUMIFS(REALIZADO[META_ACESSORIO],REALIZADO[PDV],'JARDIM CAMBURI'!$M$7)</f>
        <v>5900.0000999999993</v>
      </c>
      <c r="D48" s="56">
        <v>3914</v>
      </c>
      <c r="E48" s="97">
        <f>IFERROR((D48+D49)/C48,0)</f>
        <v>0.66338981926457941</v>
      </c>
      <c r="F48" s="12">
        <f>VLOOKUP($E$48,FATORES!$B$44:$E$46,3)</f>
        <v>5.0000000000000001E-4</v>
      </c>
      <c r="G48" s="12">
        <f>IFERROR(VLOOKUP(E48,FATORES!$B$47:$E$48,3),0)</f>
        <v>0</v>
      </c>
      <c r="H48" s="65">
        <f t="shared" si="17"/>
        <v>1.9570000000000001</v>
      </c>
      <c r="I48" s="65">
        <f t="shared" si="16"/>
        <v>0</v>
      </c>
      <c r="J48" s="65">
        <f t="shared" si="18"/>
        <v>1.9570000000000001</v>
      </c>
      <c r="K48" s="96">
        <v>0</v>
      </c>
      <c r="L48" s="56">
        <v>0</v>
      </c>
      <c r="M48" s="97">
        <f>IFERROR((L48+L49)/K48,0)</f>
        <v>0</v>
      </c>
      <c r="N48" s="12">
        <f>IF($M$48&gt;=FATORES!$B$49,FATORES!$D$49,0)</f>
        <v>0</v>
      </c>
      <c r="O48" s="14">
        <f t="shared" si="20"/>
        <v>0</v>
      </c>
      <c r="P48" s="13">
        <f t="shared" si="21"/>
        <v>1.9570000000000001</v>
      </c>
      <c r="Q48" s="15">
        <f>IF($E$8=2,P48*0.05,0)</f>
        <v>0</v>
      </c>
      <c r="R48" s="15">
        <f>IF($E$8=3,P48*0.15,0)</f>
        <v>0</v>
      </c>
      <c r="S48" s="99"/>
      <c r="T48" s="102"/>
    </row>
    <row r="49" spans="2:20" x14ac:dyDescent="0.35">
      <c r="B49" s="47" t="s">
        <v>233</v>
      </c>
      <c r="C49" s="96"/>
      <c r="D49" s="56"/>
      <c r="E49" s="97"/>
      <c r="F49" s="12">
        <f>VLOOKUP($E$48,FATORES!$B$44:$E$46,4)</f>
        <v>2.5000000000000001E-4</v>
      </c>
      <c r="G49" s="12">
        <f>IFERROR(VLOOKUP(E48,FATORES!$B$47:$E$48,4),0)</f>
        <v>0</v>
      </c>
      <c r="H49" s="65">
        <f t="shared" si="17"/>
        <v>0</v>
      </c>
      <c r="I49" s="65">
        <f t="shared" si="16"/>
        <v>0</v>
      </c>
      <c r="J49" s="65">
        <f t="shared" si="18"/>
        <v>0</v>
      </c>
      <c r="K49" s="96"/>
      <c r="L49" s="56">
        <v>0</v>
      </c>
      <c r="M49" s="97"/>
      <c r="N49" s="12">
        <f>IF($M$48&gt;=FATORES!$B$49,FATORES!$E$49,0)</f>
        <v>0</v>
      </c>
      <c r="O49" s="14">
        <f t="shared" si="20"/>
        <v>0</v>
      </c>
      <c r="P49" s="13">
        <f t="shared" si="21"/>
        <v>0</v>
      </c>
      <c r="Q49" s="15">
        <f>IF($E$8=2,P49*0.05,0)</f>
        <v>0</v>
      </c>
      <c r="R49" s="15">
        <f>IF($E$8=3,P49*0.15,0)</f>
        <v>0</v>
      </c>
      <c r="S49" s="99"/>
      <c r="T49" s="102"/>
    </row>
    <row r="50" spans="2:20" x14ac:dyDescent="0.35">
      <c r="B50" s="46" t="s">
        <v>234</v>
      </c>
      <c r="C50" s="96">
        <f>SUMIFS(REALIZADO[META_ESSENCIAIS],REALIZADO[PDV],'JARDIM CAMBURI'!$M$7)</f>
        <v>5900.0000999999993</v>
      </c>
      <c r="D50" s="56">
        <v>6562</v>
      </c>
      <c r="E50" s="97">
        <f>IFERROR((D50+D51)/C50,0)</f>
        <v>1.112203370979604</v>
      </c>
      <c r="F50" s="12">
        <f>VLOOKUP($E$50,FATORES!$B$34:$E$36,3)</f>
        <v>1.5E-3</v>
      </c>
      <c r="G50" s="12">
        <f>IFERROR(VLOOKUP(E50,FATORES!$B$37:$E$38,3),0)</f>
        <v>6.0000000000000001E-3</v>
      </c>
      <c r="H50" s="65">
        <f t="shared" si="17"/>
        <v>9.843</v>
      </c>
      <c r="I50" s="65">
        <f t="shared" si="16"/>
        <v>0</v>
      </c>
      <c r="J50" s="65">
        <f t="shared" si="18"/>
        <v>9.843</v>
      </c>
      <c r="K50" s="96">
        <v>0</v>
      </c>
      <c r="L50" s="56">
        <v>0</v>
      </c>
      <c r="M50" s="97">
        <f>IFERROR((L50+L51)/K50,0)</f>
        <v>0</v>
      </c>
      <c r="N50" s="12">
        <f>IF($M$50&gt;=FATORES!$B$39,FATORES!$D$39,0)</f>
        <v>0</v>
      </c>
      <c r="O50" s="14">
        <f t="shared" si="20"/>
        <v>0</v>
      </c>
      <c r="P50" s="13">
        <f t="shared" si="21"/>
        <v>9.843</v>
      </c>
      <c r="Q50" s="15">
        <f>IF($F$8=2,P50*0.05,0)</f>
        <v>0</v>
      </c>
      <c r="R50" s="15">
        <f>IF($F$8=3,P50*0.15,0)</f>
        <v>0</v>
      </c>
      <c r="S50" s="99"/>
      <c r="T50" s="102"/>
    </row>
    <row r="51" spans="2:20" x14ac:dyDescent="0.35">
      <c r="B51" s="46" t="s">
        <v>235</v>
      </c>
      <c r="C51" s="96"/>
      <c r="D51" s="56"/>
      <c r="E51" s="97"/>
      <c r="F51" s="12">
        <f>VLOOKUP($E$50,FATORES!$B$34:$E$36,4)</f>
        <v>7.5000000000000002E-4</v>
      </c>
      <c r="G51" s="12">
        <f>IFERROR(VLOOKUP(E50,FATORES!$B$37:$E$38,4),0)</f>
        <v>3.0000000000000001E-3</v>
      </c>
      <c r="H51" s="65">
        <f t="shared" si="17"/>
        <v>0</v>
      </c>
      <c r="I51" s="65">
        <f t="shared" si="16"/>
        <v>0</v>
      </c>
      <c r="J51" s="65">
        <f t="shared" si="18"/>
        <v>0</v>
      </c>
      <c r="K51" s="96"/>
      <c r="L51" s="56">
        <v>0</v>
      </c>
      <c r="M51" s="97"/>
      <c r="N51" s="12">
        <f>IF($M$50&gt;=FATORES!$B$39,FATORES!$E$39,0)</f>
        <v>0</v>
      </c>
      <c r="O51" s="14">
        <f t="shared" si="20"/>
        <v>0</v>
      </c>
      <c r="P51" s="13">
        <f t="shared" si="21"/>
        <v>0</v>
      </c>
      <c r="Q51" s="15">
        <f>IF($F$8=2,P51*0.05,0)</f>
        <v>0</v>
      </c>
      <c r="R51" s="15">
        <f>IF($F$8=3,P51*0.15,0)</f>
        <v>0</v>
      </c>
      <c r="S51" s="99"/>
      <c r="T51" s="102"/>
    </row>
    <row r="52" spans="2:20" x14ac:dyDescent="0.35">
      <c r="B52" s="46" t="s">
        <v>212</v>
      </c>
      <c r="C52" s="55">
        <f>SUMIFS(REALIZADO[META_SEGUROS],REALIZADO[PDV],'JARDIM CAMBURI'!$M$7)</f>
        <v>399.99990000000003</v>
      </c>
      <c r="D52" s="56">
        <v>432</v>
      </c>
      <c r="E52" s="50">
        <f>IFERROR(D52/C52,0)</f>
        <v>1.0800002700000675</v>
      </c>
      <c r="F52" s="83">
        <f>VLOOKUP($E$52,FATORES!$O$32:$Q$34,3)</f>
        <v>0.04</v>
      </c>
      <c r="G52" s="12">
        <f>IFERROR(VLOOKUP(E52,FATORES!$O$35:$Q$36,3),0)</f>
        <v>0.1</v>
      </c>
      <c r="H52" s="65">
        <f t="shared" si="17"/>
        <v>17.28</v>
      </c>
      <c r="I52" s="65">
        <f t="shared" si="16"/>
        <v>0</v>
      </c>
      <c r="J52" s="65">
        <f t="shared" si="18"/>
        <v>17.28</v>
      </c>
      <c r="K52" s="55">
        <v>0</v>
      </c>
      <c r="L52" s="56">
        <v>0</v>
      </c>
      <c r="M52" s="50">
        <f t="shared" si="19"/>
        <v>0</v>
      </c>
      <c r="N52" s="12">
        <f>IF($M$52&gt;=FATORES!$O$37,FATORES!$Q$37,0)</f>
        <v>0</v>
      </c>
      <c r="O52" s="14">
        <f t="shared" si="20"/>
        <v>0</v>
      </c>
      <c r="P52" s="13">
        <f t="shared" si="21"/>
        <v>17.28</v>
      </c>
      <c r="Q52" s="15">
        <f>IF($G$8=2,P52*0.05,0)</f>
        <v>0</v>
      </c>
      <c r="R52" s="15">
        <f>IF($G$8=3,P52*0.15,0)</f>
        <v>0</v>
      </c>
      <c r="S52" s="99"/>
      <c r="T52" s="102"/>
    </row>
    <row r="53" spans="2:20" x14ac:dyDescent="0.35">
      <c r="B53" s="48" t="s">
        <v>14</v>
      </c>
      <c r="C53" s="57">
        <f>SUMIFS(REALIZADO[META_SVA],REALIZADO[PDV],'JARDIM CAMBURI'!$M$7)</f>
        <v>499.99990000000003</v>
      </c>
      <c r="D53" s="58">
        <v>667.59</v>
      </c>
      <c r="E53" s="51">
        <f>IFERROR(D53/C53,0)</f>
        <v>1.3351802670360533</v>
      </c>
      <c r="F53" s="16">
        <f>IF($E$53&gt;=0,FATORES!$Q$40)</f>
        <v>5.0000000000000001E-3</v>
      </c>
      <c r="G53" s="16">
        <f>IFERROR(VLOOKUP(E53,FATORES!$O$43:$Q$44,3),0)</f>
        <v>5.0000000000000001E-3</v>
      </c>
      <c r="H53" s="17">
        <f t="shared" si="17"/>
        <v>3.3379500000000002</v>
      </c>
      <c r="I53" s="65">
        <f t="shared" si="16"/>
        <v>0</v>
      </c>
      <c r="J53" s="17">
        <f t="shared" si="18"/>
        <v>3.3379500000000002</v>
      </c>
      <c r="K53" s="57">
        <v>0</v>
      </c>
      <c r="L53" s="58">
        <v>0</v>
      </c>
      <c r="M53" s="51">
        <f t="shared" si="19"/>
        <v>0</v>
      </c>
      <c r="N53" s="16">
        <f>IF($M$53&gt;=FATORES!$O$45,FATORES!$Q$45,0)</f>
        <v>0</v>
      </c>
      <c r="O53" s="14">
        <f t="shared" si="20"/>
        <v>0</v>
      </c>
      <c r="P53" s="18">
        <f t="shared" si="21"/>
        <v>3.3379500000000002</v>
      </c>
      <c r="Q53" s="19">
        <f>IF($H$8=2,P53*0.05,0)</f>
        <v>0</v>
      </c>
      <c r="R53" s="19">
        <f>IF($H$8=3,P53*0.15,0)</f>
        <v>0</v>
      </c>
      <c r="S53" s="100"/>
      <c r="T53" s="103"/>
    </row>
    <row r="54" spans="2:20" x14ac:dyDescent="0.35">
      <c r="B54" s="66"/>
      <c r="C54" s="67"/>
      <c r="D54" s="67"/>
      <c r="E54" s="67"/>
      <c r="F54" s="67"/>
      <c r="G54" s="67"/>
      <c r="H54" s="67"/>
      <c r="I54" s="67"/>
      <c r="J54" s="68"/>
      <c r="K54" s="69"/>
      <c r="L54" s="67"/>
      <c r="M54" s="67"/>
      <c r="N54" s="67"/>
      <c r="O54" s="67"/>
      <c r="P54" s="70">
        <f>SUM(P45:P53)</f>
        <v>450.41195000000005</v>
      </c>
      <c r="Q54" s="70">
        <f t="shared" ref="Q54:R54" si="22">SUM(Q45:Q53)</f>
        <v>0</v>
      </c>
      <c r="R54" s="70">
        <f t="shared" si="22"/>
        <v>0</v>
      </c>
      <c r="S54" s="71" t="str">
        <f>IF($P$7="ARIEL",IF(MIN(E45,E47,E48,E49,E50,E52,E53)&gt;=99.99%,SUM(P54:R54)*S45,""),IF(MIN(E45:E53)&gt;=99.99%,SUM(P54:R54)*S45,""))</f>
        <v/>
      </c>
      <c r="T54" s="72"/>
    </row>
  </sheetData>
  <sheetProtection algorithmName="SHA-512" hashValue="Wq92pE5hIAvFoKksP3fcZT5K3WHSdSGot4PhBjvWzXNGcNqs+aJ/EowdCR9Fc1txzYan5XiA8RslCLeumF+9Cw==" saltValue="0s/z9pP1DM81EXk74+F7Tw==" spinCount="100000" sheet="1" objects="1" scenarios="1"/>
  <protectedRanges>
    <protectedRange sqref="B8:H8 C45:D53 K45:L53" name="Intervalo1"/>
  </protectedRanges>
  <mergeCells count="94">
    <mergeCell ref="I13:I14"/>
    <mergeCell ref="B12:J12"/>
    <mergeCell ref="K12:T12"/>
    <mergeCell ref="B2:T4"/>
    <mergeCell ref="B6:H6"/>
    <mergeCell ref="M6:N6"/>
    <mergeCell ref="M7:N7"/>
    <mergeCell ref="B11:T11"/>
    <mergeCell ref="B13:B14"/>
    <mergeCell ref="C13:E13"/>
    <mergeCell ref="F13:F14"/>
    <mergeCell ref="G13:G14"/>
    <mergeCell ref="H13:H14"/>
    <mergeCell ref="D14:E14"/>
    <mergeCell ref="J13:J14"/>
    <mergeCell ref="K13:M13"/>
    <mergeCell ref="S13:S14"/>
    <mergeCell ref="T13:T14"/>
    <mergeCell ref="L14:M14"/>
    <mergeCell ref="N13:N14"/>
    <mergeCell ref="O13:O14"/>
    <mergeCell ref="P13:P14"/>
    <mergeCell ref="Q13:Q14"/>
    <mergeCell ref="R13:R14"/>
    <mergeCell ref="C20:C21"/>
    <mergeCell ref="E20:E21"/>
    <mergeCell ref="K20:K21"/>
    <mergeCell ref="M20:M21"/>
    <mergeCell ref="B26:T26"/>
    <mergeCell ref="S15:S23"/>
    <mergeCell ref="T15:T23"/>
    <mergeCell ref="C18:C19"/>
    <mergeCell ref="E18:E19"/>
    <mergeCell ref="K18:K19"/>
    <mergeCell ref="M18:M19"/>
    <mergeCell ref="B27:J27"/>
    <mergeCell ref="K27:T27"/>
    <mergeCell ref="B28:B29"/>
    <mergeCell ref="C28:E28"/>
    <mergeCell ref="F28:F29"/>
    <mergeCell ref="G28:G29"/>
    <mergeCell ref="H28:H29"/>
    <mergeCell ref="I28:I29"/>
    <mergeCell ref="J28:J29"/>
    <mergeCell ref="S28:S29"/>
    <mergeCell ref="T28:T29"/>
    <mergeCell ref="D29:E29"/>
    <mergeCell ref="L29:M29"/>
    <mergeCell ref="S30:S38"/>
    <mergeCell ref="T30:T38"/>
    <mergeCell ref="K28:M28"/>
    <mergeCell ref="N28:N29"/>
    <mergeCell ref="O28:O29"/>
    <mergeCell ref="P28:P29"/>
    <mergeCell ref="Q28:Q29"/>
    <mergeCell ref="R28:R29"/>
    <mergeCell ref="C33:C34"/>
    <mergeCell ref="E33:E34"/>
    <mergeCell ref="K33:K34"/>
    <mergeCell ref="M33:M34"/>
    <mergeCell ref="C35:C36"/>
    <mergeCell ref="E35:E36"/>
    <mergeCell ref="K35:K36"/>
    <mergeCell ref="M35:M36"/>
    <mergeCell ref="B41:T41"/>
    <mergeCell ref="B42:J42"/>
    <mergeCell ref="K42:O42"/>
    <mergeCell ref="B43:B44"/>
    <mergeCell ref="C43:E43"/>
    <mergeCell ref="F43:F44"/>
    <mergeCell ref="G43:G44"/>
    <mergeCell ref="H43:H44"/>
    <mergeCell ref="I43:I44"/>
    <mergeCell ref="J43:J44"/>
    <mergeCell ref="S43:S44"/>
    <mergeCell ref="T43:T44"/>
    <mergeCell ref="D44:E44"/>
    <mergeCell ref="L44:M44"/>
    <mergeCell ref="S45:S53"/>
    <mergeCell ref="T45:T53"/>
    <mergeCell ref="K43:M43"/>
    <mergeCell ref="N43:N44"/>
    <mergeCell ref="O43:O44"/>
    <mergeCell ref="P43:P44"/>
    <mergeCell ref="Q43:Q44"/>
    <mergeCell ref="R43:R44"/>
    <mergeCell ref="C48:C49"/>
    <mergeCell ref="E48:E49"/>
    <mergeCell ref="K48:K49"/>
    <mergeCell ref="M48:M49"/>
    <mergeCell ref="C50:C51"/>
    <mergeCell ref="E50:E51"/>
    <mergeCell ref="K50:K51"/>
    <mergeCell ref="M50:M51"/>
  </mergeCells>
  <conditionalFormatting sqref="E15:E18 E20 E22:E23">
    <cfRule type="cellIs" dxfId="270" priority="22" operator="between">
      <formula>0.7</formula>
      <formula>1</formula>
    </cfRule>
    <cfRule type="cellIs" dxfId="269" priority="23" operator="greaterThanOrEqual">
      <formula>1</formula>
    </cfRule>
    <cfRule type="cellIs" dxfId="268" priority="24" operator="lessThan">
      <formula>0.7</formula>
    </cfRule>
  </conditionalFormatting>
  <conditionalFormatting sqref="E30:E33 E35 E37:E38">
    <cfRule type="cellIs" dxfId="267" priority="10" operator="between">
      <formula>0.7</formula>
      <formula>1</formula>
    </cfRule>
    <cfRule type="cellIs" dxfId="266" priority="11" operator="greaterThanOrEqual">
      <formula>1</formula>
    </cfRule>
    <cfRule type="cellIs" dxfId="265" priority="12" operator="lessThan">
      <formula>0.7</formula>
    </cfRule>
  </conditionalFormatting>
  <conditionalFormatting sqref="E45:E48 E50 E52:E53">
    <cfRule type="cellIs" dxfId="264" priority="34" operator="between">
      <formula>0.7</formula>
      <formula>1</formula>
    </cfRule>
    <cfRule type="cellIs" dxfId="263" priority="35" operator="greaterThanOrEqual">
      <formula>1</formula>
    </cfRule>
    <cfRule type="cellIs" dxfId="262" priority="36" operator="lessThan">
      <formula>0.7</formula>
    </cfRule>
  </conditionalFormatting>
  <conditionalFormatting sqref="M15:M18">
    <cfRule type="cellIs" dxfId="261" priority="16" operator="between">
      <formula>0.7</formula>
      <formula>1</formula>
    </cfRule>
    <cfRule type="cellIs" dxfId="260" priority="17" operator="greaterThanOrEqual">
      <formula>1</formula>
    </cfRule>
    <cfRule type="cellIs" dxfId="259" priority="18" operator="lessThan">
      <formula>0.7</formula>
    </cfRule>
  </conditionalFormatting>
  <conditionalFormatting sqref="M20">
    <cfRule type="cellIs" dxfId="258" priority="13" operator="between">
      <formula>0.7</formula>
      <formula>1</formula>
    </cfRule>
    <cfRule type="cellIs" dxfId="257" priority="14" operator="greaterThanOrEqual">
      <formula>1</formula>
    </cfRule>
    <cfRule type="cellIs" dxfId="256" priority="15" operator="lessThan">
      <formula>0.7</formula>
    </cfRule>
  </conditionalFormatting>
  <conditionalFormatting sqref="M22:M23">
    <cfRule type="cellIs" dxfId="255" priority="19" operator="between">
      <formula>0.7</formula>
      <formula>1</formula>
    </cfRule>
    <cfRule type="cellIs" dxfId="254" priority="20" operator="greaterThanOrEqual">
      <formula>1</formula>
    </cfRule>
    <cfRule type="cellIs" dxfId="253" priority="21" operator="lessThan">
      <formula>0.7</formula>
    </cfRule>
  </conditionalFormatting>
  <conditionalFormatting sqref="M30:M33">
    <cfRule type="cellIs" dxfId="252" priority="4" operator="between">
      <formula>0.7</formula>
      <formula>1</formula>
    </cfRule>
    <cfRule type="cellIs" dxfId="251" priority="5" operator="greaterThanOrEqual">
      <formula>1</formula>
    </cfRule>
    <cfRule type="cellIs" dxfId="250" priority="6" operator="lessThan">
      <formula>0.7</formula>
    </cfRule>
  </conditionalFormatting>
  <conditionalFormatting sqref="M35">
    <cfRule type="cellIs" dxfId="249" priority="1" operator="between">
      <formula>0.7</formula>
      <formula>1</formula>
    </cfRule>
    <cfRule type="cellIs" dxfId="248" priority="2" operator="greaterThanOrEqual">
      <formula>1</formula>
    </cfRule>
    <cfRule type="cellIs" dxfId="247" priority="3" operator="lessThan">
      <formula>0.7</formula>
    </cfRule>
  </conditionalFormatting>
  <conditionalFormatting sqref="M37:M38">
    <cfRule type="cellIs" dxfId="246" priority="7" operator="between">
      <formula>0.7</formula>
      <formula>1</formula>
    </cfRule>
    <cfRule type="cellIs" dxfId="245" priority="8" operator="greaterThanOrEqual">
      <formula>1</formula>
    </cfRule>
    <cfRule type="cellIs" dxfId="244" priority="9" operator="lessThan">
      <formula>0.7</formula>
    </cfRule>
  </conditionalFormatting>
  <conditionalFormatting sqref="M45:M48">
    <cfRule type="cellIs" dxfId="243" priority="28" operator="between">
      <formula>0.7</formula>
      <formula>1</formula>
    </cfRule>
    <cfRule type="cellIs" dxfId="242" priority="29" operator="greaterThanOrEqual">
      <formula>1</formula>
    </cfRule>
    <cfRule type="cellIs" dxfId="241" priority="30" operator="lessThan">
      <formula>0.7</formula>
    </cfRule>
  </conditionalFormatting>
  <conditionalFormatting sqref="M50">
    <cfRule type="cellIs" dxfId="240" priority="25" operator="between">
      <formula>0.7</formula>
      <formula>1</formula>
    </cfRule>
    <cfRule type="cellIs" dxfId="239" priority="26" operator="greaterThanOrEqual">
      <formula>1</formula>
    </cfRule>
    <cfRule type="cellIs" dxfId="238" priority="27" operator="lessThan">
      <formula>0.7</formula>
    </cfRule>
  </conditionalFormatting>
  <conditionalFormatting sqref="M52:M53">
    <cfRule type="cellIs" dxfId="237" priority="31" operator="between">
      <formula>0.7</formula>
      <formula>1</formula>
    </cfRule>
    <cfRule type="cellIs" dxfId="236" priority="32" operator="greaterThanOrEqual">
      <formula>1</formula>
    </cfRule>
    <cfRule type="cellIs" dxfId="235" priority="33" operator="lessThan">
      <formula>0.7</formula>
    </cfRule>
  </conditionalFormatting>
  <dataValidations count="1">
    <dataValidation type="list" allowBlank="1" showInputMessage="1" showErrorMessage="1" sqref="B8:H8" xr:uid="{06581A11-3396-4BB4-98B7-B856BC6FB1C1}">
      <formula1>$V$6:$X$6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ED37A-73A8-43A2-BC46-D8ACAF9BFDB6}">
  <dimension ref="B1:X54"/>
  <sheetViews>
    <sheetView showGridLines="0" topLeftCell="G16" zoomScale="70" zoomScaleNormal="70" workbookViewId="0">
      <selection activeCell="M7" sqref="M7:N7"/>
    </sheetView>
  </sheetViews>
  <sheetFormatPr defaultRowHeight="14.5" x14ac:dyDescent="0.35"/>
  <cols>
    <col min="1" max="1" width="2.1796875" customWidth="1"/>
    <col min="2" max="2" width="16.453125" customWidth="1"/>
    <col min="3" max="3" width="15" bestFit="1" customWidth="1"/>
    <col min="4" max="4" width="14.54296875" customWidth="1"/>
    <col min="5" max="5" width="13.453125" bestFit="1" customWidth="1"/>
    <col min="6" max="6" width="14" customWidth="1"/>
    <col min="7" max="7" width="18.7265625" customWidth="1"/>
    <col min="8" max="8" width="15" customWidth="1"/>
    <col min="9" max="9" width="20" customWidth="1"/>
    <col min="10" max="10" width="21.1796875" customWidth="1"/>
    <col min="11" max="12" width="16.453125" customWidth="1"/>
    <col min="13" max="13" width="9.7265625" customWidth="1"/>
    <col min="14" max="14" width="20.54296875" customWidth="1"/>
    <col min="15" max="15" width="21" customWidth="1"/>
    <col min="16" max="16" width="15.26953125" customWidth="1"/>
    <col min="17" max="17" width="13" bestFit="1" customWidth="1"/>
    <col min="18" max="18" width="10.453125" bestFit="1" customWidth="1"/>
    <col min="19" max="19" width="12.7265625" bestFit="1" customWidth="1"/>
    <col min="20" max="20" width="14.453125" customWidth="1"/>
  </cols>
  <sheetData>
    <row r="1" spans="2:24" x14ac:dyDescent="0.35">
      <c r="B1" s="59"/>
    </row>
    <row r="2" spans="2:24" x14ac:dyDescent="0.35">
      <c r="B2" s="143" t="s">
        <v>207</v>
      </c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5"/>
    </row>
    <row r="3" spans="2:24" x14ac:dyDescent="0.35">
      <c r="B3" s="146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8"/>
    </row>
    <row r="4" spans="2:24" x14ac:dyDescent="0.35">
      <c r="B4" s="149"/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1"/>
    </row>
    <row r="5" spans="2:24" x14ac:dyDescent="0.35">
      <c r="B5" s="60"/>
      <c r="T5" s="61"/>
    </row>
    <row r="6" spans="2:24" ht="14.5" customHeight="1" x14ac:dyDescent="0.35">
      <c r="B6" s="152" t="s">
        <v>208</v>
      </c>
      <c r="C6" s="153"/>
      <c r="D6" s="153"/>
      <c r="E6" s="153"/>
      <c r="F6" s="153"/>
      <c r="G6" s="153"/>
      <c r="H6" s="154"/>
      <c r="M6" s="155" t="s">
        <v>54</v>
      </c>
      <c r="N6" s="156"/>
      <c r="P6" s="74" t="s">
        <v>23</v>
      </c>
      <c r="T6" s="61"/>
      <c r="V6" s="1">
        <v>0</v>
      </c>
      <c r="W6" s="1">
        <v>2</v>
      </c>
      <c r="X6" s="1">
        <v>3</v>
      </c>
    </row>
    <row r="7" spans="2:24" ht="14.5" customHeight="1" x14ac:dyDescent="0.35">
      <c r="B7" s="62" t="s">
        <v>209</v>
      </c>
      <c r="C7" s="2" t="s">
        <v>13</v>
      </c>
      <c r="D7" s="2" t="s">
        <v>210</v>
      </c>
      <c r="E7" s="2" t="s">
        <v>16</v>
      </c>
      <c r="F7" s="2" t="s">
        <v>211</v>
      </c>
      <c r="G7" s="2" t="s">
        <v>212</v>
      </c>
      <c r="H7" s="3" t="s">
        <v>14</v>
      </c>
      <c r="M7" s="157" t="s">
        <v>44</v>
      </c>
      <c r="N7" s="158"/>
      <c r="P7" s="75" t="s">
        <v>45</v>
      </c>
      <c r="T7" s="61"/>
    </row>
    <row r="8" spans="2:24" ht="14.5" customHeight="1" x14ac:dyDescent="0.35">
      <c r="B8" s="63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5">
        <v>0</v>
      </c>
      <c r="T8" s="61"/>
    </row>
    <row r="9" spans="2:24" x14ac:dyDescent="0.35">
      <c r="B9" s="84"/>
      <c r="C9" s="85"/>
      <c r="D9" s="85"/>
      <c r="E9" s="85"/>
      <c r="F9" s="85"/>
      <c r="G9" s="85"/>
      <c r="H9" s="85"/>
    </row>
    <row r="10" spans="2:24" x14ac:dyDescent="0.35">
      <c r="B10" s="84"/>
      <c r="C10" s="85"/>
      <c r="D10" s="85"/>
      <c r="E10" s="85"/>
      <c r="F10" s="85"/>
      <c r="G10" s="85"/>
      <c r="H10" s="85"/>
    </row>
    <row r="11" spans="2:24" ht="18.5" x14ac:dyDescent="0.35">
      <c r="B11" s="159" t="s">
        <v>213</v>
      </c>
      <c r="C11" s="160"/>
      <c r="D11" s="160"/>
      <c r="E11" s="160"/>
      <c r="F11" s="160"/>
      <c r="G11" s="160"/>
      <c r="H11" s="160"/>
      <c r="I11" s="160"/>
      <c r="J11" s="160"/>
      <c r="K11" s="160"/>
      <c r="L11" s="160"/>
      <c r="M11" s="160"/>
      <c r="N11" s="160"/>
      <c r="O11" s="160"/>
      <c r="P11" s="160"/>
      <c r="Q11" s="160"/>
      <c r="R11" s="160"/>
      <c r="S11" s="160"/>
      <c r="T11" s="160"/>
    </row>
    <row r="12" spans="2:24" x14ac:dyDescent="0.35">
      <c r="B12" s="129" t="s">
        <v>9</v>
      </c>
      <c r="C12" s="130"/>
      <c r="D12" s="130"/>
      <c r="E12" s="130"/>
      <c r="F12" s="130"/>
      <c r="G12" s="130"/>
      <c r="H12" s="130"/>
      <c r="I12" s="130"/>
      <c r="J12" s="131"/>
      <c r="K12" s="132" t="s">
        <v>54</v>
      </c>
      <c r="L12" s="130"/>
      <c r="M12" s="130"/>
      <c r="N12" s="130"/>
      <c r="O12" s="130"/>
      <c r="P12" s="130"/>
      <c r="Q12" s="130"/>
      <c r="R12" s="130"/>
      <c r="S12" s="130"/>
      <c r="T12" s="133"/>
    </row>
    <row r="13" spans="2:24" ht="14.5" customHeight="1" x14ac:dyDescent="0.35">
      <c r="B13" s="115" t="s">
        <v>214</v>
      </c>
      <c r="C13" s="116" t="s">
        <v>215</v>
      </c>
      <c r="D13" s="117"/>
      <c r="E13" s="104"/>
      <c r="F13" s="135" t="s">
        <v>216</v>
      </c>
      <c r="G13" s="135" t="s">
        <v>217</v>
      </c>
      <c r="H13" s="135" t="s">
        <v>218</v>
      </c>
      <c r="I13" s="135" t="s">
        <v>219</v>
      </c>
      <c r="J13" s="135" t="s">
        <v>220</v>
      </c>
      <c r="K13" s="116" t="s">
        <v>221</v>
      </c>
      <c r="L13" s="117"/>
      <c r="M13" s="104"/>
      <c r="N13" s="127" t="s">
        <v>222</v>
      </c>
      <c r="O13" s="127" t="s">
        <v>223</v>
      </c>
      <c r="P13" s="127" t="s">
        <v>224</v>
      </c>
      <c r="Q13" s="127" t="s">
        <v>225</v>
      </c>
      <c r="R13" s="127" t="s">
        <v>226</v>
      </c>
      <c r="S13" s="127" t="s">
        <v>227</v>
      </c>
      <c r="T13" s="137" t="s">
        <v>228</v>
      </c>
    </row>
    <row r="14" spans="2:24" x14ac:dyDescent="0.35">
      <c r="B14" s="134"/>
      <c r="C14" s="94" t="s">
        <v>229</v>
      </c>
      <c r="D14" s="139" t="s">
        <v>230</v>
      </c>
      <c r="E14" s="140"/>
      <c r="F14" s="136"/>
      <c r="G14" s="136"/>
      <c r="H14" s="136"/>
      <c r="I14" s="136"/>
      <c r="J14" s="136"/>
      <c r="K14" s="52" t="s">
        <v>229</v>
      </c>
      <c r="L14" s="139" t="s">
        <v>230</v>
      </c>
      <c r="M14" s="140"/>
      <c r="N14" s="128"/>
      <c r="O14" s="128"/>
      <c r="P14" s="128"/>
      <c r="Q14" s="128"/>
      <c r="R14" s="128"/>
      <c r="S14" s="128"/>
      <c r="T14" s="138"/>
    </row>
    <row r="15" spans="2:24" x14ac:dyDescent="0.35">
      <c r="B15" s="45" t="s">
        <v>2</v>
      </c>
      <c r="C15" s="76">
        <f>SUMIFS(REALIZADO[META_MOVEL],REALIZADO[PDV],JACARAIPE!$M$7)</f>
        <v>10800</v>
      </c>
      <c r="D15" s="77">
        <f>SUMIFS(PROJEÇÃO[PROJ_MOVEL],PROJEÇÃO[PDV],JACARAIPE!$M$7)</f>
        <v>6963.5210999999999</v>
      </c>
      <c r="E15" s="49">
        <f>IFERROR(D15/C15,0)</f>
        <v>0.64477047222222217</v>
      </c>
      <c r="F15" s="8">
        <f>VLOOKUP($E$15,FATORES!$I$32:$K$34,3)</f>
        <v>5.0000000000000001E-3</v>
      </c>
      <c r="G15" s="8">
        <f>IFERROR(VLOOKUP($E$15,FATORES!$I$35:$K$36,3),0)</f>
        <v>0</v>
      </c>
      <c r="H15" s="9">
        <f>D15*F15</f>
        <v>34.817605499999999</v>
      </c>
      <c r="I15" s="9">
        <f t="shared" ref="I15:I23" si="0">IF($P$7="ARIEL",
   IF(AND($E$15&gt;=69.5%, AND($E$17&gt;=69.5%, $E$18&gt;=69.5%, $E$18&gt;=69.5%, $E$20&gt;=69.5%, $E$20&gt;=69.5%, $E$22&gt;=69.5%, $E$23&gt;=69.5%)),
      D15*G15,
      0),
   IF(AND($E$15&gt;=69.5%, $E$16&gt;=69.5%, $E$17&gt;=69.5%, $E$18&gt;=69.5%, $E$18&gt;=69.5%, $E$20&gt;=69.5%, $E$20&gt;=69.5%, $E$22&gt;=69.5%, $E$23&gt;=69.5%),
      D15*G15,
      0)
)</f>
        <v>0</v>
      </c>
      <c r="J15" s="9">
        <f>H15+I15</f>
        <v>34.817605499999999</v>
      </c>
      <c r="K15" s="76">
        <f>SUMIFS(REALIZADO[META_MOVEL],REALIZADO[COORDENAÇÃO],$P$7)</f>
        <v>83640</v>
      </c>
      <c r="L15" s="77">
        <f>SUMIFS(PROJEÇÃO[PROJ_MOVEL],PROJEÇÃO[COORDENAÇÃO],$P$7)</f>
        <v>77669.213200000013</v>
      </c>
      <c r="M15" s="49">
        <f>IFERROR(L15/K15,0)</f>
        <v>0.92861326159732205</v>
      </c>
      <c r="N15" s="8">
        <f>IF($M$15&gt;=FATORES!$I$37,FATORES!$K$37,0)</f>
        <v>0</v>
      </c>
      <c r="O15" s="14">
        <f>IF(E15&gt;=100%,
   IF($P$7="ARIEL",
      IF(AND($E$15&gt;=69.5%,$E$17&gt;=69.5%,$E$18&gt;=69.5%,$E$20&gt;=69.5%,$E$22&gt;=69.5%,$E$23&gt;=69.5%),
         D15*N15,
         0
      ),
      IF(AND($E$15&gt;=69.5%,$E$16&gt;=69.5%,$E$17&gt;=69.5%,$E$18&gt;=69.5%,$E$20&gt;=69.5%,$E$22&gt;=69.5%,$E$23&gt;=69.5%),
         D15*N15,
         0
      )
   ),
0)</f>
        <v>0</v>
      </c>
      <c r="P15" s="10">
        <f>J15+O15</f>
        <v>34.817605499999999</v>
      </c>
      <c r="Q15" s="11">
        <f>IF($B$8=2,P15*0.05,0)</f>
        <v>0</v>
      </c>
      <c r="R15" s="11">
        <f>IF($B$8=3,P15*0.15,0)</f>
        <v>0</v>
      </c>
      <c r="S15" s="98">
        <v>0.1</v>
      </c>
      <c r="T15" s="124">
        <f>SUM(P24:S24)</f>
        <v>385.40606290000005</v>
      </c>
    </row>
    <row r="16" spans="2:24" x14ac:dyDescent="0.35">
      <c r="B16" s="46" t="s">
        <v>13</v>
      </c>
      <c r="C16" s="76">
        <f>SUMIFS(REALIZADO[META_FIXA],REALIZADO[PDV],JACARAIPE!$M$7)</f>
        <v>3900</v>
      </c>
      <c r="D16" s="77">
        <f>SUMIFS(PROJEÇÃO[PROJ_FIXA],PROJEÇÃO[PDV],JACARAIPE!$M$7)</f>
        <v>5636.6244000000006</v>
      </c>
      <c r="E16" s="50">
        <f>IFERROR(D16/C16,0)</f>
        <v>1.4452883076923078</v>
      </c>
      <c r="F16" s="12">
        <f>VLOOKUP($E$16,FATORES!$I$40:$K$42,3)</f>
        <v>0.04</v>
      </c>
      <c r="G16" s="12">
        <f>IFERROR(VLOOKUP($E$16,FATORES!$I$43:$K$44,3),0)</f>
        <v>0.15</v>
      </c>
      <c r="H16" s="65">
        <f t="shared" ref="H16:H23" si="1">D16*F16</f>
        <v>225.46497600000004</v>
      </c>
      <c r="I16" s="65">
        <f t="shared" si="0"/>
        <v>0</v>
      </c>
      <c r="J16" s="65">
        <f t="shared" ref="J16:J23" si="2">H16+I16</f>
        <v>225.46497600000004</v>
      </c>
      <c r="K16" s="76">
        <f>SUMIFS(REALIZADO[META_FIXA],REALIZADO[COORDENAÇÃO],$P$7)</f>
        <v>36849.999799999998</v>
      </c>
      <c r="L16" s="77">
        <f>SUMIFS(PROJEÇÃO[PROJ_FIXA],PROJEÇÃO[COORDENAÇÃO],$P$7)</f>
        <v>42376.122200000013</v>
      </c>
      <c r="M16" s="50">
        <f t="shared" ref="M16:M17" si="3">IFERROR(L16/K16,0)</f>
        <v>1.1499626168247636</v>
      </c>
      <c r="N16" s="12">
        <f>IF($M$16&gt;=FATORES!$I$45,FATORES!$K$45,0)</f>
        <v>0.03</v>
      </c>
      <c r="O16" s="14">
        <f t="shared" ref="O16:O23" si="4">IF(E16&gt;=100%,
   IF($P$7="ARIEL",
      IF(AND($E$15&gt;=69.5%,$E$17&gt;=69.5%,$E$18&gt;=69.5%,$E$20&gt;=69.5%,$E$22&gt;=69.5%,$E$23&gt;=69.5%),
         D16*N16,
         0
      ),
      IF(AND($E$15&gt;=69.5%,$E$16&gt;=69.5%,$E$17&gt;=69.5%,$E$18&gt;=69.5%,$E$20&gt;=69.5%,$E$22&gt;=69.5%,$E$23&gt;=69.5%),
         D16*N16,
         0
      )
   ),
0)</f>
        <v>0</v>
      </c>
      <c r="P16" s="13">
        <f t="shared" ref="P16:P23" si="5">J16+O16</f>
        <v>225.46497600000004</v>
      </c>
      <c r="Q16" s="15">
        <f>IF($C$8=2,P16*0.05,0)</f>
        <v>0</v>
      </c>
      <c r="R16" s="15">
        <f>IF($C$8=3,P16*0.15,0)</f>
        <v>0</v>
      </c>
      <c r="S16" s="99"/>
      <c r="T16" s="125"/>
    </row>
    <row r="17" spans="2:20" x14ac:dyDescent="0.35">
      <c r="B17" s="46" t="s">
        <v>231</v>
      </c>
      <c r="C17" s="53">
        <f>SUMIFS(REALIZADO[META_SMARTPHONE],REALIZADO[PDV],JACARAIPE!$M$7)</f>
        <v>110000</v>
      </c>
      <c r="D17" s="78">
        <f>SUMIFS(PROJEÇÃO[PROJ_APARELHO],PROJEÇÃO[PDV],JACARAIPE!$M$7)</f>
        <v>111122.76670000001</v>
      </c>
      <c r="E17" s="50">
        <f>IFERROR(D17/C17,0)</f>
        <v>1.01020697</v>
      </c>
      <c r="F17" s="12">
        <f>VLOOKUP($E$17,FATORES!$B$53:$D$54,3)</f>
        <v>5.0000000000000001E-4</v>
      </c>
      <c r="G17" s="12">
        <f>IFERROR(VLOOKUP($E$17,FATORES!$B$55:$D$55,3),0)</f>
        <v>1E-3</v>
      </c>
      <c r="H17" s="65">
        <f t="shared" si="1"/>
        <v>55.561383350000007</v>
      </c>
      <c r="I17" s="65">
        <f t="shared" si="0"/>
        <v>0</v>
      </c>
      <c r="J17" s="65">
        <f t="shared" si="2"/>
        <v>55.561383350000007</v>
      </c>
      <c r="K17" s="53">
        <f>SUMIFS(REALIZADO[META_SMARTPHONE],REALIZADO[COORDENAÇÃO],$P$7)</f>
        <v>1296000</v>
      </c>
      <c r="L17" s="78">
        <f>SUMIFS(PROJEÇÃO[PROJ_APARELHO],PROJEÇÃO[COORDENAÇÃO],$P$7)</f>
        <v>1267838.5443</v>
      </c>
      <c r="M17" s="50">
        <f t="shared" si="3"/>
        <v>0.97827048171296294</v>
      </c>
      <c r="N17" s="12">
        <f>IF($M$17&gt;=FATORES!$B$56,FATORES!$D$56,0)</f>
        <v>0</v>
      </c>
      <c r="O17" s="14">
        <f t="shared" si="4"/>
        <v>0</v>
      </c>
      <c r="P17" s="13">
        <f t="shared" si="5"/>
        <v>55.561383350000007</v>
      </c>
      <c r="Q17" s="15">
        <f>IF($D$8=2,P17*0.05,0)</f>
        <v>0</v>
      </c>
      <c r="R17" s="15">
        <f>IF($D$8=3,P17*0.15,0)</f>
        <v>0</v>
      </c>
      <c r="S17" s="99"/>
      <c r="T17" s="125"/>
    </row>
    <row r="18" spans="2:20" x14ac:dyDescent="0.35">
      <c r="B18" s="47" t="s">
        <v>232</v>
      </c>
      <c r="C18" s="121">
        <f>SUMIFS(REALIZADO[META_ACESSORIO],REALIZADO[PDV],JACARAIPE!$M$7)</f>
        <v>15000</v>
      </c>
      <c r="D18" s="86">
        <f>SUMIFS(PROJEÇÃO[PROJ_ELETRO_A],PROJEÇÃO[PDV],JACARAIPE!$M$7)</f>
        <v>0</v>
      </c>
      <c r="E18" s="123">
        <f>IFERROR((D18+D19)/C18,0)</f>
        <v>2.0033811066666667</v>
      </c>
      <c r="F18" s="12">
        <f>VLOOKUP($E$18,FATORES!$B$44:$E$46,3)</f>
        <v>1.5E-3</v>
      </c>
      <c r="G18" s="12">
        <f>IFERROR(VLOOKUP($E$18,FATORES!$B$47:$E$48,3),0)</f>
        <v>7.0000000000000001E-3</v>
      </c>
      <c r="H18" s="65">
        <f t="shared" si="1"/>
        <v>0</v>
      </c>
      <c r="I18" s="65">
        <f t="shared" si="0"/>
        <v>0</v>
      </c>
      <c r="J18" s="65">
        <f t="shared" si="2"/>
        <v>0</v>
      </c>
      <c r="K18" s="121">
        <f>SUMIFS(REALIZADO[META_ACESSORIO],REALIZADO[COORDENAÇÃO],$P$7)</f>
        <v>141750</v>
      </c>
      <c r="L18" s="86">
        <f>SUMIFS(PROJEÇÃO[PROJ_ELETRO_A],PROJEÇÃO[COORDENAÇÃO],$P$7)</f>
        <v>2847.8889000000004</v>
      </c>
      <c r="M18" s="97">
        <f>IFERROR((L18+L19)/K18,0)</f>
        <v>1.1761539851851854</v>
      </c>
      <c r="N18" s="12">
        <f>IF($M$18&gt;=FATORES!$B$49,FATORES!$D$49,0)</f>
        <v>2.5000000000000001E-3</v>
      </c>
      <c r="O18" s="14">
        <f t="shared" si="4"/>
        <v>0</v>
      </c>
      <c r="P18" s="13">
        <f t="shared" si="5"/>
        <v>0</v>
      </c>
      <c r="Q18" s="15">
        <f>IF($E$8=2,P18*0.05,0)</f>
        <v>0</v>
      </c>
      <c r="R18" s="15">
        <f>IF($E$8=3,P18*0.15,0)</f>
        <v>0</v>
      </c>
      <c r="S18" s="99"/>
      <c r="T18" s="125"/>
    </row>
    <row r="19" spans="2:20" x14ac:dyDescent="0.35">
      <c r="B19" s="47" t="s">
        <v>233</v>
      </c>
      <c r="C19" s="122"/>
      <c r="D19" s="87">
        <f>SUMIFS(PROJEÇÃO[PROJ_ELETRO_B],PROJEÇÃO[PDV],JACARAIPE!$M$7)</f>
        <v>30050.7166</v>
      </c>
      <c r="E19" s="123"/>
      <c r="F19" s="12">
        <f>VLOOKUP($E$18,FATORES!$B$44:$E$46,4)</f>
        <v>7.5000000000000002E-4</v>
      </c>
      <c r="G19" s="12">
        <f>IFERROR(VLOOKUP($E$18,FATORES!$B$47:$E$48,4),0)</f>
        <v>3.5000000000000001E-3</v>
      </c>
      <c r="H19" s="65">
        <f t="shared" si="1"/>
        <v>22.538037450000001</v>
      </c>
      <c r="I19" s="65">
        <f t="shared" si="0"/>
        <v>0</v>
      </c>
      <c r="J19" s="65">
        <f t="shared" si="2"/>
        <v>22.538037450000001</v>
      </c>
      <c r="K19" s="122"/>
      <c r="L19" s="87">
        <f>SUMIFS(PROJEÇÃO[PROJ_ELETRO_B],PROJEÇÃO[COORDENAÇÃO],$P$7)</f>
        <v>163871.93850000005</v>
      </c>
      <c r="M19" s="97"/>
      <c r="N19" s="12">
        <f>IF($M$18&gt;=FATORES!$B$49,FATORES!$E$49,0)</f>
        <v>1.25E-3</v>
      </c>
      <c r="O19" s="14">
        <f t="shared" si="4"/>
        <v>0</v>
      </c>
      <c r="P19" s="13">
        <f t="shared" si="5"/>
        <v>22.538037450000001</v>
      </c>
      <c r="Q19" s="15">
        <f>IF($E$8=2,P19*0.05,0)</f>
        <v>0</v>
      </c>
      <c r="R19" s="15">
        <f>IF($E$8=3,P19*0.15,0)</f>
        <v>0</v>
      </c>
      <c r="S19" s="99"/>
      <c r="T19" s="125"/>
    </row>
    <row r="20" spans="2:20" x14ac:dyDescent="0.35">
      <c r="B20" s="46" t="s">
        <v>234</v>
      </c>
      <c r="C20" s="121">
        <f>SUMIFS(REALIZADO[META_ESSENCIAIS],REALIZADO[PDV],JACARAIPE!$M$7)</f>
        <v>8500</v>
      </c>
      <c r="D20" s="86">
        <f>SUMIFS(PROJEÇÃO[PROJ_ESSEN_A],PROJEÇÃO[PDV],JACARAIPE!$M$7)</f>
        <v>5422.3888999999999</v>
      </c>
      <c r="E20" s="123">
        <f>IFERROR((D20+D21)/C20,0)</f>
        <v>1.0321197529411763</v>
      </c>
      <c r="F20" s="12">
        <f>VLOOKUP($E$20,FATORES!$B$34:$E$36,3)</f>
        <v>1.5E-3</v>
      </c>
      <c r="G20" s="12">
        <f>IFERROR(VLOOKUP($E$20,FATORES!$B$37:$E$38,3),0)</f>
        <v>6.0000000000000001E-3</v>
      </c>
      <c r="H20" s="65">
        <f t="shared" si="1"/>
        <v>8.1335833500000003</v>
      </c>
      <c r="I20" s="65">
        <f t="shared" si="0"/>
        <v>0</v>
      </c>
      <c r="J20" s="65">
        <f t="shared" si="2"/>
        <v>8.1335833500000003</v>
      </c>
      <c r="K20" s="121">
        <f>SUMIFS(REALIZADO[META_ESSENCIAIS],REALIZADO[COORDENAÇÃO],$P$7)</f>
        <v>80500.0003</v>
      </c>
      <c r="L20" s="86">
        <f>SUMIFS(PROJEÇÃO[PROJ_ESSEN_A],PROJEÇÃO[COORDENAÇÃO],$P$7)</f>
        <v>32670.500100000008</v>
      </c>
      <c r="M20" s="97">
        <f>IFERROR((L20+L21)/K20,0)</f>
        <v>0.97865446467582207</v>
      </c>
      <c r="N20" s="12">
        <f>IF($M$20&gt;=FATORES!$B$39,FATORES!$D$39,0)</f>
        <v>0</v>
      </c>
      <c r="O20" s="14">
        <f t="shared" si="4"/>
        <v>0</v>
      </c>
      <c r="P20" s="13">
        <f t="shared" si="5"/>
        <v>8.1335833500000003</v>
      </c>
      <c r="Q20" s="15">
        <f>IF($F$8=2,P20*0.05,0)</f>
        <v>0</v>
      </c>
      <c r="R20" s="15">
        <f>IF($F$8=3,P20*0.15,0)</f>
        <v>0</v>
      </c>
      <c r="S20" s="99"/>
      <c r="T20" s="125"/>
    </row>
    <row r="21" spans="2:20" x14ac:dyDescent="0.35">
      <c r="B21" s="46" t="s">
        <v>235</v>
      </c>
      <c r="C21" s="122"/>
      <c r="D21" s="87">
        <f>SUMIFS(PROJEÇÃO[PROJ_ESSEN_B],PROJEÇÃO[PDV],JACARAIPE!$M$7)</f>
        <v>3350.6289999999999</v>
      </c>
      <c r="E21" s="123"/>
      <c r="F21" s="12">
        <f>VLOOKUP($E$20,FATORES!$B$34:$E$36,4)</f>
        <v>7.5000000000000002E-4</v>
      </c>
      <c r="G21" s="12">
        <f>IFERROR(VLOOKUP($E$20,FATORES!$B$37:$E$38,4),0)</f>
        <v>3.0000000000000001E-3</v>
      </c>
      <c r="H21" s="65">
        <f t="shared" si="1"/>
        <v>2.5129717500000002</v>
      </c>
      <c r="I21" s="65">
        <f t="shared" si="0"/>
        <v>0</v>
      </c>
      <c r="J21" s="65">
        <f t="shared" si="2"/>
        <v>2.5129717500000002</v>
      </c>
      <c r="K21" s="122"/>
      <c r="L21" s="87">
        <f>SUMIFS(PROJEÇÃO[PROJ_ESSEN_B],PROJEÇÃO[COORDENAÇÃO],$P$7)</f>
        <v>46111.184600000001</v>
      </c>
      <c r="M21" s="97"/>
      <c r="N21" s="12">
        <f>IF($M$20&gt;=FATORES!$B$39,FATORES!$E$39,0)</f>
        <v>0</v>
      </c>
      <c r="O21" s="14">
        <f t="shared" si="4"/>
        <v>0</v>
      </c>
      <c r="P21" s="13">
        <f t="shared" si="5"/>
        <v>2.5129717500000002</v>
      </c>
      <c r="Q21" s="15">
        <f>IF($F$8=2,P21*0.05,0)</f>
        <v>0</v>
      </c>
      <c r="R21" s="15">
        <f>IF($F$8=3,P21*0.15,0)</f>
        <v>0</v>
      </c>
      <c r="S21" s="99"/>
      <c r="T21" s="125"/>
    </row>
    <row r="22" spans="2:20" x14ac:dyDescent="0.35">
      <c r="B22" s="46" t="s">
        <v>212</v>
      </c>
      <c r="C22" s="57">
        <f>SUMIFS(REALIZADO[META_SEGUROS],REALIZADO[PDV],JACARAIPE!$M$7)</f>
        <v>890</v>
      </c>
      <c r="D22" s="79">
        <f>SUMIFS(PROJEÇÃO[PROJ_SEGURO],PROJEÇÃO[PDV],JACARAIPE!$M$7)</f>
        <v>801.8</v>
      </c>
      <c r="E22" s="83">
        <f>IFERROR(D22/C22,0)</f>
        <v>0.90089887640449429</v>
      </c>
      <c r="F22" s="83">
        <f>VLOOKUP($E$22,FATORES!$O$32:$Q$34,3)</f>
        <v>0.04</v>
      </c>
      <c r="G22" s="12">
        <f>IFERROR(VLOOKUP($E$22,FATORES!$O$35:$Q$36,3),0)</f>
        <v>0</v>
      </c>
      <c r="H22" s="65">
        <f t="shared" si="1"/>
        <v>32.071999999999996</v>
      </c>
      <c r="I22" s="65">
        <f t="shared" si="0"/>
        <v>0</v>
      </c>
      <c r="J22" s="65">
        <f t="shared" si="2"/>
        <v>32.071999999999996</v>
      </c>
      <c r="K22" s="57">
        <f>SUMIFS(REALIZADO[META_SEGUROS],REALIZADO[COORDENAÇÃO],$P$7)</f>
        <v>8560.0000999999993</v>
      </c>
      <c r="L22" s="79">
        <f>SUMIFS(PROJEÇÃO[PROJ_SEGURO],PROJEÇÃO[COORDENAÇÃO],$P$7)</f>
        <v>8140.4447</v>
      </c>
      <c r="M22" s="50">
        <f t="shared" ref="M22:M23" si="6">IFERROR(L22/K22,0)</f>
        <v>0.95098651926417621</v>
      </c>
      <c r="N22" s="12">
        <f>IF($M$22&gt;=FATORES!$O$37,FATORES!$Q$37,0)</f>
        <v>0</v>
      </c>
      <c r="O22" s="14">
        <f t="shared" si="4"/>
        <v>0</v>
      </c>
      <c r="P22" s="13">
        <f t="shared" si="5"/>
        <v>32.071999999999996</v>
      </c>
      <c r="Q22" s="15">
        <f>IF($G$8=2,P22*0.05,0)</f>
        <v>0</v>
      </c>
      <c r="R22" s="15">
        <f>IF($G$8=3,P22*0.15,0)</f>
        <v>0</v>
      </c>
      <c r="S22" s="99"/>
      <c r="T22" s="125"/>
    </row>
    <row r="23" spans="2:20" x14ac:dyDescent="0.35">
      <c r="B23" s="48" t="s">
        <v>14</v>
      </c>
      <c r="C23" s="76">
        <f>SUMIFS(REALIZADO[META_SVA],REALIZADO[PDV],JACARAIPE!$M$7)</f>
        <v>900</v>
      </c>
      <c r="D23" s="77">
        <f>SUMIFS(PROJEÇÃO[PROJ_SVA],PROJEÇÃO[PDV],JACARAIPE!$M$7)</f>
        <v>861.10110000000009</v>
      </c>
      <c r="E23" s="82">
        <f>IFERROR(D23/C23,0)</f>
        <v>0.95677900000000005</v>
      </c>
      <c r="F23" s="16">
        <f>IF($E$23&gt;=0,FATORES!$Q$40)</f>
        <v>5.0000000000000001E-3</v>
      </c>
      <c r="G23" s="16">
        <f>IFERROR(VLOOKUP($E$23,FATORES!$O$43:$Q$44,3),0)</f>
        <v>0</v>
      </c>
      <c r="H23" s="17">
        <f t="shared" si="1"/>
        <v>4.3055055000000007</v>
      </c>
      <c r="I23" s="65">
        <f t="shared" si="0"/>
        <v>0</v>
      </c>
      <c r="J23" s="17">
        <f t="shared" si="2"/>
        <v>4.3055055000000007</v>
      </c>
      <c r="K23" s="76">
        <f>SUMIFS(REALIZADO[META_SVA],REALIZADO[COORDENAÇÃO],$P$7)</f>
        <v>7799.9998999999989</v>
      </c>
      <c r="L23" s="77">
        <f>SUMIFS(PROJEÇÃO[PROJ_SVA],PROJEÇÃO[COORDENAÇÃO],$P$7)</f>
        <v>10286.177699999998</v>
      </c>
      <c r="M23" s="51">
        <f t="shared" si="6"/>
        <v>1.3187407476761634</v>
      </c>
      <c r="N23" s="16">
        <f>IF($M$23&gt;=FATORES!$O$45,FATORES!$Q$45,0)</f>
        <v>5.0000000000000001E-3</v>
      </c>
      <c r="O23" s="14">
        <f t="shared" si="4"/>
        <v>0</v>
      </c>
      <c r="P23" s="18">
        <f t="shared" si="5"/>
        <v>4.3055055000000007</v>
      </c>
      <c r="Q23" s="19">
        <f>IF($H$8=2,P23*0.05,0)</f>
        <v>0</v>
      </c>
      <c r="R23" s="19">
        <f>IF($H$8=3,P23*0.15,0)</f>
        <v>0</v>
      </c>
      <c r="S23" s="100"/>
      <c r="T23" s="126"/>
    </row>
    <row r="24" spans="2:20" x14ac:dyDescent="0.35">
      <c r="B24" s="66"/>
      <c r="C24" s="67"/>
      <c r="D24" s="67"/>
      <c r="E24" s="67"/>
      <c r="F24" s="67"/>
      <c r="G24" s="67"/>
      <c r="H24" s="67"/>
      <c r="I24" s="67"/>
      <c r="J24" s="68"/>
      <c r="K24" s="69"/>
      <c r="L24" s="67"/>
      <c r="M24" s="67"/>
      <c r="N24" s="67"/>
      <c r="O24" s="67"/>
      <c r="P24" s="70">
        <f>SUM(P15:P23)</f>
        <v>385.40606290000005</v>
      </c>
      <c r="Q24" s="70">
        <f t="shared" ref="Q24:R24" si="7">SUM(Q15:Q23)</f>
        <v>0</v>
      </c>
      <c r="R24" s="70">
        <f t="shared" si="7"/>
        <v>0</v>
      </c>
      <c r="S24" s="71" t="str">
        <f>IF($P$7="ARIEL",IF(MIN(E15,E17,E18,E19,E20,E22,E23)&gt;=100%,SUM(P24:R24)*S15,""),IF(MIN(E15:E23)&gt;=100%,SUM(P24:R24)*S15,""))</f>
        <v/>
      </c>
      <c r="T24" s="72"/>
    </row>
    <row r="25" spans="2:20" ht="16.149999999999999" customHeight="1" x14ac:dyDescent="0.35">
      <c r="B25" s="80"/>
      <c r="C25" s="6"/>
      <c r="D25" s="6"/>
      <c r="E25" s="6"/>
      <c r="F25" s="6"/>
      <c r="G25" s="6"/>
      <c r="H25" s="6"/>
      <c r="T25" s="61"/>
    </row>
    <row r="26" spans="2:20" ht="18.5" x14ac:dyDescent="0.35">
      <c r="B26" s="141" t="s">
        <v>236</v>
      </c>
      <c r="C26" s="142"/>
      <c r="D26" s="142"/>
      <c r="E26" s="142"/>
      <c r="F26" s="142"/>
      <c r="G26" s="142"/>
      <c r="H26" s="142"/>
      <c r="I26" s="142"/>
      <c r="J26" s="142"/>
      <c r="K26" s="142"/>
      <c r="L26" s="142"/>
      <c r="M26" s="142"/>
      <c r="N26" s="142"/>
      <c r="O26" s="142"/>
      <c r="P26" s="142"/>
      <c r="Q26" s="142"/>
      <c r="R26" s="142"/>
      <c r="S26" s="142"/>
      <c r="T26" s="142"/>
    </row>
    <row r="27" spans="2:20" x14ac:dyDescent="0.35">
      <c r="B27" s="129" t="s">
        <v>9</v>
      </c>
      <c r="C27" s="130"/>
      <c r="D27" s="130"/>
      <c r="E27" s="130"/>
      <c r="F27" s="130"/>
      <c r="G27" s="130"/>
      <c r="H27" s="130"/>
      <c r="I27" s="130"/>
      <c r="J27" s="131"/>
      <c r="K27" s="132" t="s">
        <v>54</v>
      </c>
      <c r="L27" s="130"/>
      <c r="M27" s="130"/>
      <c r="N27" s="130"/>
      <c r="O27" s="130"/>
      <c r="P27" s="130"/>
      <c r="Q27" s="130"/>
      <c r="R27" s="130"/>
      <c r="S27" s="130"/>
      <c r="T27" s="133"/>
    </row>
    <row r="28" spans="2:20" ht="14.5" customHeight="1" x14ac:dyDescent="0.35">
      <c r="B28" s="115" t="s">
        <v>214</v>
      </c>
      <c r="C28" s="116" t="s">
        <v>237</v>
      </c>
      <c r="D28" s="117"/>
      <c r="E28" s="104"/>
      <c r="F28" s="135" t="s">
        <v>216</v>
      </c>
      <c r="G28" s="135" t="s">
        <v>217</v>
      </c>
      <c r="H28" s="135" t="s">
        <v>218</v>
      </c>
      <c r="I28" s="135" t="s">
        <v>219</v>
      </c>
      <c r="J28" s="135" t="s">
        <v>220</v>
      </c>
      <c r="K28" s="116" t="s">
        <v>238</v>
      </c>
      <c r="L28" s="117"/>
      <c r="M28" s="104"/>
      <c r="N28" s="127" t="s">
        <v>222</v>
      </c>
      <c r="O28" s="127" t="s">
        <v>223</v>
      </c>
      <c r="P28" s="127" t="s">
        <v>224</v>
      </c>
      <c r="Q28" s="127" t="s">
        <v>225</v>
      </c>
      <c r="R28" s="127" t="s">
        <v>226</v>
      </c>
      <c r="S28" s="127" t="s">
        <v>227</v>
      </c>
      <c r="T28" s="137" t="s">
        <v>228</v>
      </c>
    </row>
    <row r="29" spans="2:20" ht="14.5" customHeight="1" x14ac:dyDescent="0.35">
      <c r="B29" s="134"/>
      <c r="C29" s="94" t="s">
        <v>229</v>
      </c>
      <c r="D29" s="139" t="s">
        <v>230</v>
      </c>
      <c r="E29" s="140"/>
      <c r="F29" s="136"/>
      <c r="G29" s="136"/>
      <c r="H29" s="136"/>
      <c r="I29" s="136"/>
      <c r="J29" s="136"/>
      <c r="K29" s="52" t="s">
        <v>229</v>
      </c>
      <c r="L29" s="139" t="s">
        <v>230</v>
      </c>
      <c r="M29" s="140"/>
      <c r="N29" s="128"/>
      <c r="O29" s="128"/>
      <c r="P29" s="128"/>
      <c r="Q29" s="128"/>
      <c r="R29" s="128"/>
      <c r="S29" s="128"/>
      <c r="T29" s="138"/>
    </row>
    <row r="30" spans="2:20" x14ac:dyDescent="0.35">
      <c r="B30" s="45" t="s">
        <v>2</v>
      </c>
      <c r="C30" s="76">
        <f>SUMIFS(REALIZADO[META_MOVEL],REALIZADO[PDV],JACARAIPE!$M$7)</f>
        <v>10800</v>
      </c>
      <c r="D30" s="77">
        <f>SUMIFS(REALIZADO[AT_MOVEL],REALIZADO[PDV],JACARAIPE!$M$7)</f>
        <v>982.01</v>
      </c>
      <c r="E30" s="49">
        <f>IFERROR(D30/C30,0)</f>
        <v>9.0926851851851856E-2</v>
      </c>
      <c r="F30" s="8">
        <f>VLOOKUP($E$30,FATORES!$I$32:$K$34,3)</f>
        <v>5.0000000000000001E-3</v>
      </c>
      <c r="G30" s="8">
        <f>IFERROR(VLOOKUP($E$30,FATORES!$I$35:$K$36,3),0)</f>
        <v>0</v>
      </c>
      <c r="H30" s="9">
        <f>D30*F30</f>
        <v>4.91005</v>
      </c>
      <c r="I30" s="9">
        <f t="shared" ref="I30:I38" si="8">IF($P$7="ARIEL",
   IF(AND($E$30&gt;=69.5%, AND($E$32&gt;=69.5%, $E$33&gt;=69.5%, $E$33&gt;=69.5%, $E$35&gt;=69.5%, $E$35&gt;=69.5%, $E$37&gt;=69.5%, $E$38&gt;=69.5%)),
      D30*G30,
      0),
   IF(AND($E$30&gt;=69.5%, $E$31&gt;=69.5%, $E$32&gt;=69.5%, $E$33&gt;=69.5%, $E$33&gt;=69.5%, $E$35&gt;=69.5%, $E$35&gt;=69.5%, $E$37&gt;=69.5%, $E$38&gt;=69.5%),
      D30*G30,
      0)
)</f>
        <v>0</v>
      </c>
      <c r="J30" s="9">
        <f>H30+I30</f>
        <v>4.91005</v>
      </c>
      <c r="K30" s="76">
        <f>SUMIFS(REALIZADO[META_MOVEL],REALIZADO[COORDENAÇÃO],$P$7)</f>
        <v>83640</v>
      </c>
      <c r="L30" s="77">
        <f>SUMIFS(REALIZADO[AT_MOVEL],REALIZADO[COORDENAÇÃO],$P$7)</f>
        <v>10363.76</v>
      </c>
      <c r="M30" s="49">
        <f>IFERROR(L30/K30,0)</f>
        <v>0.1239091343854615</v>
      </c>
      <c r="N30" s="8">
        <f>IF($M$30&gt;=FATORES!$I$37,FATORES!$K$37,0)</f>
        <v>0</v>
      </c>
      <c r="O30" s="14">
        <f>IF(E30&gt;=100%,
IF($P$7="ARIEL",
IF(AND($E$30&gt;=69.5%,$E$32&gt;=69.5%,$E$33&gt;=69.5%,$E$35&gt;=69.5%,$E$37&gt;=69.5%,$E$38&gt;=69.5%),
D30*N30,
0),
IF(AND($E$30&gt;=69.5%,$E$31&gt;=69.5%,$E$32&gt;=69.5%,$E$33&gt;=69.5%,$E$35&gt;=69.5%,$E$37&gt;=69.5%,$E$38&gt;=69.5%),
D30*N30,
0)
),0)</f>
        <v>0</v>
      </c>
      <c r="P30" s="10">
        <f>J30+O30</f>
        <v>4.91005</v>
      </c>
      <c r="Q30" s="11">
        <f>IF($B$8=2,P30*0.05,0)</f>
        <v>0</v>
      </c>
      <c r="R30" s="11">
        <f>IF($B$8=3,P30*0.15,0)</f>
        <v>0</v>
      </c>
      <c r="S30" s="98">
        <v>0.1</v>
      </c>
      <c r="T30" s="124">
        <f>SUM(P39:S39)</f>
        <v>12.564697499999999</v>
      </c>
    </row>
    <row r="31" spans="2:20" x14ac:dyDescent="0.35">
      <c r="B31" s="46" t="s">
        <v>13</v>
      </c>
      <c r="C31" s="76">
        <f>SUMIFS(REALIZADO[META_FIXA],REALIZADO[PDV],JACARAIPE!$M$7)</f>
        <v>3900</v>
      </c>
      <c r="D31" s="77">
        <f>SUMIFS(REALIZADO[AT_FIXA],REALIZADO[PDV],JACARAIPE!$M$7)</f>
        <v>540.01</v>
      </c>
      <c r="E31" s="50">
        <f>IFERROR(D31/C31,0)</f>
        <v>0.13846410256410255</v>
      </c>
      <c r="F31" s="12">
        <f>VLOOKUP($E$31,FATORES!$I$40:$K$42,3)</f>
        <v>5.0000000000000001E-3</v>
      </c>
      <c r="G31" s="12">
        <f>IFERROR(VLOOKUP($E$31,FATORES!$I$43:$K$44,3),0)</f>
        <v>0</v>
      </c>
      <c r="H31" s="65">
        <f t="shared" ref="H31:H38" si="9">D31*F31</f>
        <v>2.7000500000000001</v>
      </c>
      <c r="I31" s="65">
        <f t="shared" si="8"/>
        <v>0</v>
      </c>
      <c r="J31" s="65">
        <f t="shared" ref="J31:J38" si="10">H31+I31</f>
        <v>2.7000500000000001</v>
      </c>
      <c r="K31" s="76">
        <f>SUMIFS(REALIZADO[META_FIXA],REALIZADO[COORDENAÇÃO],$P$7)</f>
        <v>36849.999799999998</v>
      </c>
      <c r="L31" s="77">
        <f>SUMIFS(REALIZADO[AT_FIXA],REALIZADO[COORDENAÇÃO],$P$7)</f>
        <v>4391.01</v>
      </c>
      <c r="M31" s="50">
        <f t="shared" ref="M31:M32" si="11">IFERROR(L31/K31,0)</f>
        <v>0.11915902371321045</v>
      </c>
      <c r="N31" s="12">
        <f>IF($M$31&gt;=FATORES!$I$45,FATORES!$K$45,0)</f>
        <v>0</v>
      </c>
      <c r="O31" s="14">
        <f t="shared" ref="O31:O38" si="12">IF(E31&gt;=100%,
IF($P$7="ARIEL",
IF(AND($E$30&gt;=69.5%,$E$32&gt;=69.5%,$E$33&gt;=69.5%,$E$35&gt;=69.5%,$E$37&gt;=69.5%,$E$38&gt;=69.5%),
D31*N31,
0),
IF(AND($E$30&gt;=69.5%,$E$31&gt;=69.5%,$E$32&gt;=69.5%,$E$33&gt;=69.5%,$E$35&gt;=69.5%,$E$37&gt;=69.5%,$E$38&gt;=69.5%),
D31*N31,
0)
),0)</f>
        <v>0</v>
      </c>
      <c r="P31" s="13">
        <f t="shared" ref="P31:P38" si="13">J31+O31</f>
        <v>2.7000500000000001</v>
      </c>
      <c r="Q31" s="15">
        <f>IF($C$8=2,P31*0.05,0)</f>
        <v>0</v>
      </c>
      <c r="R31" s="15">
        <f>IF($C$8=3,P31*0.15,0)</f>
        <v>0</v>
      </c>
      <c r="S31" s="99"/>
      <c r="T31" s="125"/>
    </row>
    <row r="32" spans="2:20" x14ac:dyDescent="0.35">
      <c r="B32" s="46" t="s">
        <v>231</v>
      </c>
      <c r="C32" s="53">
        <f>SUMIFS(REALIZADO[META_SMARTPHONE],REALIZADO[PDV],JACARAIPE!$M$7)</f>
        <v>110000</v>
      </c>
      <c r="D32" s="78">
        <f>SUMIFS(REALIZADO[AT_SMARTPHONE],REALIZADO[PDV],JACARAIPE!$M$7)</f>
        <v>11155.05</v>
      </c>
      <c r="E32" s="50">
        <f>IFERROR(D32/C32,0)</f>
        <v>0.10140954545454545</v>
      </c>
      <c r="F32" s="12">
        <f>VLOOKUP($E$32,FATORES!$B$53:$D$54,3)</f>
        <v>2.0000000000000001E-4</v>
      </c>
      <c r="G32" s="12">
        <f>IFERROR(VLOOKUP($E$32,FATORES!$B$55:$D$55,3),0)</f>
        <v>0</v>
      </c>
      <c r="H32" s="65">
        <f t="shared" si="9"/>
        <v>2.2310099999999999</v>
      </c>
      <c r="I32" s="65">
        <f t="shared" si="8"/>
        <v>0</v>
      </c>
      <c r="J32" s="65">
        <f t="shared" si="10"/>
        <v>2.2310099999999999</v>
      </c>
      <c r="K32" s="53">
        <f>SUMIFS(REALIZADO[META_SMARTPHONE],REALIZADO[COORDENAÇÃO],$P$7)</f>
        <v>1296000</v>
      </c>
      <c r="L32" s="78">
        <f>SUMIFS(REALIZADO[AT_SMARTPHONE],REALIZADO[COORDENAÇÃO],$P$7)</f>
        <v>175436.05</v>
      </c>
      <c r="M32" s="50">
        <f t="shared" si="11"/>
        <v>0.1353673225308642</v>
      </c>
      <c r="N32" s="12">
        <f>IF($M$32&gt;=FATORES!$B$56,FATORES!$D$56,0)</f>
        <v>0</v>
      </c>
      <c r="O32" s="14">
        <f t="shared" si="12"/>
        <v>0</v>
      </c>
      <c r="P32" s="13">
        <f t="shared" si="13"/>
        <v>2.2310099999999999</v>
      </c>
      <c r="Q32" s="15">
        <f>IF($D$8=2,P32*0.05,0)</f>
        <v>0</v>
      </c>
      <c r="R32" s="15">
        <f>IF($D$8=3,P32*0.15,0)</f>
        <v>0</v>
      </c>
      <c r="S32" s="99"/>
      <c r="T32" s="125"/>
    </row>
    <row r="33" spans="2:20" x14ac:dyDescent="0.35">
      <c r="B33" s="47" t="s">
        <v>232</v>
      </c>
      <c r="C33" s="121">
        <f>SUMIFS(REALIZADO[META_ACESSORIO],REALIZADO[PDV],JACARAIPE!$M$7)</f>
        <v>15000</v>
      </c>
      <c r="D33" s="86">
        <f>SUMIFS(REALIZADO[AT_ACESSORIOS_A],REALIZADO[PDV],JACARAIPE!$M$7)</f>
        <v>0</v>
      </c>
      <c r="E33" s="123">
        <f>IFERROR((D33+D34)/C33,0)</f>
        <v>0.20653333333333335</v>
      </c>
      <c r="F33" s="12">
        <f>VLOOKUP($E$33,FATORES!$B$44:$E$46,3)</f>
        <v>5.0000000000000001E-4</v>
      </c>
      <c r="G33" s="12">
        <f>IFERROR(VLOOKUP($E$33,FATORES!$B$47:$E$48,3),0)</f>
        <v>0</v>
      </c>
      <c r="H33" s="65">
        <f t="shared" si="9"/>
        <v>0</v>
      </c>
      <c r="I33" s="65">
        <f t="shared" si="8"/>
        <v>0</v>
      </c>
      <c r="J33" s="65">
        <f t="shared" si="10"/>
        <v>0</v>
      </c>
      <c r="K33" s="121">
        <f>SUMIFS(REALIZADO[META_ACESSORIO],REALIZADO[COORDENAÇÃO],$P$7)</f>
        <v>141750</v>
      </c>
      <c r="L33" s="86">
        <f>SUMIFS(REALIZADO[AT_ACESSORIOS_A],REALIZADO[COORDENAÇÃO],$P$7)</f>
        <v>0</v>
      </c>
      <c r="M33" s="97">
        <f>IFERROR((L33+L34)/K33,0)</f>
        <v>0.11075132275132275</v>
      </c>
      <c r="N33" s="12">
        <f>IF($M$33&gt;=FATORES!$B$49,FATORES!$D$49,0)</f>
        <v>0</v>
      </c>
      <c r="O33" s="14">
        <f t="shared" si="12"/>
        <v>0</v>
      </c>
      <c r="P33" s="13">
        <f t="shared" si="13"/>
        <v>0</v>
      </c>
      <c r="Q33" s="15">
        <f>IF($E$8=2,P33*0.05,0)</f>
        <v>0</v>
      </c>
      <c r="R33" s="15">
        <f>IF($E$8=3,P33*0.15,0)</f>
        <v>0</v>
      </c>
      <c r="S33" s="99"/>
      <c r="T33" s="125"/>
    </row>
    <row r="34" spans="2:20" x14ac:dyDescent="0.35">
      <c r="B34" s="47" t="s">
        <v>233</v>
      </c>
      <c r="C34" s="122"/>
      <c r="D34" s="87">
        <f>SUMIFS(REALIZADO[AT_ACESSORIOS_B],REALIZADO[PDV],JACARAIPE!$M$7)</f>
        <v>3098</v>
      </c>
      <c r="E34" s="123"/>
      <c r="F34" s="12">
        <f>VLOOKUP($E$33,FATORES!$B$44:$E$46,4)</f>
        <v>2.5000000000000001E-4</v>
      </c>
      <c r="G34" s="12">
        <f>IFERROR(VLOOKUP($E$33,FATORES!$B$47:$E$48,4),0)</f>
        <v>0</v>
      </c>
      <c r="H34" s="65">
        <f t="shared" si="9"/>
        <v>0.77449999999999997</v>
      </c>
      <c r="I34" s="65">
        <f t="shared" si="8"/>
        <v>0</v>
      </c>
      <c r="J34" s="65">
        <f t="shared" si="10"/>
        <v>0.77449999999999997</v>
      </c>
      <c r="K34" s="122"/>
      <c r="L34" s="87">
        <f>SUMIFS(REALIZADO[AT_ACESSORIOS_B],REALIZADO[COORDENAÇÃO],$P$7)</f>
        <v>15699</v>
      </c>
      <c r="M34" s="97"/>
      <c r="N34" s="12">
        <f>IF($M$33&gt;=FATORES!$B$49,FATORES!$E$49,0)</f>
        <v>0</v>
      </c>
      <c r="O34" s="14">
        <f t="shared" si="12"/>
        <v>0</v>
      </c>
      <c r="P34" s="13">
        <f t="shared" si="13"/>
        <v>0.77449999999999997</v>
      </c>
      <c r="Q34" s="15">
        <f>IF($E$8=2,P34*0.05,0)</f>
        <v>0</v>
      </c>
      <c r="R34" s="15">
        <f>IF($E$8=3,P34*0.15,0)</f>
        <v>0</v>
      </c>
      <c r="S34" s="99"/>
      <c r="T34" s="125"/>
    </row>
    <row r="35" spans="2:20" x14ac:dyDescent="0.35">
      <c r="B35" s="46" t="s">
        <v>234</v>
      </c>
      <c r="C35" s="121">
        <f>SUMIFS(REALIZADO[META_ESSENCIAIS],REALIZADO[PDV],JACARAIPE!$M$7)</f>
        <v>8500</v>
      </c>
      <c r="D35" s="86">
        <f>SUMIFS(REALIZADO[AT_ESSENCIAIS_A],REALIZADO[PDV],JACARAIPE!$M$7)</f>
        <v>591.95000000000005</v>
      </c>
      <c r="E35" s="123">
        <f>IFERROR((D35+D36)/C35,0)</f>
        <v>0.14618823529411765</v>
      </c>
      <c r="F35" s="12">
        <f>VLOOKUP($E$35,FATORES!$B$34:$E$36,3)</f>
        <v>5.0000000000000001E-4</v>
      </c>
      <c r="G35" s="12">
        <f>IFERROR(VLOOKUP($E$35,FATORES!$B$37:$E$38,3),0)</f>
        <v>0</v>
      </c>
      <c r="H35" s="65">
        <f t="shared" si="9"/>
        <v>0.29597500000000004</v>
      </c>
      <c r="I35" s="65">
        <f t="shared" si="8"/>
        <v>0</v>
      </c>
      <c r="J35" s="65">
        <f t="shared" si="10"/>
        <v>0.29597500000000004</v>
      </c>
      <c r="K35" s="121">
        <f>SUMIFS(REALIZADO[META_ESSENCIAIS],REALIZADO[COORDENAÇÃO],$P$7)</f>
        <v>80500.0003</v>
      </c>
      <c r="L35" s="86">
        <f>SUMIFS(REALIZADO[AT_ESSENCIAIS_A],REALIZADO[COORDENAÇÃO],$P$7)</f>
        <v>5749.95</v>
      </c>
      <c r="M35" s="97">
        <f>IFERROR((L35+L36)/K35,0)</f>
        <v>0.15028074478156242</v>
      </c>
      <c r="N35" s="12">
        <f>IF($M$35&gt;=FATORES!$B$39,FATORES!$D$39,0)</f>
        <v>0</v>
      </c>
      <c r="O35" s="14">
        <f t="shared" si="12"/>
        <v>0</v>
      </c>
      <c r="P35" s="13">
        <f t="shared" si="13"/>
        <v>0.29597500000000004</v>
      </c>
      <c r="Q35" s="15">
        <f>IF($F$8=2,P35*0.05,0)</f>
        <v>0</v>
      </c>
      <c r="R35" s="15">
        <f>IF($F$8=3,P35*0.15,0)</f>
        <v>0</v>
      </c>
      <c r="S35" s="99"/>
      <c r="T35" s="125"/>
    </row>
    <row r="36" spans="2:20" x14ac:dyDescent="0.35">
      <c r="B36" s="46" t="s">
        <v>235</v>
      </c>
      <c r="C36" s="122"/>
      <c r="D36" s="87">
        <f>SUMIFS(REALIZADO[AT_ESSENCIAIS_B],REALIZADO[PDV],JACARAIPE!$M$7)</f>
        <v>650.65</v>
      </c>
      <c r="E36" s="123"/>
      <c r="F36" s="12">
        <f>VLOOKUP($E$35,FATORES!$B$34:$E$36,4)</f>
        <v>2.5000000000000001E-4</v>
      </c>
      <c r="G36" s="12">
        <f>IFERROR(VLOOKUP($E$35,FATORES!$B$37:$E$38,4),0)</f>
        <v>0</v>
      </c>
      <c r="H36" s="65">
        <f t="shared" si="9"/>
        <v>0.16266249999999999</v>
      </c>
      <c r="I36" s="65">
        <f t="shared" si="8"/>
        <v>0</v>
      </c>
      <c r="J36" s="65">
        <f t="shared" si="10"/>
        <v>0.16266249999999999</v>
      </c>
      <c r="K36" s="122"/>
      <c r="L36" s="87">
        <f>SUMIFS(REALIZADO[AT_ESSENCIAIS_B],REALIZADO[COORDENAÇÃO],$P$7)</f>
        <v>6347.65</v>
      </c>
      <c r="M36" s="97"/>
      <c r="N36" s="12">
        <f>IF($M$35&gt;=FATORES!$B$39,FATORES!$E$39,0)</f>
        <v>0</v>
      </c>
      <c r="O36" s="14">
        <f t="shared" si="12"/>
        <v>0</v>
      </c>
      <c r="P36" s="13">
        <f t="shared" si="13"/>
        <v>0.16266249999999999</v>
      </c>
      <c r="Q36" s="15">
        <f>IF($F$8=2,P36*0.05,0)</f>
        <v>0</v>
      </c>
      <c r="R36" s="15">
        <f>IF($F$8=3,P36*0.15,0)</f>
        <v>0</v>
      </c>
      <c r="S36" s="99"/>
      <c r="T36" s="125"/>
    </row>
    <row r="37" spans="2:20" x14ac:dyDescent="0.35">
      <c r="B37" s="46" t="s">
        <v>212</v>
      </c>
      <c r="C37" s="57">
        <f>SUMIFS(REALIZADO[META_SEGUROS],REALIZADO[PDV],JACARAIPE!$M$7)</f>
        <v>890</v>
      </c>
      <c r="D37" s="79">
        <f>SUMIFS(REALIZADO[AT_SEGUROS],REALIZADO[PDV],JACARAIPE!$M$7)</f>
        <v>155.5</v>
      </c>
      <c r="E37" s="83">
        <f>IFERROR(D37/C37,0)</f>
        <v>0.17471910112359551</v>
      </c>
      <c r="F37" s="83">
        <f>VLOOKUP($E$37,FATORES!$O$32:$Q$34,3)</f>
        <v>5.0000000000000001E-3</v>
      </c>
      <c r="G37" s="12">
        <f>IFERROR(VLOOKUP($E$37,FATORES!$O$35:$Q$36,3),0)</f>
        <v>0</v>
      </c>
      <c r="H37" s="65">
        <f t="shared" si="9"/>
        <v>0.77749999999999997</v>
      </c>
      <c r="I37" s="65">
        <f t="shared" si="8"/>
        <v>0</v>
      </c>
      <c r="J37" s="65">
        <f t="shared" si="10"/>
        <v>0.77749999999999997</v>
      </c>
      <c r="K37" s="57">
        <f>SUMIFS(REALIZADO[META_SEGUROS],REALIZADO[COORDENAÇÃO],$P$7)</f>
        <v>8560.0000999999993</v>
      </c>
      <c r="L37" s="79">
        <f>SUMIFS(REALIZADO[AT_SEGUROS],REALIZADO[COORDENAÇÃO],$P$7)</f>
        <v>887.5999999999998</v>
      </c>
      <c r="M37" s="50">
        <f t="shared" ref="M37:M38" si="14">IFERROR(L37/K37,0)</f>
        <v>0.1036915875736964</v>
      </c>
      <c r="N37" s="12">
        <f>IF($M$37&gt;=FATORES!$O$37,FATORES!$Q$37,0)</f>
        <v>0</v>
      </c>
      <c r="O37" s="14">
        <f t="shared" si="12"/>
        <v>0</v>
      </c>
      <c r="P37" s="13">
        <f t="shared" si="13"/>
        <v>0.77749999999999997</v>
      </c>
      <c r="Q37" s="15">
        <f>IF($G$8=2,P37*0.05,0)</f>
        <v>0</v>
      </c>
      <c r="R37" s="15">
        <f>IF($G$8=3,P37*0.15,0)</f>
        <v>0</v>
      </c>
      <c r="S37" s="99"/>
      <c r="T37" s="125"/>
    </row>
    <row r="38" spans="2:20" x14ac:dyDescent="0.35">
      <c r="B38" s="48" t="s">
        <v>14</v>
      </c>
      <c r="C38" s="76">
        <f>SUMIFS(REALIZADO[META_SVA],REALIZADO[PDV],JACARAIPE!$M$7)</f>
        <v>900</v>
      </c>
      <c r="D38" s="77">
        <f>SUMIFS(REALIZADO[AT_SVA],REALIZADO[PDV],JACARAIPE!$M$7)</f>
        <v>142.59</v>
      </c>
      <c r="E38" s="82">
        <f>IFERROR(D38/C38,0)</f>
        <v>0.15843333333333334</v>
      </c>
      <c r="F38" s="16">
        <f>IF($E$38&gt;=0,FATORES!$Q$40)</f>
        <v>5.0000000000000001E-3</v>
      </c>
      <c r="G38" s="16">
        <f>IFERROR(VLOOKUP($E$38,FATORES!$O$43:$Q$44,3),0)</f>
        <v>0</v>
      </c>
      <c r="H38" s="17">
        <f t="shared" si="9"/>
        <v>0.71295000000000008</v>
      </c>
      <c r="I38" s="65">
        <f t="shared" si="8"/>
        <v>0</v>
      </c>
      <c r="J38" s="17">
        <f t="shared" si="10"/>
        <v>0.71295000000000008</v>
      </c>
      <c r="K38" s="76">
        <f>SUMIFS(REALIZADO[META_SVA],REALIZADO[COORDENAÇÃO],$P$7)</f>
        <v>7799.9998999999989</v>
      </c>
      <c r="L38" s="77">
        <f>SUMIFS(REALIZADO[AT_SVA],REALIZADO[COORDENAÇÃO],$P$7)</f>
        <v>1187.3599999999999</v>
      </c>
      <c r="M38" s="51">
        <f t="shared" si="14"/>
        <v>0.15222564297725183</v>
      </c>
      <c r="N38" s="16">
        <f>IF($M$38&gt;=FATORES!$O$45,FATORES!$Q$45,0)</f>
        <v>0</v>
      </c>
      <c r="O38" s="14">
        <f t="shared" si="12"/>
        <v>0</v>
      </c>
      <c r="P38" s="18">
        <f t="shared" si="13"/>
        <v>0.71295000000000008</v>
      </c>
      <c r="Q38" s="19">
        <f>IF($H$8=2,P38*0.05,0)</f>
        <v>0</v>
      </c>
      <c r="R38" s="19">
        <f>IF($H$8=3,P38*0.15,0)</f>
        <v>0</v>
      </c>
      <c r="S38" s="100"/>
      <c r="T38" s="126"/>
    </row>
    <row r="39" spans="2:20" x14ac:dyDescent="0.35">
      <c r="B39" s="66"/>
      <c r="C39" s="67"/>
      <c r="D39" s="67"/>
      <c r="E39" s="67"/>
      <c r="F39" s="67"/>
      <c r="G39" s="67"/>
      <c r="H39" s="67"/>
      <c r="I39" s="67"/>
      <c r="J39" s="68"/>
      <c r="K39" s="69"/>
      <c r="L39" s="67"/>
      <c r="M39" s="67"/>
      <c r="N39" s="67"/>
      <c r="O39" s="67"/>
      <c r="P39" s="70">
        <f>SUM(P30:P38)</f>
        <v>12.564697499999999</v>
      </c>
      <c r="Q39" s="70">
        <f t="shared" ref="Q39:R39" si="15">SUM(Q30:Q38)</f>
        <v>0</v>
      </c>
      <c r="R39" s="70">
        <f t="shared" si="15"/>
        <v>0</v>
      </c>
      <c r="S39" s="71" t="str">
        <f>IF($P$7="ARIEL",IF(MIN(E30,E32,E33,E34,E35,E37,E38)&gt;=100%,SUM(P39:R39)*S30,""),IF(MIN(E30:E38)&gt;=100%,SUM(P39:R39)*S30,""))</f>
        <v/>
      </c>
      <c r="T39" s="72"/>
    </row>
    <row r="41" spans="2:20" ht="18.5" x14ac:dyDescent="0.35">
      <c r="B41" s="107" t="s">
        <v>239</v>
      </c>
      <c r="C41" s="108"/>
      <c r="D41" s="108"/>
      <c r="E41" s="108"/>
      <c r="F41" s="108"/>
      <c r="G41" s="108"/>
      <c r="H41" s="108"/>
      <c r="I41" s="108"/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T41" s="108"/>
    </row>
    <row r="42" spans="2:20" x14ac:dyDescent="0.35">
      <c r="B42" s="109" t="s">
        <v>9</v>
      </c>
      <c r="C42" s="110"/>
      <c r="D42" s="110"/>
      <c r="E42" s="110"/>
      <c r="F42" s="110"/>
      <c r="G42" s="110"/>
      <c r="H42" s="110"/>
      <c r="I42" s="110"/>
      <c r="J42" s="111"/>
      <c r="K42" s="112" t="s">
        <v>54</v>
      </c>
      <c r="L42" s="113"/>
      <c r="M42" s="113"/>
      <c r="N42" s="113"/>
      <c r="O42" s="113"/>
      <c r="P42" s="7"/>
      <c r="Q42" s="7"/>
      <c r="R42" s="7"/>
      <c r="S42" s="7"/>
      <c r="T42" s="64"/>
    </row>
    <row r="43" spans="2:20" ht="14.5" customHeight="1" x14ac:dyDescent="0.35">
      <c r="B43" s="114" t="s">
        <v>214</v>
      </c>
      <c r="C43" s="116" t="s">
        <v>237</v>
      </c>
      <c r="D43" s="117"/>
      <c r="E43" s="104"/>
      <c r="F43" s="118" t="s">
        <v>216</v>
      </c>
      <c r="G43" s="118" t="s">
        <v>217</v>
      </c>
      <c r="H43" s="118" t="s">
        <v>218</v>
      </c>
      <c r="I43" s="118" t="s">
        <v>219</v>
      </c>
      <c r="J43" s="118" t="s">
        <v>220</v>
      </c>
      <c r="K43" s="104" t="s">
        <v>238</v>
      </c>
      <c r="L43" s="105"/>
      <c r="M43" s="105"/>
      <c r="N43" s="106" t="s">
        <v>222</v>
      </c>
      <c r="O43" s="106" t="s">
        <v>223</v>
      </c>
      <c r="P43" s="106" t="s">
        <v>224</v>
      </c>
      <c r="Q43" s="106" t="s">
        <v>225</v>
      </c>
      <c r="R43" s="106" t="s">
        <v>226</v>
      </c>
      <c r="S43" s="106" t="s">
        <v>227</v>
      </c>
      <c r="T43" s="119" t="s">
        <v>228</v>
      </c>
    </row>
    <row r="44" spans="2:20" x14ac:dyDescent="0.35">
      <c r="B44" s="115"/>
      <c r="C44" s="94" t="s">
        <v>229</v>
      </c>
      <c r="D44" s="120" t="s">
        <v>230</v>
      </c>
      <c r="E44" s="120"/>
      <c r="F44" s="118"/>
      <c r="G44" s="118"/>
      <c r="H44" s="118"/>
      <c r="I44" s="118"/>
      <c r="J44" s="118"/>
      <c r="K44" s="52" t="s">
        <v>229</v>
      </c>
      <c r="L44" s="120" t="s">
        <v>230</v>
      </c>
      <c r="M44" s="120"/>
      <c r="N44" s="106"/>
      <c r="O44" s="106"/>
      <c r="P44" s="106"/>
      <c r="Q44" s="106"/>
      <c r="R44" s="106"/>
      <c r="S44" s="106"/>
      <c r="T44" s="119"/>
    </row>
    <row r="45" spans="2:20" x14ac:dyDescent="0.35">
      <c r="B45" s="45" t="s">
        <v>2</v>
      </c>
      <c r="C45" s="53">
        <f>SUMIFS(REALIZADO[META_MOVEL],REALIZADO[PDV],JACARAIPE!$M$7)</f>
        <v>10800</v>
      </c>
      <c r="D45" s="54">
        <f>SUMIFS(REALIZADO[META_MOVEL],REALIZADO[PDV],JACARAIPE!$M$7)</f>
        <v>10800</v>
      </c>
      <c r="E45" s="49">
        <f>IFERROR(D45/C45,0)</f>
        <v>1</v>
      </c>
      <c r="F45" s="8">
        <f>VLOOKUP($E$45,FATORES!$I$32:$K$34,3)</f>
        <v>0.04</v>
      </c>
      <c r="G45" s="8">
        <f>IFERROR(VLOOKUP(E45,FATORES!$I$35:$K$36,3),0)</f>
        <v>0.08</v>
      </c>
      <c r="H45" s="9">
        <f>D45*F45</f>
        <v>432</v>
      </c>
      <c r="I45" s="9">
        <f t="shared" ref="I45:I53" si="16">IF($P$7="ARIEL",
   IF(AND($E$45&gt;=69.5%, AND($E$47&gt;=69.5%, $E$48&gt;=69.5%, $E$48&gt;=69.5%, $E$50&gt;=69.5%, $E$50&gt;=69.5%, $E$52&gt;=69.5%, $E$53&gt;=69.5%)),
      D45*G45,
      0),
   IF(AND($E$45&gt;=69.5%, $E$46&gt;=69.5%, $E$47&gt;=69.5%, $E$48&gt;=69.5%, $E$48&gt;=69.5%, $E$50&gt;=69.5%, $E$50&gt;=69.5%, $E$52&gt;=69.5%, $E$53&gt;=69.5%),
      D45*G45,
      0)
)</f>
        <v>864</v>
      </c>
      <c r="J45" s="9">
        <f>H45+I45</f>
        <v>1296</v>
      </c>
      <c r="K45" s="53">
        <f>SUMIFS(REALIZADO[META_MOVEL],REALIZADO[COORDENAÇÃO],$P$7)</f>
        <v>83640</v>
      </c>
      <c r="L45" s="54"/>
      <c r="M45" s="49">
        <f>IFERROR(L45/K45,0)</f>
        <v>0</v>
      </c>
      <c r="N45" s="8">
        <f>IF($M$45&gt;=FATORES!$I$37,FATORES!$K$37,0)</f>
        <v>0</v>
      </c>
      <c r="O45" s="14">
        <f>IF(E45&gt;=100%,
IF($P$7="ARIEL",
   IF(AND($E$45&gt;=69.5%, AND($E$47&gt;=69.5%, $E$48&gt;=69.5%, $E$48&gt;=69.5%, $E$50&gt;=69.5%, $E$50&gt;=69.5%, $E$52&gt;=69.5%, $E$53&gt;=69.5%)),
      D45*N45,
      0),
   IF(AND($E$45&gt;=69.5%, $E$46&gt;=69.5%, $E$47&gt;=69.5%, $E$48&gt;=69.5%, $E$48&gt;=69.5%, $E$50&gt;=69.5%, $E$50&gt;=69.5%, $E$52&gt;=69.5%, $E$53&gt;=69.5%),
      D45*N45,
      0)
),0)</f>
        <v>0</v>
      </c>
      <c r="P45" s="10">
        <f>J45+O45</f>
        <v>1296</v>
      </c>
      <c r="Q45" s="11">
        <f>IF($B$8=2,P45*0.05,0)</f>
        <v>0</v>
      </c>
      <c r="R45" s="11">
        <f>IF($B$8=3,P45*0.15,0)</f>
        <v>0</v>
      </c>
      <c r="S45" s="98">
        <v>0.1</v>
      </c>
      <c r="T45" s="101">
        <f>SUM($P$54:$S$54)</f>
        <v>2548.5349999999999</v>
      </c>
    </row>
    <row r="46" spans="2:20" x14ac:dyDescent="0.35">
      <c r="B46" s="46" t="s">
        <v>13</v>
      </c>
      <c r="C46" s="55">
        <f>SUMIFS(REALIZADO[META_FIXA],REALIZADO[PDV],JACARAIPE!$M$7)</f>
        <v>3900</v>
      </c>
      <c r="D46" s="56">
        <f>SUMIFS(REALIZADO[META_FIXA],REALIZADO[PDV],JACARAIPE!$M$7)</f>
        <v>3900</v>
      </c>
      <c r="E46" s="50">
        <f>IFERROR(D46/C46,0)</f>
        <v>1</v>
      </c>
      <c r="F46" s="12">
        <f>VLOOKUP($E$46,FATORES!$I$40:$K$42,3)</f>
        <v>0.04</v>
      </c>
      <c r="G46" s="12">
        <f>IFERROR(VLOOKUP(E46,FATORES!$I$43:$K$44,3),0)</f>
        <v>0.1</v>
      </c>
      <c r="H46" s="65">
        <f t="shared" ref="H46:H53" si="17">D46*F46</f>
        <v>156</v>
      </c>
      <c r="I46" s="65">
        <f t="shared" si="16"/>
        <v>390</v>
      </c>
      <c r="J46" s="65">
        <f t="shared" ref="J46:J53" si="18">H46+I46</f>
        <v>546</v>
      </c>
      <c r="K46" s="55">
        <f>SUMIFS(REALIZADO[META_FIXA],REALIZADO[COORDENAÇÃO],$P$7)</f>
        <v>36849.999799999998</v>
      </c>
      <c r="L46" s="56"/>
      <c r="M46" s="50">
        <f t="shared" ref="M46:M53" si="19">IFERROR(L46/K46,0)</f>
        <v>0</v>
      </c>
      <c r="N46" s="12">
        <f>IF($M$46&gt;=FATORES!$I$45,FATORES!$K$45,0)</f>
        <v>0</v>
      </c>
      <c r="O46" s="14">
        <f t="shared" ref="O46:O53" si="20">IF(E46&gt;=100%,
IF($P$7="ARIEL",
   IF(AND($E$45&gt;=69.5%, AND($E$47&gt;=69.5%, $E$48&gt;=69.5%, $E$48&gt;=69.5%, $E$50&gt;=69.5%, $E$50&gt;=69.5%, $E$52&gt;=69.5%, $E$53&gt;=69.5%)),
      D46*N46,
      0),
   IF(AND($E$45&gt;=69.5%, $E$46&gt;=69.5%, $E$47&gt;=69.5%, $E$48&gt;=69.5%, $E$48&gt;=69.5%, $E$50&gt;=69.5%, $E$50&gt;=69.5%, $E$52&gt;=69.5%, $E$53&gt;=69.5%),
      D46*N46,
      0)
),0)</f>
        <v>0</v>
      </c>
      <c r="P46" s="13">
        <f t="shared" ref="P46:P53" si="21">J46+O46</f>
        <v>546</v>
      </c>
      <c r="Q46" s="15">
        <f>IF($C$8=2,P46*0.05,0)</f>
        <v>0</v>
      </c>
      <c r="R46" s="15">
        <f>IF($C$8=3,P46*0.15,0)</f>
        <v>0</v>
      </c>
      <c r="S46" s="99"/>
      <c r="T46" s="102"/>
    </row>
    <row r="47" spans="2:20" x14ac:dyDescent="0.35">
      <c r="B47" s="46" t="s">
        <v>231</v>
      </c>
      <c r="C47" s="55">
        <f>SUMIFS(REALIZADO[META_SMARTPHONE],REALIZADO[PDV],JACARAIPE!$M$7)</f>
        <v>110000</v>
      </c>
      <c r="D47" s="56">
        <f>SUMIFS(REALIZADO[META_SMARTPHONE],REALIZADO[PDV],JACARAIPE!$M$7)</f>
        <v>110000</v>
      </c>
      <c r="E47" s="50">
        <f>IFERROR(D47/C47,0)</f>
        <v>1</v>
      </c>
      <c r="F47" s="12">
        <f>VLOOKUP($E$47,FATORES!$B$53:$D$54,3)</f>
        <v>5.0000000000000001E-4</v>
      </c>
      <c r="G47" s="12">
        <f>IFERROR(VLOOKUP(E47,FATORES!$B$55:$D$55,3),0)</f>
        <v>1E-3</v>
      </c>
      <c r="H47" s="65">
        <f t="shared" si="17"/>
        <v>55</v>
      </c>
      <c r="I47" s="65">
        <f t="shared" si="16"/>
        <v>110</v>
      </c>
      <c r="J47" s="65">
        <f t="shared" si="18"/>
        <v>165</v>
      </c>
      <c r="K47" s="55">
        <f>SUMIFS(REALIZADO[META_SMARTPHONE],REALIZADO[COORDENAÇÃO],$P$7)</f>
        <v>1296000</v>
      </c>
      <c r="L47" s="56"/>
      <c r="M47" s="50">
        <f t="shared" si="19"/>
        <v>0</v>
      </c>
      <c r="N47" s="12">
        <f>IF($M$47&gt;=FATORES!$B$56,FATORES!$D$56,0)</f>
        <v>0</v>
      </c>
      <c r="O47" s="14">
        <f t="shared" si="20"/>
        <v>0</v>
      </c>
      <c r="P47" s="13">
        <f t="shared" si="21"/>
        <v>165</v>
      </c>
      <c r="Q47" s="15">
        <f>IF($D$8=2,P47*0.05,0)</f>
        <v>0</v>
      </c>
      <c r="R47" s="15">
        <f>IF($D$8=3,P47*0.15,0)</f>
        <v>0</v>
      </c>
      <c r="S47" s="99"/>
      <c r="T47" s="102"/>
    </row>
    <row r="48" spans="2:20" x14ac:dyDescent="0.35">
      <c r="B48" s="47" t="s">
        <v>232</v>
      </c>
      <c r="C48" s="96">
        <f>SUMIFS(REALIZADO[META_ACESSORIO],REALIZADO[PDV],JACARAIPE!$M$7)</f>
        <v>15000</v>
      </c>
      <c r="D48" s="56">
        <f>SUMIFS(REALIZADO[META_ACESSORIO],REALIZADO[PDV],JACARAIPE!$M$7)</f>
        <v>15000</v>
      </c>
      <c r="E48" s="97">
        <f>IFERROR((D48+D49)/C48,0)</f>
        <v>1</v>
      </c>
      <c r="F48" s="12">
        <f>VLOOKUP($E$48,FATORES!$B$44:$E$46,3)</f>
        <v>1.5E-3</v>
      </c>
      <c r="G48" s="12">
        <f>IFERROR(VLOOKUP(E48,FATORES!$B$47:$E$48,3),0)</f>
        <v>6.0000000000000001E-3</v>
      </c>
      <c r="H48" s="65">
        <f t="shared" si="17"/>
        <v>22.5</v>
      </c>
      <c r="I48" s="65">
        <f t="shared" si="16"/>
        <v>90</v>
      </c>
      <c r="J48" s="65">
        <f t="shared" si="18"/>
        <v>112.5</v>
      </c>
      <c r="K48" s="96">
        <f>SUMIFS(REALIZADO[META_ACESSORIO],REALIZADO[COORDENAÇÃO],$P$7)</f>
        <v>141750</v>
      </c>
      <c r="L48" s="56"/>
      <c r="M48" s="97">
        <f>IFERROR((L48+L49)/K48,0)</f>
        <v>0</v>
      </c>
      <c r="N48" s="12">
        <f>IF($M$48&gt;=FATORES!$B$49,FATORES!$D$49,0)</f>
        <v>0</v>
      </c>
      <c r="O48" s="14">
        <f t="shared" si="20"/>
        <v>0</v>
      </c>
      <c r="P48" s="13">
        <f t="shared" si="21"/>
        <v>112.5</v>
      </c>
      <c r="Q48" s="15">
        <f>IF($E$8=2,P48*0.05,0)</f>
        <v>0</v>
      </c>
      <c r="R48" s="15">
        <f>IF($E$8=3,P48*0.15,0)</f>
        <v>0</v>
      </c>
      <c r="S48" s="99"/>
      <c r="T48" s="102"/>
    </row>
    <row r="49" spans="2:20" x14ac:dyDescent="0.35">
      <c r="B49" s="47" t="s">
        <v>233</v>
      </c>
      <c r="C49" s="96"/>
      <c r="D49" s="56"/>
      <c r="E49" s="97"/>
      <c r="F49" s="12">
        <f>VLOOKUP($E$48,FATORES!$B$44:$E$46,4)</f>
        <v>7.5000000000000002E-4</v>
      </c>
      <c r="G49" s="12">
        <f>IFERROR(VLOOKUP(E48,FATORES!$B$47:$E$48,4),0)</f>
        <v>3.0000000000000001E-3</v>
      </c>
      <c r="H49" s="65">
        <f t="shared" si="17"/>
        <v>0</v>
      </c>
      <c r="I49" s="65">
        <f t="shared" si="16"/>
        <v>0</v>
      </c>
      <c r="J49" s="65">
        <f t="shared" si="18"/>
        <v>0</v>
      </c>
      <c r="K49" s="96"/>
      <c r="L49" s="56"/>
      <c r="M49" s="97"/>
      <c r="N49" s="12">
        <f>IF($M$48&gt;=FATORES!$B$49,FATORES!$E$49,0)</f>
        <v>0</v>
      </c>
      <c r="O49" s="14">
        <f t="shared" si="20"/>
        <v>0</v>
      </c>
      <c r="P49" s="13">
        <f t="shared" si="21"/>
        <v>0</v>
      </c>
      <c r="Q49" s="15">
        <f>IF($E$8=2,P49*0.05,0)</f>
        <v>0</v>
      </c>
      <c r="R49" s="15">
        <f>IF($E$8=3,P49*0.15,0)</f>
        <v>0</v>
      </c>
      <c r="S49" s="99"/>
      <c r="T49" s="102"/>
    </row>
    <row r="50" spans="2:20" x14ac:dyDescent="0.35">
      <c r="B50" s="46" t="s">
        <v>234</v>
      </c>
      <c r="C50" s="96">
        <f>SUMIFS(REALIZADO[META_ESSENCIAIS],REALIZADO[PDV],JACARAIPE!$M$7)</f>
        <v>8500</v>
      </c>
      <c r="D50" s="56">
        <f>SUMIFS(REALIZADO[META_ESSENCIAIS],REALIZADO[PDV],JACARAIPE!$M$7)</f>
        <v>8500</v>
      </c>
      <c r="E50" s="97">
        <f>IFERROR((D50+D51)/C50,0)</f>
        <v>1</v>
      </c>
      <c r="F50" s="12">
        <f>VLOOKUP($E$50,FATORES!$B$34:$E$36,3)</f>
        <v>1.5E-3</v>
      </c>
      <c r="G50" s="12">
        <f>IFERROR(VLOOKUP(E50,FATORES!$B$37:$E$38,3),0)</f>
        <v>6.0000000000000001E-3</v>
      </c>
      <c r="H50" s="65">
        <f t="shared" si="17"/>
        <v>12.75</v>
      </c>
      <c r="I50" s="65">
        <f t="shared" si="16"/>
        <v>51</v>
      </c>
      <c r="J50" s="65">
        <f t="shared" si="18"/>
        <v>63.75</v>
      </c>
      <c r="K50" s="96">
        <f>SUMIFS(REALIZADO[META_ESSENCIAIS],REALIZADO[COORDENAÇÃO],$P$7)</f>
        <v>80500.0003</v>
      </c>
      <c r="L50" s="56"/>
      <c r="M50" s="97">
        <f>IFERROR((L50+L51)/K50,0)</f>
        <v>0</v>
      </c>
      <c r="N50" s="12">
        <f>IF($M$50&gt;=FATORES!$B$39,FATORES!$D$39,0)</f>
        <v>0</v>
      </c>
      <c r="O50" s="14">
        <f t="shared" si="20"/>
        <v>0</v>
      </c>
      <c r="P50" s="13">
        <f t="shared" si="21"/>
        <v>63.75</v>
      </c>
      <c r="Q50" s="15">
        <f>IF($F$8=2,P50*0.05,0)</f>
        <v>0</v>
      </c>
      <c r="R50" s="15">
        <f>IF($F$8=3,P50*0.15,0)</f>
        <v>0</v>
      </c>
      <c r="S50" s="99"/>
      <c r="T50" s="102"/>
    </row>
    <row r="51" spans="2:20" x14ac:dyDescent="0.35">
      <c r="B51" s="46" t="s">
        <v>235</v>
      </c>
      <c r="C51" s="96"/>
      <c r="D51" s="56"/>
      <c r="E51" s="97"/>
      <c r="F51" s="12">
        <f>VLOOKUP($E$50,FATORES!$B$34:$E$36,4)</f>
        <v>7.5000000000000002E-4</v>
      </c>
      <c r="G51" s="12">
        <f>IFERROR(VLOOKUP(E50,FATORES!$B$37:$E$38,4),0)</f>
        <v>3.0000000000000001E-3</v>
      </c>
      <c r="H51" s="65">
        <f t="shared" si="17"/>
        <v>0</v>
      </c>
      <c r="I51" s="65">
        <f t="shared" si="16"/>
        <v>0</v>
      </c>
      <c r="J51" s="65">
        <f t="shared" si="18"/>
        <v>0</v>
      </c>
      <c r="K51" s="96"/>
      <c r="L51" s="56"/>
      <c r="M51" s="97"/>
      <c r="N51" s="12">
        <f>IF($M$50&gt;=FATORES!$B$39,FATORES!$E$39,0)</f>
        <v>0</v>
      </c>
      <c r="O51" s="14">
        <f t="shared" si="20"/>
        <v>0</v>
      </c>
      <c r="P51" s="13">
        <f t="shared" si="21"/>
        <v>0</v>
      </c>
      <c r="Q51" s="15">
        <f>IF($F$8=2,P51*0.05,0)</f>
        <v>0</v>
      </c>
      <c r="R51" s="15">
        <f>IF($F$8=3,P51*0.15,0)</f>
        <v>0</v>
      </c>
      <c r="S51" s="99"/>
      <c r="T51" s="102"/>
    </row>
    <row r="52" spans="2:20" x14ac:dyDescent="0.35">
      <c r="B52" s="46" t="s">
        <v>212</v>
      </c>
      <c r="C52" s="55">
        <f>SUMIFS(REALIZADO[META_SEGUROS],REALIZADO[PDV],JACARAIPE!$M$7)</f>
        <v>890</v>
      </c>
      <c r="D52" s="56">
        <f>SUMIFS(REALIZADO[META_SEGUROS],REALIZADO[PDV],JACARAIPE!$M$7)</f>
        <v>890</v>
      </c>
      <c r="E52" s="50">
        <f>IFERROR(D52/C52,0)</f>
        <v>1</v>
      </c>
      <c r="F52" s="83">
        <f>VLOOKUP($E$52,FATORES!$O$32:$Q$34,3)</f>
        <v>0.04</v>
      </c>
      <c r="G52" s="12">
        <f>IFERROR(VLOOKUP(E52,FATORES!$O$35:$Q$36,3),0)</f>
        <v>0.1</v>
      </c>
      <c r="H52" s="65">
        <f t="shared" si="17"/>
        <v>35.6</v>
      </c>
      <c r="I52" s="65">
        <f t="shared" si="16"/>
        <v>89</v>
      </c>
      <c r="J52" s="65">
        <f t="shared" si="18"/>
        <v>124.6</v>
      </c>
      <c r="K52" s="55">
        <f>SUMIFS(REALIZADO[META_SEGUROS],REALIZADO[COORDENAÇÃO],$P$7)</f>
        <v>8560.0000999999993</v>
      </c>
      <c r="L52" s="56"/>
      <c r="M52" s="50">
        <f t="shared" si="19"/>
        <v>0</v>
      </c>
      <c r="N52" s="12">
        <f>IF($M$52&gt;=FATORES!$O$37,FATORES!$Q$37,0)</f>
        <v>0</v>
      </c>
      <c r="O52" s="14">
        <f t="shared" si="20"/>
        <v>0</v>
      </c>
      <c r="P52" s="13">
        <f t="shared" si="21"/>
        <v>124.6</v>
      </c>
      <c r="Q52" s="15">
        <f>IF($G$8=2,P52*0.05,0)</f>
        <v>0</v>
      </c>
      <c r="R52" s="15">
        <f>IF($G$8=3,P52*0.15,0)</f>
        <v>0</v>
      </c>
      <c r="S52" s="99"/>
      <c r="T52" s="102"/>
    </row>
    <row r="53" spans="2:20" x14ac:dyDescent="0.35">
      <c r="B53" s="48" t="s">
        <v>14</v>
      </c>
      <c r="C53" s="57">
        <f>SUMIFS(REALIZADO[META_SVA],REALIZADO[PDV],JACARAIPE!$M$7)</f>
        <v>900</v>
      </c>
      <c r="D53" s="92">
        <f>SUMIFS(REALIZADO[META_SVA],REALIZADO[PDV],JACARAIPE!$M$7)</f>
        <v>900</v>
      </c>
      <c r="E53" s="51">
        <f>IFERROR(D53/C53,0)</f>
        <v>1</v>
      </c>
      <c r="F53" s="16">
        <f>IF($E$53&gt;=0,FATORES!$Q$40)</f>
        <v>5.0000000000000001E-3</v>
      </c>
      <c r="G53" s="16">
        <f>IFERROR(VLOOKUP(E53,FATORES!$O$43:$Q$44,3),0)</f>
        <v>5.0000000000000001E-3</v>
      </c>
      <c r="H53" s="17">
        <f t="shared" si="17"/>
        <v>4.5</v>
      </c>
      <c r="I53" s="65">
        <f t="shared" si="16"/>
        <v>4.5</v>
      </c>
      <c r="J53" s="17">
        <f t="shared" si="18"/>
        <v>9</v>
      </c>
      <c r="K53" s="57">
        <f>SUMIFS(REALIZADO[META_SVA],REALIZADO[COORDENAÇÃO],$P$7)</f>
        <v>7799.9998999999989</v>
      </c>
      <c r="L53" s="58"/>
      <c r="M53" s="51">
        <f t="shared" si="19"/>
        <v>0</v>
      </c>
      <c r="N53" s="16">
        <f>IF($M$53&gt;=FATORES!$O$45,FATORES!$Q$45,0)</f>
        <v>0</v>
      </c>
      <c r="O53" s="14">
        <f t="shared" si="20"/>
        <v>0</v>
      </c>
      <c r="P53" s="18">
        <f t="shared" si="21"/>
        <v>9</v>
      </c>
      <c r="Q53" s="19">
        <f>IF($H$8=2,P53*0.05,0)</f>
        <v>0</v>
      </c>
      <c r="R53" s="19">
        <f>IF($H$8=3,P53*0.15,0)</f>
        <v>0</v>
      </c>
      <c r="S53" s="100"/>
      <c r="T53" s="103"/>
    </row>
    <row r="54" spans="2:20" x14ac:dyDescent="0.35">
      <c r="B54" s="66"/>
      <c r="C54" s="67"/>
      <c r="D54" s="67"/>
      <c r="E54" s="67"/>
      <c r="F54" s="67"/>
      <c r="G54" s="67"/>
      <c r="H54" s="67"/>
      <c r="I54" s="67"/>
      <c r="J54" s="68"/>
      <c r="K54" s="69"/>
      <c r="L54" s="67"/>
      <c r="M54" s="67"/>
      <c r="N54" s="67"/>
      <c r="O54" s="67"/>
      <c r="P54" s="70">
        <f>SUM(P45:P53)</f>
        <v>2316.85</v>
      </c>
      <c r="Q54" s="70">
        <f t="shared" ref="Q54:R54" si="22">SUM(Q45:Q53)</f>
        <v>0</v>
      </c>
      <c r="R54" s="70">
        <f t="shared" si="22"/>
        <v>0</v>
      </c>
      <c r="S54" s="71">
        <f>IF($P$7="ARIEL",IF(MIN(E45,E47,E48,E49,E50,E52,E53)&gt;=99.99%,SUM(P54:R54)*S45,""),IF(MIN(E45:E53)&gt;=99.99%,SUM(P54:R54)*S45,""))</f>
        <v>231.685</v>
      </c>
      <c r="T54" s="72"/>
    </row>
  </sheetData>
  <sheetProtection algorithmName="SHA-512" hashValue="KAlGpy7IeDoQ8JyN/+D/rLikBNvgB8bgnmmp+ZmeADQ9AQQMxvpznlSWdKAuzLsfoQfoZXFTkPquON0ban2D2Q==" saltValue="/hG/KqdguywM4Ji4jlOfSQ==" spinCount="100000" sheet="1" objects="1" scenarios="1"/>
  <protectedRanges>
    <protectedRange sqref="B8:H8 C45:D53 K45:L53" name="Intervalo1"/>
  </protectedRanges>
  <mergeCells count="94">
    <mergeCell ref="I13:I14"/>
    <mergeCell ref="B12:J12"/>
    <mergeCell ref="K12:T12"/>
    <mergeCell ref="B2:T4"/>
    <mergeCell ref="B6:H6"/>
    <mergeCell ref="M6:N6"/>
    <mergeCell ref="M7:N7"/>
    <mergeCell ref="B11:T11"/>
    <mergeCell ref="B13:B14"/>
    <mergeCell ref="C13:E13"/>
    <mergeCell ref="F13:F14"/>
    <mergeCell ref="G13:G14"/>
    <mergeCell ref="H13:H14"/>
    <mergeCell ref="D14:E14"/>
    <mergeCell ref="J13:J14"/>
    <mergeCell ref="K13:M13"/>
    <mergeCell ref="S13:S14"/>
    <mergeCell ref="T13:T14"/>
    <mergeCell ref="L14:M14"/>
    <mergeCell ref="N13:N14"/>
    <mergeCell ref="O13:O14"/>
    <mergeCell ref="P13:P14"/>
    <mergeCell ref="Q13:Q14"/>
    <mergeCell ref="R13:R14"/>
    <mergeCell ref="C20:C21"/>
    <mergeCell ref="E20:E21"/>
    <mergeCell ref="K20:K21"/>
    <mergeCell ref="M20:M21"/>
    <mergeCell ref="B26:T26"/>
    <mergeCell ref="S15:S23"/>
    <mergeCell ref="T15:T23"/>
    <mergeCell ref="C18:C19"/>
    <mergeCell ref="E18:E19"/>
    <mergeCell ref="K18:K19"/>
    <mergeCell ref="M18:M19"/>
    <mergeCell ref="B27:J27"/>
    <mergeCell ref="K27:T27"/>
    <mergeCell ref="B28:B29"/>
    <mergeCell ref="C28:E28"/>
    <mergeCell ref="F28:F29"/>
    <mergeCell ref="G28:G29"/>
    <mergeCell ref="H28:H29"/>
    <mergeCell ref="I28:I29"/>
    <mergeCell ref="J28:J29"/>
    <mergeCell ref="S28:S29"/>
    <mergeCell ref="T28:T29"/>
    <mergeCell ref="D29:E29"/>
    <mergeCell ref="L29:M29"/>
    <mergeCell ref="S30:S38"/>
    <mergeCell ref="T30:T38"/>
    <mergeCell ref="K28:M28"/>
    <mergeCell ref="N28:N29"/>
    <mergeCell ref="O28:O29"/>
    <mergeCell ref="P28:P29"/>
    <mergeCell ref="Q28:Q29"/>
    <mergeCell ref="R28:R29"/>
    <mergeCell ref="C33:C34"/>
    <mergeCell ref="E33:E34"/>
    <mergeCell ref="K33:K34"/>
    <mergeCell ref="M33:M34"/>
    <mergeCell ref="C35:C36"/>
    <mergeCell ref="E35:E36"/>
    <mergeCell ref="K35:K36"/>
    <mergeCell ref="M35:M36"/>
    <mergeCell ref="B41:T41"/>
    <mergeCell ref="B42:J42"/>
    <mergeCell ref="K42:O42"/>
    <mergeCell ref="B43:B44"/>
    <mergeCell ref="C43:E43"/>
    <mergeCell ref="F43:F44"/>
    <mergeCell ref="G43:G44"/>
    <mergeCell ref="H43:H44"/>
    <mergeCell ref="I43:I44"/>
    <mergeCell ref="J43:J44"/>
    <mergeCell ref="S43:S44"/>
    <mergeCell ref="T43:T44"/>
    <mergeCell ref="D44:E44"/>
    <mergeCell ref="L44:M44"/>
    <mergeCell ref="S45:S53"/>
    <mergeCell ref="T45:T53"/>
    <mergeCell ref="K43:M43"/>
    <mergeCell ref="N43:N44"/>
    <mergeCell ref="O43:O44"/>
    <mergeCell ref="P43:P44"/>
    <mergeCell ref="Q43:Q44"/>
    <mergeCell ref="R43:R44"/>
    <mergeCell ref="C48:C49"/>
    <mergeCell ref="E48:E49"/>
    <mergeCell ref="K48:K49"/>
    <mergeCell ref="M48:M49"/>
    <mergeCell ref="C50:C51"/>
    <mergeCell ref="E50:E51"/>
    <mergeCell ref="K50:K51"/>
    <mergeCell ref="M50:M51"/>
  </mergeCells>
  <conditionalFormatting sqref="E15:E18 E20 E22:E23">
    <cfRule type="cellIs" dxfId="234" priority="22" operator="between">
      <formula>0.7</formula>
      <formula>1</formula>
    </cfRule>
    <cfRule type="cellIs" dxfId="233" priority="23" operator="greaterThanOrEqual">
      <formula>1</formula>
    </cfRule>
    <cfRule type="cellIs" dxfId="232" priority="24" operator="lessThan">
      <formula>0.7</formula>
    </cfRule>
  </conditionalFormatting>
  <conditionalFormatting sqref="E30:E33 E35 E37:E38">
    <cfRule type="cellIs" dxfId="231" priority="10" operator="between">
      <formula>0.7</formula>
      <formula>1</formula>
    </cfRule>
    <cfRule type="cellIs" dxfId="230" priority="11" operator="greaterThanOrEqual">
      <formula>1</formula>
    </cfRule>
    <cfRule type="cellIs" dxfId="229" priority="12" operator="lessThan">
      <formula>0.7</formula>
    </cfRule>
  </conditionalFormatting>
  <conditionalFormatting sqref="E45:E48 E50 E52:E53">
    <cfRule type="cellIs" dxfId="228" priority="34" operator="between">
      <formula>0.7</formula>
      <formula>1</formula>
    </cfRule>
    <cfRule type="cellIs" dxfId="227" priority="35" operator="greaterThanOrEqual">
      <formula>1</formula>
    </cfRule>
    <cfRule type="cellIs" dxfId="226" priority="36" operator="lessThan">
      <formula>0.7</formula>
    </cfRule>
  </conditionalFormatting>
  <conditionalFormatting sqref="M15:M18">
    <cfRule type="cellIs" dxfId="225" priority="16" operator="between">
      <formula>0.7</formula>
      <formula>1</formula>
    </cfRule>
    <cfRule type="cellIs" dxfId="224" priority="17" operator="greaterThanOrEqual">
      <formula>1</formula>
    </cfRule>
    <cfRule type="cellIs" dxfId="223" priority="18" operator="lessThan">
      <formula>0.7</formula>
    </cfRule>
  </conditionalFormatting>
  <conditionalFormatting sqref="M20">
    <cfRule type="cellIs" dxfId="222" priority="13" operator="between">
      <formula>0.7</formula>
      <formula>1</formula>
    </cfRule>
    <cfRule type="cellIs" dxfId="221" priority="14" operator="greaterThanOrEqual">
      <formula>1</formula>
    </cfRule>
    <cfRule type="cellIs" dxfId="220" priority="15" operator="lessThan">
      <formula>0.7</formula>
    </cfRule>
  </conditionalFormatting>
  <conditionalFormatting sqref="M22:M23">
    <cfRule type="cellIs" dxfId="219" priority="19" operator="between">
      <formula>0.7</formula>
      <formula>1</formula>
    </cfRule>
    <cfRule type="cellIs" dxfId="218" priority="20" operator="greaterThanOrEqual">
      <formula>1</formula>
    </cfRule>
    <cfRule type="cellIs" dxfId="217" priority="21" operator="lessThan">
      <formula>0.7</formula>
    </cfRule>
  </conditionalFormatting>
  <conditionalFormatting sqref="M30:M33">
    <cfRule type="cellIs" dxfId="216" priority="4" operator="between">
      <formula>0.7</formula>
      <formula>1</formula>
    </cfRule>
    <cfRule type="cellIs" dxfId="215" priority="5" operator="greaterThanOrEqual">
      <formula>1</formula>
    </cfRule>
    <cfRule type="cellIs" dxfId="214" priority="6" operator="lessThan">
      <formula>0.7</formula>
    </cfRule>
  </conditionalFormatting>
  <conditionalFormatting sqref="M35">
    <cfRule type="cellIs" dxfId="213" priority="1" operator="between">
      <formula>0.7</formula>
      <formula>1</formula>
    </cfRule>
    <cfRule type="cellIs" dxfId="212" priority="2" operator="greaterThanOrEqual">
      <formula>1</formula>
    </cfRule>
    <cfRule type="cellIs" dxfId="211" priority="3" operator="lessThan">
      <formula>0.7</formula>
    </cfRule>
  </conditionalFormatting>
  <conditionalFormatting sqref="M37:M38">
    <cfRule type="cellIs" dxfId="210" priority="7" operator="between">
      <formula>0.7</formula>
      <formula>1</formula>
    </cfRule>
    <cfRule type="cellIs" dxfId="209" priority="8" operator="greaterThanOrEqual">
      <formula>1</formula>
    </cfRule>
    <cfRule type="cellIs" dxfId="208" priority="9" operator="lessThan">
      <formula>0.7</formula>
    </cfRule>
  </conditionalFormatting>
  <conditionalFormatting sqref="M45:M48">
    <cfRule type="cellIs" dxfId="207" priority="28" operator="between">
      <formula>0.7</formula>
      <formula>1</formula>
    </cfRule>
    <cfRule type="cellIs" dxfId="206" priority="29" operator="greaterThanOrEqual">
      <formula>1</formula>
    </cfRule>
    <cfRule type="cellIs" dxfId="205" priority="30" operator="lessThan">
      <formula>0.7</formula>
    </cfRule>
  </conditionalFormatting>
  <conditionalFormatting sqref="M50">
    <cfRule type="cellIs" dxfId="204" priority="25" operator="between">
      <formula>0.7</formula>
      <formula>1</formula>
    </cfRule>
    <cfRule type="cellIs" dxfId="203" priority="26" operator="greaterThanOrEqual">
      <formula>1</formula>
    </cfRule>
    <cfRule type="cellIs" dxfId="202" priority="27" operator="lessThan">
      <formula>0.7</formula>
    </cfRule>
  </conditionalFormatting>
  <conditionalFormatting sqref="M52:M53">
    <cfRule type="cellIs" dxfId="201" priority="31" operator="between">
      <formula>0.7</formula>
      <formula>1</formula>
    </cfRule>
    <cfRule type="cellIs" dxfId="200" priority="32" operator="greaterThanOrEqual">
      <formula>1</formula>
    </cfRule>
    <cfRule type="cellIs" dxfId="199" priority="33" operator="lessThan">
      <formula>0.7</formula>
    </cfRule>
  </conditionalFormatting>
  <dataValidations count="1">
    <dataValidation type="list" allowBlank="1" showInputMessage="1" showErrorMessage="1" sqref="B8:H8" xr:uid="{EA601306-678D-457F-852B-6F2F63D5E210}">
      <formula1>$V$6:$X$6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2C280-6762-42A8-8F11-6D9C6B37405B}">
  <dimension ref="B1:X54"/>
  <sheetViews>
    <sheetView showGridLines="0" zoomScale="70" zoomScaleNormal="70" workbookViewId="0">
      <selection activeCell="J56" sqref="J56"/>
    </sheetView>
  </sheetViews>
  <sheetFormatPr defaultRowHeight="14.5" x14ac:dyDescent="0.35"/>
  <cols>
    <col min="1" max="1" width="2.1796875" customWidth="1"/>
    <col min="2" max="2" width="16.453125" customWidth="1"/>
    <col min="3" max="3" width="15" bestFit="1" customWidth="1"/>
    <col min="4" max="4" width="14.54296875" customWidth="1"/>
    <col min="5" max="5" width="13.453125" bestFit="1" customWidth="1"/>
    <col min="6" max="6" width="14" customWidth="1"/>
    <col min="7" max="7" width="18.7265625" customWidth="1"/>
    <col min="8" max="8" width="15" customWidth="1"/>
    <col min="9" max="9" width="20" customWidth="1"/>
    <col min="10" max="10" width="21.1796875" customWidth="1"/>
    <col min="11" max="12" width="16.453125" customWidth="1"/>
    <col min="13" max="13" width="9.7265625" customWidth="1"/>
    <col min="14" max="14" width="20.54296875" customWidth="1"/>
    <col min="15" max="15" width="21" customWidth="1"/>
    <col min="16" max="16" width="15.26953125" customWidth="1"/>
    <col min="17" max="17" width="13" bestFit="1" customWidth="1"/>
    <col min="18" max="18" width="10.453125" bestFit="1" customWidth="1"/>
    <col min="19" max="19" width="12.7265625" customWidth="1"/>
    <col min="20" max="20" width="14.453125" customWidth="1"/>
  </cols>
  <sheetData>
    <row r="1" spans="2:24" x14ac:dyDescent="0.35">
      <c r="B1" s="59"/>
    </row>
    <row r="2" spans="2:24" x14ac:dyDescent="0.35">
      <c r="B2" s="143" t="s">
        <v>207</v>
      </c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5"/>
    </row>
    <row r="3" spans="2:24" x14ac:dyDescent="0.35">
      <c r="B3" s="146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8"/>
    </row>
    <row r="4" spans="2:24" x14ac:dyDescent="0.35">
      <c r="B4" s="149"/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1"/>
    </row>
    <row r="5" spans="2:24" x14ac:dyDescent="0.35">
      <c r="B5" s="60"/>
      <c r="T5" s="61"/>
    </row>
    <row r="6" spans="2:24" ht="14.5" customHeight="1" x14ac:dyDescent="0.35">
      <c r="B6" s="152" t="s">
        <v>208</v>
      </c>
      <c r="C6" s="153"/>
      <c r="D6" s="153"/>
      <c r="E6" s="153"/>
      <c r="F6" s="153"/>
      <c r="G6" s="153"/>
      <c r="H6" s="154"/>
      <c r="M6" s="155" t="s">
        <v>54</v>
      </c>
      <c r="N6" s="156"/>
      <c r="P6" s="74" t="s">
        <v>23</v>
      </c>
      <c r="T6" s="61"/>
      <c r="V6" s="1">
        <v>0</v>
      </c>
      <c r="W6" s="1">
        <v>2</v>
      </c>
      <c r="X6" s="1">
        <v>3</v>
      </c>
    </row>
    <row r="7" spans="2:24" ht="14.5" customHeight="1" x14ac:dyDescent="0.35">
      <c r="B7" s="62" t="s">
        <v>209</v>
      </c>
      <c r="C7" s="2" t="s">
        <v>13</v>
      </c>
      <c r="D7" s="2" t="s">
        <v>210</v>
      </c>
      <c r="E7" s="2" t="s">
        <v>16</v>
      </c>
      <c r="F7" s="2" t="s">
        <v>211</v>
      </c>
      <c r="G7" s="2" t="s">
        <v>212</v>
      </c>
      <c r="H7" s="3" t="s">
        <v>14</v>
      </c>
      <c r="M7" s="157" t="s">
        <v>46</v>
      </c>
      <c r="N7" s="158"/>
      <c r="P7" s="75" t="s">
        <v>45</v>
      </c>
      <c r="T7" s="61"/>
    </row>
    <row r="8" spans="2:24" ht="14.5" customHeight="1" x14ac:dyDescent="0.35">
      <c r="B8" s="63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5">
        <v>0</v>
      </c>
      <c r="T8" s="61"/>
    </row>
    <row r="9" spans="2:24" x14ac:dyDescent="0.35">
      <c r="B9" s="84"/>
      <c r="C9" s="85"/>
      <c r="D9" s="85"/>
      <c r="E9" s="85"/>
      <c r="F9" s="85"/>
      <c r="G9" s="85"/>
      <c r="H9" s="85"/>
    </row>
    <row r="10" spans="2:24" x14ac:dyDescent="0.35">
      <c r="B10" s="84"/>
      <c r="C10" s="85"/>
      <c r="D10" s="85"/>
      <c r="E10" s="85"/>
      <c r="F10" s="85"/>
      <c r="G10" s="85"/>
      <c r="H10" s="85"/>
    </row>
    <row r="11" spans="2:24" ht="18.5" x14ac:dyDescent="0.35">
      <c r="B11" s="159" t="s">
        <v>213</v>
      </c>
      <c r="C11" s="160"/>
      <c r="D11" s="160"/>
      <c r="E11" s="160"/>
      <c r="F11" s="160"/>
      <c r="G11" s="160"/>
      <c r="H11" s="160"/>
      <c r="I11" s="160"/>
      <c r="J11" s="160"/>
      <c r="K11" s="160"/>
      <c r="L11" s="160"/>
      <c r="M11" s="160"/>
      <c r="N11" s="160"/>
      <c r="O11" s="160"/>
      <c r="P11" s="160"/>
      <c r="Q11" s="160"/>
      <c r="R11" s="160"/>
      <c r="S11" s="160"/>
      <c r="T11" s="160"/>
    </row>
    <row r="12" spans="2:24" x14ac:dyDescent="0.35">
      <c r="B12" s="129" t="s">
        <v>9</v>
      </c>
      <c r="C12" s="130"/>
      <c r="D12" s="130"/>
      <c r="E12" s="130"/>
      <c r="F12" s="130"/>
      <c r="G12" s="130"/>
      <c r="H12" s="130"/>
      <c r="I12" s="130"/>
      <c r="J12" s="131"/>
      <c r="K12" s="132" t="s">
        <v>54</v>
      </c>
      <c r="L12" s="130"/>
      <c r="M12" s="130"/>
      <c r="N12" s="130"/>
      <c r="O12" s="130"/>
      <c r="P12" s="130"/>
      <c r="Q12" s="130"/>
      <c r="R12" s="130"/>
      <c r="S12" s="130"/>
      <c r="T12" s="133"/>
    </row>
    <row r="13" spans="2:24" ht="14.5" customHeight="1" x14ac:dyDescent="0.35">
      <c r="B13" s="115" t="s">
        <v>214</v>
      </c>
      <c r="C13" s="116" t="s">
        <v>215</v>
      </c>
      <c r="D13" s="117"/>
      <c r="E13" s="104"/>
      <c r="F13" s="135" t="s">
        <v>216</v>
      </c>
      <c r="G13" s="135" t="s">
        <v>217</v>
      </c>
      <c r="H13" s="135" t="s">
        <v>218</v>
      </c>
      <c r="I13" s="135" t="s">
        <v>219</v>
      </c>
      <c r="J13" s="135" t="s">
        <v>220</v>
      </c>
      <c r="K13" s="116" t="s">
        <v>221</v>
      </c>
      <c r="L13" s="117"/>
      <c r="M13" s="104"/>
      <c r="N13" s="127" t="s">
        <v>222</v>
      </c>
      <c r="O13" s="127" t="s">
        <v>223</v>
      </c>
      <c r="P13" s="127" t="s">
        <v>224</v>
      </c>
      <c r="Q13" s="127" t="s">
        <v>225</v>
      </c>
      <c r="R13" s="127" t="s">
        <v>226</v>
      </c>
      <c r="S13" s="127" t="s">
        <v>227</v>
      </c>
      <c r="T13" s="137" t="s">
        <v>228</v>
      </c>
    </row>
    <row r="14" spans="2:24" x14ac:dyDescent="0.35">
      <c r="B14" s="134"/>
      <c r="C14" s="94" t="s">
        <v>229</v>
      </c>
      <c r="D14" s="139" t="s">
        <v>230</v>
      </c>
      <c r="E14" s="140"/>
      <c r="F14" s="136"/>
      <c r="G14" s="136"/>
      <c r="H14" s="136"/>
      <c r="I14" s="136"/>
      <c r="J14" s="136"/>
      <c r="K14" s="52" t="s">
        <v>229</v>
      </c>
      <c r="L14" s="139" t="s">
        <v>230</v>
      </c>
      <c r="M14" s="140"/>
      <c r="N14" s="128"/>
      <c r="O14" s="128"/>
      <c r="P14" s="128"/>
      <c r="Q14" s="128"/>
      <c r="R14" s="128"/>
      <c r="S14" s="128"/>
      <c r="T14" s="138"/>
    </row>
    <row r="15" spans="2:24" x14ac:dyDescent="0.35">
      <c r="B15" s="45" t="s">
        <v>2</v>
      </c>
      <c r="C15" s="76">
        <f>SUMIFS(REALIZADO[META_MOVEL],REALIZADO[PDV],LARANJEIRAS!$M$7)</f>
        <v>11599.999899999999</v>
      </c>
      <c r="D15" s="77">
        <f>SUMIFS(PROJEÇÃO[PROJ_MOVEL],PROJEÇÃO[PDV],LARANJEIRAS!$M$7)</f>
        <v>10683.7423</v>
      </c>
      <c r="E15" s="49">
        <f>IFERROR(D15/C15,0)</f>
        <v>0.92101227518114037</v>
      </c>
      <c r="F15" s="8">
        <f>VLOOKUP($E$15,FATORES!$I$32:$K$34,3)</f>
        <v>0.04</v>
      </c>
      <c r="G15" s="8">
        <f>IFERROR(VLOOKUP($E$15,FATORES!$I$35:$K$36,3),0)</f>
        <v>0</v>
      </c>
      <c r="H15" s="9">
        <f>D15*F15</f>
        <v>427.349692</v>
      </c>
      <c r="I15" s="9">
        <f t="shared" ref="I15:I23" si="0">IF($P$7="ARIEL",
   IF(AND($E$15&gt;=69.5%, AND($E$17&gt;=69.5%, $E$18&gt;=69.5%, $E$18&gt;=69.5%, $E$20&gt;=69.5%, $E$20&gt;=69.5%, $E$22&gt;=69.5%, $E$23&gt;=69.5%)),
      D15*G15,
      0),
   IF(AND($E$15&gt;=69.5%, $E$16&gt;=69.5%, $E$17&gt;=69.5%, $E$18&gt;=69.5%, $E$18&gt;=69.5%, $E$20&gt;=69.5%, $E$20&gt;=69.5%, $E$22&gt;=69.5%, $E$23&gt;=69.5%),
      D15*G15,
      0)
)</f>
        <v>0</v>
      </c>
      <c r="J15" s="9">
        <f>H15+I15</f>
        <v>427.349692</v>
      </c>
      <c r="K15" s="76">
        <f>SUMIFS(REALIZADO[META_MOVEL],REALIZADO[COORDENAÇÃO],$P$7)</f>
        <v>83640</v>
      </c>
      <c r="L15" s="77">
        <f>SUMIFS(PROJEÇÃO[PROJ_MOVEL],PROJEÇÃO[COORDENAÇÃO],$P$7)</f>
        <v>77669.213200000013</v>
      </c>
      <c r="M15" s="49">
        <f>IFERROR(L15/K15,0)</f>
        <v>0.92861326159732205</v>
      </c>
      <c r="N15" s="8">
        <f>IF($M$15&gt;=FATORES!$I$37,FATORES!$K$37,0)</f>
        <v>0</v>
      </c>
      <c r="O15" s="14">
        <f>IF(E15&gt;=100%,
   IF($P$7="ARIEL",
      IF(AND($E$15&gt;=69.5%,$E$17&gt;=69.5%,$E$18&gt;=69.5%,$E$20&gt;=69.5%,$E$22&gt;=69.5%,$E$23&gt;=69.5%),
         D15*N15,
         0
      ),
      IF(AND($E$15&gt;=69.5%,$E$16&gt;=69.5%,$E$17&gt;=69.5%,$E$18&gt;=69.5%,$E$20&gt;=69.5%,$E$22&gt;=69.5%,$E$23&gt;=69.5%),
         D15*N15,
         0
      )
   ),
0)</f>
        <v>0</v>
      </c>
      <c r="P15" s="10">
        <f>J15+O15</f>
        <v>427.349692</v>
      </c>
      <c r="Q15" s="11">
        <f>IF($B$8=2,P15*0.05,0)</f>
        <v>0</v>
      </c>
      <c r="R15" s="11">
        <f>IF($B$8=3,P15*0.15,0)</f>
        <v>0</v>
      </c>
      <c r="S15" s="98">
        <v>0.1</v>
      </c>
      <c r="T15" s="124">
        <f>SUM(P24:S24)</f>
        <v>746.80239112499999</v>
      </c>
    </row>
    <row r="16" spans="2:24" x14ac:dyDescent="0.35">
      <c r="B16" s="46" t="s">
        <v>13</v>
      </c>
      <c r="C16" s="76">
        <f>SUMIFS(REALIZADO[META_FIXA],REALIZADO[PDV],LARANJEIRAS!$M$7)</f>
        <v>4999.9998999999998</v>
      </c>
      <c r="D16" s="77">
        <f>SUMIFS(PROJEÇÃO[PROJ_FIXA],PROJEÇÃO[PDV],LARANJEIRAS!$M$7)</f>
        <v>4982.18</v>
      </c>
      <c r="E16" s="50">
        <f>IFERROR(D16/C16,0)</f>
        <v>0.99643601992872055</v>
      </c>
      <c r="F16" s="12">
        <f>VLOOKUP($E$16,FATORES!$I$40:$K$42,3)</f>
        <v>0.04</v>
      </c>
      <c r="G16" s="12">
        <f>IFERROR(VLOOKUP($E$16,FATORES!$I$43:$K$44,3),0)</f>
        <v>0</v>
      </c>
      <c r="H16" s="65">
        <f t="shared" ref="H16:H23" si="1">D16*F16</f>
        <v>199.28720000000001</v>
      </c>
      <c r="I16" s="65">
        <f t="shared" si="0"/>
        <v>0</v>
      </c>
      <c r="J16" s="65">
        <f t="shared" ref="J16:J23" si="2">H16+I16</f>
        <v>199.28720000000001</v>
      </c>
      <c r="K16" s="76">
        <f>SUMIFS(REALIZADO[META_FIXA],REALIZADO[COORDENAÇÃO],$P$7)</f>
        <v>36849.999799999998</v>
      </c>
      <c r="L16" s="77">
        <f>SUMIFS(PROJEÇÃO[PROJ_FIXA],PROJEÇÃO[COORDENAÇÃO],$P$7)</f>
        <v>42376.122200000013</v>
      </c>
      <c r="M16" s="50">
        <f t="shared" ref="M16:M17" si="3">IFERROR(L16/K16,0)</f>
        <v>1.1499626168247636</v>
      </c>
      <c r="N16" s="12">
        <f>IF($M$16&gt;=FATORES!$I$45,FATORES!$K$45,0)</f>
        <v>0.03</v>
      </c>
      <c r="O16" s="14">
        <f t="shared" ref="O16:O23" si="4">IF(E16&gt;=100%,
   IF($P$7="ARIEL",
      IF(AND($E$15&gt;=69.5%,$E$17&gt;=69.5%,$E$18&gt;=69.5%,$E$20&gt;=69.5%,$E$22&gt;=69.5%,$E$23&gt;=69.5%),
         D16*N16,
         0
      ),
      IF(AND($E$15&gt;=69.5%,$E$16&gt;=69.5%,$E$17&gt;=69.5%,$E$18&gt;=69.5%,$E$20&gt;=69.5%,$E$22&gt;=69.5%,$E$23&gt;=69.5%),
         D16*N16,
         0
      )
   ),
0)</f>
        <v>0</v>
      </c>
      <c r="P16" s="13">
        <f t="shared" ref="P16:P23" si="5">J16+O16</f>
        <v>199.28720000000001</v>
      </c>
      <c r="Q16" s="15">
        <f>IF($C$8=2,P16*0.05,0)</f>
        <v>0</v>
      </c>
      <c r="R16" s="15">
        <f>IF($C$8=3,P16*0.15,0)</f>
        <v>0</v>
      </c>
      <c r="S16" s="99"/>
      <c r="T16" s="125"/>
    </row>
    <row r="17" spans="2:20" x14ac:dyDescent="0.35">
      <c r="B17" s="46" t="s">
        <v>231</v>
      </c>
      <c r="C17" s="53">
        <f>SUMIFS(REALIZADO[META_SMARTPHONE],REALIZADO[PDV],LARANJEIRAS!$M$7)</f>
        <v>129999.99979999999</v>
      </c>
      <c r="D17" s="78">
        <f>SUMIFS(PROJEÇÃO[PROJ_APARELHO],PROJEÇÃO[PDV],LARANJEIRAS!$M$7)</f>
        <v>148890.3333</v>
      </c>
      <c r="E17" s="50">
        <f>IFERROR(D17/C17,0)</f>
        <v>1.1453102579158621</v>
      </c>
      <c r="F17" s="12">
        <f>VLOOKUP($E$17,FATORES!$B$53:$D$54,3)</f>
        <v>5.0000000000000001E-4</v>
      </c>
      <c r="G17" s="12">
        <f>IFERROR(VLOOKUP($E$17,FATORES!$B$55:$D$55,3),0)</f>
        <v>1E-3</v>
      </c>
      <c r="H17" s="65">
        <f t="shared" si="1"/>
        <v>74.445166650000004</v>
      </c>
      <c r="I17" s="65">
        <f t="shared" si="0"/>
        <v>0</v>
      </c>
      <c r="J17" s="65">
        <f t="shared" si="2"/>
        <v>74.445166650000004</v>
      </c>
      <c r="K17" s="53">
        <f>SUMIFS(REALIZADO[META_SMARTPHONE],REALIZADO[COORDENAÇÃO],$P$7)</f>
        <v>1296000</v>
      </c>
      <c r="L17" s="78">
        <f>SUMIFS(PROJEÇÃO[PROJ_APARELHO],PROJEÇÃO[COORDENAÇÃO],$P$7)</f>
        <v>1267838.5443</v>
      </c>
      <c r="M17" s="50">
        <f t="shared" si="3"/>
        <v>0.97827048171296294</v>
      </c>
      <c r="N17" s="12">
        <f>IF($M$17&gt;=FATORES!$B$56,FATORES!$D$56,0)</f>
        <v>0</v>
      </c>
      <c r="O17" s="14">
        <f t="shared" si="4"/>
        <v>0</v>
      </c>
      <c r="P17" s="13">
        <f t="shared" si="5"/>
        <v>74.445166650000004</v>
      </c>
      <c r="Q17" s="15">
        <f>IF($D$8=2,P17*0.05,0)</f>
        <v>0</v>
      </c>
      <c r="R17" s="15">
        <f>IF($D$8=3,P17*0.15,0)</f>
        <v>0</v>
      </c>
      <c r="S17" s="99"/>
      <c r="T17" s="125"/>
    </row>
    <row r="18" spans="2:20" x14ac:dyDescent="0.35">
      <c r="B18" s="47" t="s">
        <v>232</v>
      </c>
      <c r="C18" s="121">
        <f>SUMIFS(REALIZADO[META_ACESSORIO],REALIZADO[PDV],LARANJEIRAS!$M$7)</f>
        <v>13899.999899999999</v>
      </c>
      <c r="D18" s="86">
        <f>SUMIFS(PROJEÇÃO[PROJ_ELETRO_A],PROJEÇÃO[PDV],LARANJEIRAS!$M$7)</f>
        <v>798</v>
      </c>
      <c r="E18" s="123">
        <f>IFERROR((D18+D19)/C18,0)</f>
        <v>0.3042126280878607</v>
      </c>
      <c r="F18" s="12">
        <f>VLOOKUP($E$18,FATORES!$B$44:$E$46,3)</f>
        <v>5.0000000000000001E-4</v>
      </c>
      <c r="G18" s="12">
        <f>IFERROR(VLOOKUP($E$18,FATORES!$B$47:$E$48,3),0)</f>
        <v>0</v>
      </c>
      <c r="H18" s="65">
        <f t="shared" si="1"/>
        <v>0.39900000000000002</v>
      </c>
      <c r="I18" s="65">
        <f t="shared" si="0"/>
        <v>0</v>
      </c>
      <c r="J18" s="65">
        <f t="shared" si="2"/>
        <v>0.39900000000000002</v>
      </c>
      <c r="K18" s="121">
        <f>SUMIFS(REALIZADO[META_ACESSORIO],REALIZADO[COORDENAÇÃO],$P$7)</f>
        <v>141750</v>
      </c>
      <c r="L18" s="86">
        <f>SUMIFS(PROJEÇÃO[PROJ_ELETRO_A],PROJEÇÃO[COORDENAÇÃO],$P$7)</f>
        <v>2847.8889000000004</v>
      </c>
      <c r="M18" s="97">
        <f>IFERROR((L18+L19)/K18,0)</f>
        <v>1.1761539851851854</v>
      </c>
      <c r="N18" s="12">
        <f>IF($M$18&gt;=FATORES!$B$49,FATORES!$D$49,0)</f>
        <v>2.5000000000000001E-3</v>
      </c>
      <c r="O18" s="14">
        <f t="shared" si="4"/>
        <v>0</v>
      </c>
      <c r="P18" s="13">
        <f t="shared" si="5"/>
        <v>0.39900000000000002</v>
      </c>
      <c r="Q18" s="15">
        <f>IF($E$8=2,P18*0.05,0)</f>
        <v>0</v>
      </c>
      <c r="R18" s="15">
        <f>IF($E$8=3,P18*0.15,0)</f>
        <v>0</v>
      </c>
      <c r="S18" s="99"/>
      <c r="T18" s="125"/>
    </row>
    <row r="19" spans="2:20" x14ac:dyDescent="0.35">
      <c r="B19" s="47" t="s">
        <v>233</v>
      </c>
      <c r="C19" s="122"/>
      <c r="D19" s="87">
        <f>SUMIFS(PROJEÇÃO[PROJ_ELETRO_B],PROJEÇÃO[PDV],LARANJEIRAS!$M$7)</f>
        <v>3430.5555000000004</v>
      </c>
      <c r="E19" s="123"/>
      <c r="F19" s="12">
        <f>VLOOKUP($E$18,FATORES!$B$44:$E$46,4)</f>
        <v>2.5000000000000001E-4</v>
      </c>
      <c r="G19" s="12">
        <f>IFERROR(VLOOKUP($E$18,FATORES!$B$47:$E$48,4),0)</f>
        <v>0</v>
      </c>
      <c r="H19" s="65">
        <f t="shared" si="1"/>
        <v>0.85763887500000013</v>
      </c>
      <c r="I19" s="65">
        <f t="shared" si="0"/>
        <v>0</v>
      </c>
      <c r="J19" s="65">
        <f t="shared" si="2"/>
        <v>0.85763887500000013</v>
      </c>
      <c r="K19" s="122"/>
      <c r="L19" s="87">
        <f>SUMIFS(PROJEÇÃO[PROJ_ELETRO_B],PROJEÇÃO[COORDENAÇÃO],$P$7)</f>
        <v>163871.93850000005</v>
      </c>
      <c r="M19" s="97"/>
      <c r="N19" s="12">
        <f>IF($M$18&gt;=FATORES!$B$49,FATORES!$E$49,0)</f>
        <v>1.25E-3</v>
      </c>
      <c r="O19" s="14">
        <f t="shared" si="4"/>
        <v>0</v>
      </c>
      <c r="P19" s="13">
        <f t="shared" si="5"/>
        <v>0.85763887500000013</v>
      </c>
      <c r="Q19" s="15">
        <f>IF($E$8=2,P19*0.05,0)</f>
        <v>0</v>
      </c>
      <c r="R19" s="15">
        <f>IF($E$8=3,P19*0.15,0)</f>
        <v>0</v>
      </c>
      <c r="S19" s="99"/>
      <c r="T19" s="125"/>
    </row>
    <row r="20" spans="2:20" x14ac:dyDescent="0.35">
      <c r="B20" s="46" t="s">
        <v>234</v>
      </c>
      <c r="C20" s="121">
        <f>SUMIFS(REALIZADO[META_ESSENCIAIS],REALIZADO[PDV],LARANJEIRAS!$M$7)</f>
        <v>7100.0001000000002</v>
      </c>
      <c r="D20" s="86">
        <f>SUMIFS(PROJEÇÃO[PROJ_ESSEN_A],PROJEÇÃO[PDV],LARANJEIRAS!$M$7)</f>
        <v>4123</v>
      </c>
      <c r="E20" s="123">
        <f>IFERROR((D20+D21)/C20,0)</f>
        <v>1.2066040393436051</v>
      </c>
      <c r="F20" s="12">
        <f>VLOOKUP($E$20,FATORES!$B$34:$E$36,3)</f>
        <v>1.5E-3</v>
      </c>
      <c r="G20" s="12">
        <f>IFERROR(VLOOKUP($E$20,FATORES!$B$37:$E$38,3),0)</f>
        <v>6.0000000000000001E-3</v>
      </c>
      <c r="H20" s="65">
        <f t="shared" si="1"/>
        <v>6.1844999999999999</v>
      </c>
      <c r="I20" s="65">
        <f t="shared" si="0"/>
        <v>0</v>
      </c>
      <c r="J20" s="65">
        <f t="shared" si="2"/>
        <v>6.1844999999999999</v>
      </c>
      <c r="K20" s="121">
        <f>SUMIFS(REALIZADO[META_ESSENCIAIS],REALIZADO[COORDENAÇÃO],$P$7)</f>
        <v>80500.0003</v>
      </c>
      <c r="L20" s="86">
        <f>SUMIFS(PROJEÇÃO[PROJ_ESSEN_A],PROJEÇÃO[COORDENAÇÃO],$P$7)</f>
        <v>32670.500100000008</v>
      </c>
      <c r="M20" s="97">
        <f>IFERROR((L20+L21)/K20,0)</f>
        <v>0.97865446467582207</v>
      </c>
      <c r="N20" s="12">
        <f>IF($M$20&gt;=FATORES!$B$39,FATORES!$D$39,0)</f>
        <v>0</v>
      </c>
      <c r="O20" s="14">
        <f t="shared" si="4"/>
        <v>0</v>
      </c>
      <c r="P20" s="13">
        <f t="shared" si="5"/>
        <v>6.1844999999999999</v>
      </c>
      <c r="Q20" s="15">
        <f>IF($F$8=2,P20*0.05,0)</f>
        <v>0</v>
      </c>
      <c r="R20" s="15">
        <f>IF($F$8=3,P20*0.15,0)</f>
        <v>0</v>
      </c>
      <c r="S20" s="99"/>
      <c r="T20" s="125"/>
    </row>
    <row r="21" spans="2:20" x14ac:dyDescent="0.35">
      <c r="B21" s="46" t="s">
        <v>235</v>
      </c>
      <c r="C21" s="122"/>
      <c r="D21" s="87">
        <f>SUMIFS(PROJEÇÃO[PROJ_ESSEN_B],PROJEÇÃO[PDV],LARANJEIRAS!$M$7)</f>
        <v>4443.8888000000006</v>
      </c>
      <c r="E21" s="123"/>
      <c r="F21" s="12">
        <f>VLOOKUP($E$20,FATORES!$B$34:$E$36,4)</f>
        <v>7.5000000000000002E-4</v>
      </c>
      <c r="G21" s="12">
        <f>IFERROR(VLOOKUP($E$20,FATORES!$B$37:$E$38,4),0)</f>
        <v>3.0000000000000001E-3</v>
      </c>
      <c r="H21" s="65">
        <f t="shared" si="1"/>
        <v>3.3329166000000003</v>
      </c>
      <c r="I21" s="65">
        <f t="shared" si="0"/>
        <v>0</v>
      </c>
      <c r="J21" s="65">
        <f t="shared" si="2"/>
        <v>3.3329166000000003</v>
      </c>
      <c r="K21" s="122"/>
      <c r="L21" s="87">
        <f>SUMIFS(PROJEÇÃO[PROJ_ESSEN_B],PROJEÇÃO[COORDENAÇÃO],$P$7)</f>
        <v>46111.184600000001</v>
      </c>
      <c r="M21" s="97"/>
      <c r="N21" s="12">
        <f>IF($M$20&gt;=FATORES!$B$39,FATORES!$E$39,0)</f>
        <v>0</v>
      </c>
      <c r="O21" s="14">
        <f t="shared" si="4"/>
        <v>0</v>
      </c>
      <c r="P21" s="13">
        <f t="shared" si="5"/>
        <v>3.3329166000000003</v>
      </c>
      <c r="Q21" s="15">
        <f>IF($F$8=2,P21*0.05,0)</f>
        <v>0</v>
      </c>
      <c r="R21" s="15">
        <f>IF($F$8=3,P21*0.15,0)</f>
        <v>0</v>
      </c>
      <c r="S21" s="99"/>
      <c r="T21" s="125"/>
    </row>
    <row r="22" spans="2:20" x14ac:dyDescent="0.35">
      <c r="B22" s="46" t="s">
        <v>212</v>
      </c>
      <c r="C22" s="57">
        <f>SUMIFS(REALIZADO[META_SEGUROS],REALIZADO[PDV],LARANJEIRAS!$M$7)</f>
        <v>680.00019999999995</v>
      </c>
      <c r="D22" s="79">
        <f>SUMIFS(PROJEÇÃO[PROJ_SEGURO],PROJEÇÃO[PDV],LARANJEIRAS!$M$7)</f>
        <v>676.61109999999996</v>
      </c>
      <c r="E22" s="83">
        <f>IFERROR(D22/C22,0)</f>
        <v>0.99501603087763801</v>
      </c>
      <c r="F22" s="83">
        <f>VLOOKUP($E$22,FATORES!$O$32:$Q$34,3)</f>
        <v>0.04</v>
      </c>
      <c r="G22" s="12">
        <f>IFERROR(VLOOKUP($E$22,FATORES!$O$35:$Q$36,3),0)</f>
        <v>0</v>
      </c>
      <c r="H22" s="65">
        <f t="shared" si="1"/>
        <v>27.064443999999998</v>
      </c>
      <c r="I22" s="65">
        <f t="shared" si="0"/>
        <v>0</v>
      </c>
      <c r="J22" s="65">
        <f t="shared" si="2"/>
        <v>27.064443999999998</v>
      </c>
      <c r="K22" s="57">
        <f>SUMIFS(REALIZADO[META_SEGUROS],REALIZADO[COORDENAÇÃO],$P$7)</f>
        <v>8560.0000999999993</v>
      </c>
      <c r="L22" s="79">
        <f>SUMIFS(PROJEÇÃO[PROJ_SEGURO],PROJEÇÃO[COORDENAÇÃO],$P$7)</f>
        <v>8140.4447</v>
      </c>
      <c r="M22" s="50">
        <f t="shared" ref="M22:M23" si="6">IFERROR(L22/K22,0)</f>
        <v>0.95098651926417621</v>
      </c>
      <c r="N22" s="12">
        <f>IF($M$22&gt;=FATORES!$O$37,FATORES!$Q$37,0)</f>
        <v>0</v>
      </c>
      <c r="O22" s="14">
        <f t="shared" si="4"/>
        <v>0</v>
      </c>
      <c r="P22" s="13">
        <f t="shared" si="5"/>
        <v>27.064443999999998</v>
      </c>
      <c r="Q22" s="15">
        <f>IF($G$8=2,P22*0.05,0)</f>
        <v>0</v>
      </c>
      <c r="R22" s="15">
        <f>IF($G$8=3,P22*0.15,0)</f>
        <v>0</v>
      </c>
      <c r="S22" s="99"/>
      <c r="T22" s="125"/>
    </row>
    <row r="23" spans="2:20" x14ac:dyDescent="0.35">
      <c r="B23" s="48" t="s">
        <v>14</v>
      </c>
      <c r="C23" s="76">
        <f>SUMIFS(REALIZADO[META_SVA],REALIZADO[PDV],LARANJEIRAS!$M$7)</f>
        <v>799.99990000000003</v>
      </c>
      <c r="D23" s="77">
        <f>SUMIFS(PROJEÇÃO[PROJ_SVA],PROJEÇÃO[PDV],LARANJEIRAS!$M$7)</f>
        <v>1576.3666000000001</v>
      </c>
      <c r="E23" s="82">
        <f>IFERROR(D23/C23,0)</f>
        <v>1.970458496307312</v>
      </c>
      <c r="F23" s="16">
        <f>IF($E$23&gt;=0,FATORES!$Q$40)</f>
        <v>5.0000000000000001E-3</v>
      </c>
      <c r="G23" s="16">
        <f>IFERROR(VLOOKUP($E$23,FATORES!$O$43:$Q$44,3),0)</f>
        <v>5.0000000000000001E-3</v>
      </c>
      <c r="H23" s="17">
        <f t="shared" si="1"/>
        <v>7.8818330000000003</v>
      </c>
      <c r="I23" s="65">
        <f t="shared" si="0"/>
        <v>0</v>
      </c>
      <c r="J23" s="17">
        <f t="shared" si="2"/>
        <v>7.8818330000000003</v>
      </c>
      <c r="K23" s="76">
        <f>SUMIFS(REALIZADO[META_SVA],REALIZADO[COORDENAÇÃO],$P$7)</f>
        <v>7799.9998999999989</v>
      </c>
      <c r="L23" s="77">
        <f>SUMIFS(PROJEÇÃO[PROJ_SVA],PROJEÇÃO[COORDENAÇÃO],$P$7)</f>
        <v>10286.177699999998</v>
      </c>
      <c r="M23" s="51">
        <f t="shared" si="6"/>
        <v>1.3187407476761634</v>
      </c>
      <c r="N23" s="16">
        <f>IF($M$23&gt;=FATORES!$O$45,FATORES!$Q$45,0)</f>
        <v>5.0000000000000001E-3</v>
      </c>
      <c r="O23" s="14">
        <f t="shared" si="4"/>
        <v>0</v>
      </c>
      <c r="P23" s="18">
        <f t="shared" si="5"/>
        <v>7.8818330000000003</v>
      </c>
      <c r="Q23" s="19">
        <f>IF($H$8=2,P23*0.05,0)</f>
        <v>0</v>
      </c>
      <c r="R23" s="19">
        <f>IF($H$8=3,P23*0.15,0)</f>
        <v>0</v>
      </c>
      <c r="S23" s="100"/>
      <c r="T23" s="126"/>
    </row>
    <row r="24" spans="2:20" x14ac:dyDescent="0.35">
      <c r="B24" s="66"/>
      <c r="C24" s="67"/>
      <c r="D24" s="67"/>
      <c r="E24" s="67"/>
      <c r="F24" s="67"/>
      <c r="G24" s="67"/>
      <c r="H24" s="67"/>
      <c r="I24" s="67"/>
      <c r="J24" s="68"/>
      <c r="K24" s="69"/>
      <c r="L24" s="67"/>
      <c r="M24" s="67"/>
      <c r="N24" s="67"/>
      <c r="O24" s="67"/>
      <c r="P24" s="70">
        <f>SUM(P15:P23)</f>
        <v>746.80239112499999</v>
      </c>
      <c r="Q24" s="70">
        <f t="shared" ref="Q24:R24" si="7">SUM(Q15:Q23)</f>
        <v>0</v>
      </c>
      <c r="R24" s="70">
        <f t="shared" si="7"/>
        <v>0</v>
      </c>
      <c r="S24" s="71" t="str">
        <f>IF($P$7="ARIEL",IF(MIN(E15,E17,E18,E19,E20,E22,E23)&gt;=100%,SUM(P24:R24)*S15,""),IF(MIN(E15:E23)&gt;=100%,SUM(P24:R24)*S15,""))</f>
        <v/>
      </c>
      <c r="T24" s="72"/>
    </row>
    <row r="25" spans="2:20" ht="16.149999999999999" customHeight="1" x14ac:dyDescent="0.35">
      <c r="B25" s="80"/>
      <c r="C25" s="6"/>
      <c r="D25" s="6"/>
      <c r="E25" s="6"/>
      <c r="F25" s="6"/>
      <c r="G25" s="6"/>
      <c r="H25" s="6"/>
      <c r="T25" s="61"/>
    </row>
    <row r="26" spans="2:20" ht="18.5" x14ac:dyDescent="0.35">
      <c r="B26" s="141" t="s">
        <v>236</v>
      </c>
      <c r="C26" s="142"/>
      <c r="D26" s="142"/>
      <c r="E26" s="142"/>
      <c r="F26" s="142"/>
      <c r="G26" s="142"/>
      <c r="H26" s="142"/>
      <c r="I26" s="142"/>
      <c r="J26" s="142"/>
      <c r="K26" s="142"/>
      <c r="L26" s="142"/>
      <c r="M26" s="142"/>
      <c r="N26" s="142"/>
      <c r="O26" s="142"/>
      <c r="P26" s="142"/>
      <c r="Q26" s="142"/>
      <c r="R26" s="142"/>
      <c r="S26" s="142"/>
      <c r="T26" s="142"/>
    </row>
    <row r="27" spans="2:20" x14ac:dyDescent="0.35">
      <c r="B27" s="129" t="s">
        <v>9</v>
      </c>
      <c r="C27" s="130"/>
      <c r="D27" s="130"/>
      <c r="E27" s="130"/>
      <c r="F27" s="130"/>
      <c r="G27" s="130"/>
      <c r="H27" s="130"/>
      <c r="I27" s="130"/>
      <c r="J27" s="131"/>
      <c r="K27" s="132" t="s">
        <v>54</v>
      </c>
      <c r="L27" s="130"/>
      <c r="M27" s="130"/>
      <c r="N27" s="130"/>
      <c r="O27" s="130"/>
      <c r="P27" s="130"/>
      <c r="Q27" s="130"/>
      <c r="R27" s="130"/>
      <c r="S27" s="130"/>
      <c r="T27" s="133"/>
    </row>
    <row r="28" spans="2:20" ht="14.5" customHeight="1" x14ac:dyDescent="0.35">
      <c r="B28" s="115" t="s">
        <v>214</v>
      </c>
      <c r="C28" s="116" t="s">
        <v>237</v>
      </c>
      <c r="D28" s="117"/>
      <c r="E28" s="104"/>
      <c r="F28" s="135" t="s">
        <v>216</v>
      </c>
      <c r="G28" s="135" t="s">
        <v>217</v>
      </c>
      <c r="H28" s="135" t="s">
        <v>218</v>
      </c>
      <c r="I28" s="135" t="s">
        <v>219</v>
      </c>
      <c r="J28" s="135" t="s">
        <v>220</v>
      </c>
      <c r="K28" s="116" t="s">
        <v>238</v>
      </c>
      <c r="L28" s="117"/>
      <c r="M28" s="104"/>
      <c r="N28" s="127" t="s">
        <v>222</v>
      </c>
      <c r="O28" s="127" t="s">
        <v>223</v>
      </c>
      <c r="P28" s="127" t="s">
        <v>224</v>
      </c>
      <c r="Q28" s="127" t="s">
        <v>225</v>
      </c>
      <c r="R28" s="127" t="s">
        <v>226</v>
      </c>
      <c r="S28" s="127" t="s">
        <v>227</v>
      </c>
      <c r="T28" s="137" t="s">
        <v>228</v>
      </c>
    </row>
    <row r="29" spans="2:20" ht="14.5" customHeight="1" x14ac:dyDescent="0.35">
      <c r="B29" s="134"/>
      <c r="C29" s="94" t="s">
        <v>229</v>
      </c>
      <c r="D29" s="139" t="s">
        <v>230</v>
      </c>
      <c r="E29" s="140"/>
      <c r="F29" s="136"/>
      <c r="G29" s="136"/>
      <c r="H29" s="136"/>
      <c r="I29" s="136"/>
      <c r="J29" s="136"/>
      <c r="K29" s="52" t="s">
        <v>229</v>
      </c>
      <c r="L29" s="139" t="s">
        <v>230</v>
      </c>
      <c r="M29" s="140"/>
      <c r="N29" s="128"/>
      <c r="O29" s="128"/>
      <c r="P29" s="128"/>
      <c r="Q29" s="128"/>
      <c r="R29" s="128"/>
      <c r="S29" s="128"/>
      <c r="T29" s="138"/>
    </row>
    <row r="30" spans="2:20" x14ac:dyDescent="0.35">
      <c r="B30" s="45" t="s">
        <v>2</v>
      </c>
      <c r="C30" s="76">
        <f>SUMIFS(REALIZADO[META_MOVEL],REALIZADO[PDV],LARANJEIRAS!$M$7)</f>
        <v>11599.999899999999</v>
      </c>
      <c r="D30" s="77">
        <f>SUMIFS(REALIZADO[AT_MOVEL],REALIZADO[PDV],LARANJEIRAS!$M$7)</f>
        <v>1615.01</v>
      </c>
      <c r="E30" s="49">
        <f>IFERROR(D30/C30,0)</f>
        <v>0.13922500120021555</v>
      </c>
      <c r="F30" s="8">
        <f>VLOOKUP($E$30,FATORES!$I$32:$K$34,3)</f>
        <v>5.0000000000000001E-3</v>
      </c>
      <c r="G30" s="8">
        <f>IFERROR(VLOOKUP($E$30,FATORES!$I$35:$K$36,3),0)</f>
        <v>0</v>
      </c>
      <c r="H30" s="9">
        <f>D30*F30</f>
        <v>8.0750500000000009</v>
      </c>
      <c r="I30" s="9">
        <f t="shared" ref="I30:I38" si="8">IF($P$7="ARIEL",
   IF(AND($E$30&gt;=69.5%, AND($E$32&gt;=69.5%, $E$33&gt;=69.5%, $E$33&gt;=69.5%, $E$35&gt;=69.5%, $E$35&gt;=69.5%, $E$37&gt;=69.5%, $E$38&gt;=69.5%)),
      D30*G30,
      0),
   IF(AND($E$30&gt;=69.5%, $E$31&gt;=69.5%, $E$32&gt;=69.5%, $E$33&gt;=69.5%, $E$33&gt;=69.5%, $E$35&gt;=69.5%, $E$35&gt;=69.5%, $E$37&gt;=69.5%, $E$38&gt;=69.5%),
      D30*G30,
      0)
)</f>
        <v>0</v>
      </c>
      <c r="J30" s="9">
        <f>H30+I30</f>
        <v>8.0750500000000009</v>
      </c>
      <c r="K30" s="76">
        <f>SUMIFS(REALIZADO[META_MOVEL],REALIZADO[COORDENAÇÃO],$P$7)</f>
        <v>83640</v>
      </c>
      <c r="L30" s="77">
        <f>SUMIFS(REALIZADO[AT_MOVEL],REALIZADO[COORDENAÇÃO],$P$7)</f>
        <v>10363.76</v>
      </c>
      <c r="M30" s="49">
        <f>IFERROR(L30/K30,0)</f>
        <v>0.1239091343854615</v>
      </c>
      <c r="N30" s="8">
        <f>IF($M$30&gt;=FATORES!$I$37,FATORES!$K$37,0)</f>
        <v>0</v>
      </c>
      <c r="O30" s="14">
        <f>IF(E30&gt;=100%,
IF($P$7="ARIEL",
IF(AND($E$30&gt;=69.5%,$E$32&gt;=69.5%,$E$33&gt;=69.5%,$E$35&gt;=69.5%,$E$37&gt;=69.5%,$E$38&gt;=69.5%),
D30*N30,
0),
IF(AND($E$30&gt;=69.5%,$E$31&gt;=69.5%,$E$32&gt;=69.5%,$E$33&gt;=69.5%,$E$35&gt;=69.5%,$E$37&gt;=69.5%,$E$38&gt;=69.5%),
D30*N30,
0)
),0)</f>
        <v>0</v>
      </c>
      <c r="P30" s="10">
        <f>J30+O30</f>
        <v>8.0750500000000009</v>
      </c>
      <c r="Q30" s="11">
        <f>IF($B$8=2,P30*0.05,0)</f>
        <v>0</v>
      </c>
      <c r="R30" s="11">
        <f>IF($B$8=3,P30*0.15,0)</f>
        <v>0</v>
      </c>
      <c r="S30" s="98">
        <v>0.1</v>
      </c>
      <c r="T30" s="124">
        <f>SUM(P39:S39)</f>
        <v>16.966349999999995</v>
      </c>
    </row>
    <row r="31" spans="2:20" x14ac:dyDescent="0.35">
      <c r="B31" s="46" t="s">
        <v>13</v>
      </c>
      <c r="C31" s="76">
        <f>SUMIFS(REALIZADO[META_FIXA],REALIZADO[PDV],LARANJEIRAS!$M$7)</f>
        <v>4999.9998999999998</v>
      </c>
      <c r="D31" s="77">
        <f>SUMIFS(REALIZADO[AT_FIXA],REALIZADO[PDV],LARANJEIRAS!$M$7)</f>
        <v>865</v>
      </c>
      <c r="E31" s="50">
        <f>IFERROR(D31/C31,0)</f>
        <v>0.17300000346000008</v>
      </c>
      <c r="F31" s="12">
        <f>VLOOKUP($E$31,FATORES!$I$40:$K$42,3)</f>
        <v>5.0000000000000001E-3</v>
      </c>
      <c r="G31" s="12">
        <f>IFERROR(VLOOKUP($E$31,FATORES!$I$43:$K$44,3),0)</f>
        <v>0</v>
      </c>
      <c r="H31" s="65">
        <f t="shared" ref="H31:H38" si="9">D31*F31</f>
        <v>4.3250000000000002</v>
      </c>
      <c r="I31" s="65">
        <f t="shared" si="8"/>
        <v>0</v>
      </c>
      <c r="J31" s="65">
        <f t="shared" ref="J31:J38" si="10">H31+I31</f>
        <v>4.3250000000000002</v>
      </c>
      <c r="K31" s="76">
        <f>SUMIFS(REALIZADO[META_FIXA],REALIZADO[COORDENAÇÃO],$P$7)</f>
        <v>36849.999799999998</v>
      </c>
      <c r="L31" s="77">
        <f>SUMIFS(REALIZADO[AT_FIXA],REALIZADO[COORDENAÇÃO],$P$7)</f>
        <v>4391.01</v>
      </c>
      <c r="M31" s="50">
        <f t="shared" ref="M31:M32" si="11">IFERROR(L31/K31,0)</f>
        <v>0.11915902371321045</v>
      </c>
      <c r="N31" s="12">
        <f>IF($M$31&gt;=FATORES!$I$45,FATORES!$K$45,0)</f>
        <v>0</v>
      </c>
      <c r="O31" s="14">
        <f t="shared" ref="O31:O38" si="12">IF(E31&gt;=100%,
IF($P$7="ARIEL",
IF(AND($E$30&gt;=69.5%,$E$32&gt;=69.5%,$E$33&gt;=69.5%,$E$35&gt;=69.5%,$E$37&gt;=69.5%,$E$38&gt;=69.5%),
D31*N31,
0),
IF(AND($E$30&gt;=69.5%,$E$31&gt;=69.5%,$E$32&gt;=69.5%,$E$33&gt;=69.5%,$E$35&gt;=69.5%,$E$37&gt;=69.5%,$E$38&gt;=69.5%),
D31*N31,
0)
),0)</f>
        <v>0</v>
      </c>
      <c r="P31" s="13">
        <f t="shared" ref="P31:P38" si="13">J31+O31</f>
        <v>4.3250000000000002</v>
      </c>
      <c r="Q31" s="15">
        <f>IF($C$8=2,P31*0.05,0)</f>
        <v>0</v>
      </c>
      <c r="R31" s="15">
        <f>IF($C$8=3,P31*0.15,0)</f>
        <v>0</v>
      </c>
      <c r="S31" s="99"/>
      <c r="T31" s="125"/>
    </row>
    <row r="32" spans="2:20" x14ac:dyDescent="0.35">
      <c r="B32" s="46" t="s">
        <v>231</v>
      </c>
      <c r="C32" s="53">
        <f>SUMIFS(REALIZADO[META_SMARTPHONE],REALIZADO[PDV],LARANJEIRAS!$M$7)</f>
        <v>129999.99979999999</v>
      </c>
      <c r="D32" s="78">
        <f>SUMIFS(REALIZADO[AT_SMARTPHONE],REALIZADO[PDV],LARANJEIRAS!$M$7)</f>
        <v>18294</v>
      </c>
      <c r="E32" s="50">
        <f>IFERROR(D32/C32,0)</f>
        <v>0.14072307713957397</v>
      </c>
      <c r="F32" s="12">
        <f>VLOOKUP($E$32,FATORES!$B$53:$D$54,3)</f>
        <v>2.0000000000000001E-4</v>
      </c>
      <c r="G32" s="12">
        <f>IFERROR(VLOOKUP($E$32,FATORES!$B$55:$D$55,3),0)</f>
        <v>0</v>
      </c>
      <c r="H32" s="65">
        <f t="shared" si="9"/>
        <v>3.6588000000000003</v>
      </c>
      <c r="I32" s="65">
        <f t="shared" si="8"/>
        <v>0</v>
      </c>
      <c r="J32" s="65">
        <f t="shared" si="10"/>
        <v>3.6588000000000003</v>
      </c>
      <c r="K32" s="53">
        <f>SUMIFS(REALIZADO[META_SMARTPHONE],REALIZADO[COORDENAÇÃO],$P$7)</f>
        <v>1296000</v>
      </c>
      <c r="L32" s="78">
        <f>SUMIFS(REALIZADO[AT_SMARTPHONE],REALIZADO[COORDENAÇÃO],$P$7)</f>
        <v>175436.05</v>
      </c>
      <c r="M32" s="50">
        <f t="shared" si="11"/>
        <v>0.1353673225308642</v>
      </c>
      <c r="N32" s="12">
        <f>IF($M$32&gt;=FATORES!$B$56,FATORES!$D$56,0)</f>
        <v>0</v>
      </c>
      <c r="O32" s="14">
        <f t="shared" si="12"/>
        <v>0</v>
      </c>
      <c r="P32" s="13">
        <f t="shared" si="13"/>
        <v>3.6588000000000003</v>
      </c>
      <c r="Q32" s="15">
        <f>IF($D$8=2,P32*0.05,0)</f>
        <v>0</v>
      </c>
      <c r="R32" s="15">
        <f>IF($D$8=3,P32*0.15,0)</f>
        <v>0</v>
      </c>
      <c r="S32" s="99"/>
      <c r="T32" s="125"/>
    </row>
    <row r="33" spans="2:20" x14ac:dyDescent="0.35">
      <c r="B33" s="47" t="s">
        <v>232</v>
      </c>
      <c r="C33" s="121">
        <f>SUMIFS(REALIZADO[META_ACESSORIO],REALIZADO[PDV],LARANJEIRAS!$M$7)</f>
        <v>13899.999899999999</v>
      </c>
      <c r="D33" s="86">
        <f>SUMIFS(REALIZADO[AT_ACESSORIOS_A],REALIZADO[PDV],LARANJEIRAS!$M$7)</f>
        <v>0</v>
      </c>
      <c r="E33" s="123">
        <f>IFERROR((D33+D34)/C33,0)</f>
        <v>0</v>
      </c>
      <c r="F33" s="12">
        <f>VLOOKUP($E$33,FATORES!$B$44:$E$46,3)</f>
        <v>5.0000000000000001E-4</v>
      </c>
      <c r="G33" s="12">
        <f>IFERROR(VLOOKUP($E$33,FATORES!$B$47:$E$48,3),0)</f>
        <v>0</v>
      </c>
      <c r="H33" s="65">
        <f t="shared" si="9"/>
        <v>0</v>
      </c>
      <c r="I33" s="65">
        <f t="shared" si="8"/>
        <v>0</v>
      </c>
      <c r="J33" s="65">
        <f t="shared" si="10"/>
        <v>0</v>
      </c>
      <c r="K33" s="121">
        <f>SUMIFS(REALIZADO[META_ACESSORIO],REALIZADO[COORDENAÇÃO],$P$7)</f>
        <v>141750</v>
      </c>
      <c r="L33" s="86">
        <f>SUMIFS(REALIZADO[AT_ACESSORIOS_A],REALIZADO[COORDENAÇÃO],$P$7)</f>
        <v>0</v>
      </c>
      <c r="M33" s="97">
        <f>IFERROR((L33+L34)/K33,0)</f>
        <v>0.11075132275132275</v>
      </c>
      <c r="N33" s="12">
        <f>IF($M$33&gt;=FATORES!$B$49,FATORES!$D$49,0)</f>
        <v>0</v>
      </c>
      <c r="O33" s="14">
        <f t="shared" si="12"/>
        <v>0</v>
      </c>
      <c r="P33" s="13">
        <f t="shared" si="13"/>
        <v>0</v>
      </c>
      <c r="Q33" s="15">
        <f>IF($E$8=2,P33*0.05,0)</f>
        <v>0</v>
      </c>
      <c r="R33" s="15">
        <f>IF($E$8=3,P33*0.15,0)</f>
        <v>0</v>
      </c>
      <c r="S33" s="99"/>
      <c r="T33" s="125"/>
    </row>
    <row r="34" spans="2:20" x14ac:dyDescent="0.35">
      <c r="B34" s="47" t="s">
        <v>233</v>
      </c>
      <c r="C34" s="122"/>
      <c r="D34" s="87">
        <f>SUMIFS(REALIZADO[AT_ACESSORIOS_B],REALIZADO[PDV],LARANJEIRAS!$M$7)</f>
        <v>0</v>
      </c>
      <c r="E34" s="123"/>
      <c r="F34" s="12">
        <f>VLOOKUP($E$33,FATORES!$B$44:$E$46,4)</f>
        <v>2.5000000000000001E-4</v>
      </c>
      <c r="G34" s="12">
        <f>IFERROR(VLOOKUP($E$33,FATORES!$B$47:$E$48,4),0)</f>
        <v>0</v>
      </c>
      <c r="H34" s="65">
        <f t="shared" si="9"/>
        <v>0</v>
      </c>
      <c r="I34" s="65">
        <f t="shared" si="8"/>
        <v>0</v>
      </c>
      <c r="J34" s="65">
        <f t="shared" si="10"/>
        <v>0</v>
      </c>
      <c r="K34" s="122"/>
      <c r="L34" s="87">
        <f>SUMIFS(REALIZADO[AT_ACESSORIOS_B],REALIZADO[COORDENAÇÃO],$P$7)</f>
        <v>15699</v>
      </c>
      <c r="M34" s="97"/>
      <c r="N34" s="12">
        <f>IF($M$33&gt;=FATORES!$B$49,FATORES!$E$49,0)</f>
        <v>0</v>
      </c>
      <c r="O34" s="14">
        <f t="shared" si="12"/>
        <v>0</v>
      </c>
      <c r="P34" s="13">
        <f t="shared" si="13"/>
        <v>0</v>
      </c>
      <c r="Q34" s="15">
        <f>IF($E$8=2,P34*0.05,0)</f>
        <v>0</v>
      </c>
      <c r="R34" s="15">
        <f>IF($E$8=3,P34*0.15,0)</f>
        <v>0</v>
      </c>
      <c r="S34" s="99"/>
      <c r="T34" s="125"/>
    </row>
    <row r="35" spans="2:20" x14ac:dyDescent="0.35">
      <c r="B35" s="46" t="s">
        <v>234</v>
      </c>
      <c r="C35" s="121">
        <f>SUMIFS(REALIZADO[META_ESSENCIAIS],REALIZADO[PDV],LARANJEIRAS!$M$7)</f>
        <v>7100.0001000000002</v>
      </c>
      <c r="D35" s="86">
        <f>SUMIFS(REALIZADO[AT_ESSENCIAIS_A],REALIZADO[PDV],LARANJEIRAS!$M$7)</f>
        <v>730</v>
      </c>
      <c r="E35" s="123">
        <f>IFERROR((D35+D36)/C35,0)</f>
        <v>0.18394365938107521</v>
      </c>
      <c r="F35" s="12">
        <f>VLOOKUP($E$35,FATORES!$B$34:$E$36,3)</f>
        <v>5.0000000000000001E-4</v>
      </c>
      <c r="G35" s="12">
        <f>IFERROR(VLOOKUP($E$35,FATORES!$B$37:$E$38,3),0)</f>
        <v>0</v>
      </c>
      <c r="H35" s="65">
        <f t="shared" si="9"/>
        <v>0.36499999999999999</v>
      </c>
      <c r="I35" s="65">
        <f t="shared" si="8"/>
        <v>0</v>
      </c>
      <c r="J35" s="65">
        <f t="shared" si="10"/>
        <v>0.36499999999999999</v>
      </c>
      <c r="K35" s="121">
        <f>SUMIFS(REALIZADO[META_ESSENCIAIS],REALIZADO[COORDENAÇÃO],$P$7)</f>
        <v>80500.0003</v>
      </c>
      <c r="L35" s="86">
        <f>SUMIFS(REALIZADO[AT_ESSENCIAIS_A],REALIZADO[COORDENAÇÃO],$P$7)</f>
        <v>5749.95</v>
      </c>
      <c r="M35" s="97">
        <f>IFERROR((L35+L36)/K35,0)</f>
        <v>0.15028074478156242</v>
      </c>
      <c r="N35" s="12">
        <f>IF($M$35&gt;=FATORES!$B$39,FATORES!$D$39,0)</f>
        <v>0</v>
      </c>
      <c r="O35" s="14">
        <f t="shared" si="12"/>
        <v>0</v>
      </c>
      <c r="P35" s="13">
        <f t="shared" si="13"/>
        <v>0.36499999999999999</v>
      </c>
      <c r="Q35" s="15">
        <f>IF($F$8=2,P35*0.05,0)</f>
        <v>0</v>
      </c>
      <c r="R35" s="15">
        <f>IF($F$8=3,P35*0.15,0)</f>
        <v>0</v>
      </c>
      <c r="S35" s="99"/>
      <c r="T35" s="125"/>
    </row>
    <row r="36" spans="2:20" x14ac:dyDescent="0.35">
      <c r="B36" s="46" t="s">
        <v>235</v>
      </c>
      <c r="C36" s="122"/>
      <c r="D36" s="87">
        <f>SUMIFS(REALIZADO[AT_ESSENCIAIS_B],REALIZADO[PDV],LARANJEIRAS!$M$7)</f>
        <v>576</v>
      </c>
      <c r="E36" s="123"/>
      <c r="F36" s="12">
        <f>VLOOKUP($E$35,FATORES!$B$34:$E$36,4)</f>
        <v>2.5000000000000001E-4</v>
      </c>
      <c r="G36" s="12">
        <f>IFERROR(VLOOKUP($E$35,FATORES!$B$37:$E$38,4),0)</f>
        <v>0</v>
      </c>
      <c r="H36" s="65">
        <f t="shared" si="9"/>
        <v>0.14400000000000002</v>
      </c>
      <c r="I36" s="65">
        <f t="shared" si="8"/>
        <v>0</v>
      </c>
      <c r="J36" s="65">
        <f t="shared" si="10"/>
        <v>0.14400000000000002</v>
      </c>
      <c r="K36" s="122"/>
      <c r="L36" s="87">
        <f>SUMIFS(REALIZADO[AT_ESSENCIAIS_B],REALIZADO[COORDENAÇÃO],$P$7)</f>
        <v>6347.65</v>
      </c>
      <c r="M36" s="97"/>
      <c r="N36" s="12">
        <f>IF($M$35&gt;=FATORES!$B$39,FATORES!$E$39,0)</f>
        <v>0</v>
      </c>
      <c r="O36" s="14">
        <f t="shared" si="12"/>
        <v>0</v>
      </c>
      <c r="P36" s="13">
        <f t="shared" si="13"/>
        <v>0.14400000000000002</v>
      </c>
      <c r="Q36" s="15">
        <f>IF($F$8=2,P36*0.05,0)</f>
        <v>0</v>
      </c>
      <c r="R36" s="15">
        <f>IF($F$8=3,P36*0.15,0)</f>
        <v>0</v>
      </c>
      <c r="S36" s="99"/>
      <c r="T36" s="125"/>
    </row>
    <row r="37" spans="2:20" x14ac:dyDescent="0.35">
      <c r="B37" s="46" t="s">
        <v>212</v>
      </c>
      <c r="C37" s="57">
        <f>SUMIFS(REALIZADO[META_SEGUROS],REALIZADO[PDV],LARANJEIRAS!$M$7)</f>
        <v>680.00019999999995</v>
      </c>
      <c r="D37" s="79">
        <f>SUMIFS(REALIZADO[AT_SEGUROS],REALIZADO[PDV],LARANJEIRAS!$M$7)</f>
        <v>0</v>
      </c>
      <c r="E37" s="83">
        <f>IFERROR(D37/C37,0)</f>
        <v>0</v>
      </c>
      <c r="F37" s="83">
        <f>VLOOKUP($E$37,FATORES!$O$32:$Q$34,3)</f>
        <v>5.0000000000000001E-3</v>
      </c>
      <c r="G37" s="12">
        <f>IFERROR(VLOOKUP($E$37,FATORES!$O$35:$Q$36,3),0)</f>
        <v>0</v>
      </c>
      <c r="H37" s="65">
        <f t="shared" si="9"/>
        <v>0</v>
      </c>
      <c r="I37" s="65">
        <f t="shared" si="8"/>
        <v>0</v>
      </c>
      <c r="J37" s="65">
        <f t="shared" si="10"/>
        <v>0</v>
      </c>
      <c r="K37" s="57">
        <f>SUMIFS(REALIZADO[META_SEGUROS],REALIZADO[COORDENAÇÃO],$P$7)</f>
        <v>8560.0000999999993</v>
      </c>
      <c r="L37" s="79">
        <f>SUMIFS(REALIZADO[AT_SEGUROS],REALIZADO[COORDENAÇÃO],$P$7)</f>
        <v>887.5999999999998</v>
      </c>
      <c r="M37" s="50">
        <f t="shared" ref="M37:M38" si="14">IFERROR(L37/K37,0)</f>
        <v>0.1036915875736964</v>
      </c>
      <c r="N37" s="12">
        <f>IF($M$37&gt;=FATORES!$O$37,FATORES!$Q$37,0)</f>
        <v>0</v>
      </c>
      <c r="O37" s="14">
        <f t="shared" si="12"/>
        <v>0</v>
      </c>
      <c r="P37" s="13">
        <f t="shared" si="13"/>
        <v>0</v>
      </c>
      <c r="Q37" s="15">
        <f>IF($G$8=2,P37*0.05,0)</f>
        <v>0</v>
      </c>
      <c r="R37" s="15">
        <f>IF($G$8=3,P37*0.15,0)</f>
        <v>0</v>
      </c>
      <c r="S37" s="99"/>
      <c r="T37" s="125"/>
    </row>
    <row r="38" spans="2:20" x14ac:dyDescent="0.35">
      <c r="B38" s="48" t="s">
        <v>14</v>
      </c>
      <c r="C38" s="76">
        <f>SUMIFS(REALIZADO[META_SVA],REALIZADO[PDV],LARANJEIRAS!$M$7)</f>
        <v>799.99990000000003</v>
      </c>
      <c r="D38" s="77">
        <f>SUMIFS(REALIZADO[AT_SVA],REALIZADO[PDV],LARANJEIRAS!$M$7)</f>
        <v>79.699999999999989</v>
      </c>
      <c r="E38" s="82">
        <f>IFERROR(D38/C38,0)</f>
        <v>9.9625012453126535E-2</v>
      </c>
      <c r="F38" s="16">
        <f>IF($E$38&gt;=0,FATORES!$Q$40)</f>
        <v>5.0000000000000001E-3</v>
      </c>
      <c r="G38" s="16">
        <f>IFERROR(VLOOKUP($E$38,FATORES!$O$43:$Q$44,3),0)</f>
        <v>0</v>
      </c>
      <c r="H38" s="17">
        <f t="shared" si="9"/>
        <v>0.39849999999999997</v>
      </c>
      <c r="I38" s="65">
        <f t="shared" si="8"/>
        <v>0</v>
      </c>
      <c r="J38" s="17">
        <f t="shared" si="10"/>
        <v>0.39849999999999997</v>
      </c>
      <c r="K38" s="76">
        <f>SUMIFS(REALIZADO[META_SVA],REALIZADO[COORDENAÇÃO],$P$7)</f>
        <v>7799.9998999999989</v>
      </c>
      <c r="L38" s="77">
        <f>SUMIFS(REALIZADO[AT_SVA],REALIZADO[COORDENAÇÃO],$P$7)</f>
        <v>1187.3599999999999</v>
      </c>
      <c r="M38" s="51">
        <f t="shared" si="14"/>
        <v>0.15222564297725183</v>
      </c>
      <c r="N38" s="16">
        <f>IF($M$38&gt;=FATORES!$O$45,FATORES!$Q$45,0)</f>
        <v>0</v>
      </c>
      <c r="O38" s="14">
        <f t="shared" si="12"/>
        <v>0</v>
      </c>
      <c r="P38" s="18">
        <f t="shared" si="13"/>
        <v>0.39849999999999997</v>
      </c>
      <c r="Q38" s="19">
        <f>IF($H$8=2,P38*0.05,0)</f>
        <v>0</v>
      </c>
      <c r="R38" s="19">
        <f>IF($H$8=3,P38*0.15,0)</f>
        <v>0</v>
      </c>
      <c r="S38" s="100"/>
      <c r="T38" s="126"/>
    </row>
    <row r="39" spans="2:20" x14ac:dyDescent="0.35">
      <c r="B39" s="66"/>
      <c r="C39" s="67"/>
      <c r="D39" s="67"/>
      <c r="E39" s="67"/>
      <c r="F39" s="67"/>
      <c r="G39" s="67"/>
      <c r="H39" s="67"/>
      <c r="I39" s="67"/>
      <c r="J39" s="68"/>
      <c r="K39" s="69"/>
      <c r="L39" s="67"/>
      <c r="M39" s="67"/>
      <c r="N39" s="67"/>
      <c r="O39" s="67"/>
      <c r="P39" s="70">
        <f>SUM(P30:P38)</f>
        <v>16.966349999999995</v>
      </c>
      <c r="Q39" s="70">
        <f t="shared" ref="Q39:R39" si="15">SUM(Q30:Q38)</f>
        <v>0</v>
      </c>
      <c r="R39" s="70">
        <f t="shared" si="15"/>
        <v>0</v>
      </c>
      <c r="S39" s="71" t="str">
        <f>IF($P$7="ARIEL",IF(MIN(E30,E32,E33,E34,E35,E37,E38)&gt;=100%,SUM(P39:R39)*S30,""),IF(MIN(E30:E38)&gt;=100%,SUM(P39:R39)*S30,""))</f>
        <v/>
      </c>
      <c r="T39" s="72"/>
    </row>
    <row r="41" spans="2:20" ht="18.5" x14ac:dyDescent="0.35">
      <c r="B41" s="107" t="s">
        <v>239</v>
      </c>
      <c r="C41" s="108"/>
      <c r="D41" s="108"/>
      <c r="E41" s="108"/>
      <c r="F41" s="108"/>
      <c r="G41" s="108"/>
      <c r="H41" s="108"/>
      <c r="I41" s="108"/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T41" s="108"/>
    </row>
    <row r="42" spans="2:20" x14ac:dyDescent="0.35">
      <c r="B42" s="109" t="s">
        <v>9</v>
      </c>
      <c r="C42" s="110"/>
      <c r="D42" s="110"/>
      <c r="E42" s="110"/>
      <c r="F42" s="110"/>
      <c r="G42" s="110"/>
      <c r="H42" s="110"/>
      <c r="I42" s="110"/>
      <c r="J42" s="111"/>
      <c r="K42" s="112" t="s">
        <v>54</v>
      </c>
      <c r="L42" s="113"/>
      <c r="M42" s="113"/>
      <c r="N42" s="113"/>
      <c r="O42" s="113"/>
      <c r="P42" s="7"/>
      <c r="Q42" s="7"/>
      <c r="R42" s="7"/>
      <c r="S42" s="7"/>
      <c r="T42" s="64"/>
    </row>
    <row r="43" spans="2:20" ht="14.5" customHeight="1" x14ac:dyDescent="0.35">
      <c r="B43" s="114" t="s">
        <v>214</v>
      </c>
      <c r="C43" s="116" t="s">
        <v>237</v>
      </c>
      <c r="D43" s="117"/>
      <c r="E43" s="104"/>
      <c r="F43" s="118" t="s">
        <v>216</v>
      </c>
      <c r="G43" s="118" t="s">
        <v>217</v>
      </c>
      <c r="H43" s="118" t="s">
        <v>218</v>
      </c>
      <c r="I43" s="118" t="s">
        <v>219</v>
      </c>
      <c r="J43" s="118" t="s">
        <v>220</v>
      </c>
      <c r="K43" s="104" t="s">
        <v>238</v>
      </c>
      <c r="L43" s="105"/>
      <c r="M43" s="105"/>
      <c r="N43" s="106" t="s">
        <v>222</v>
      </c>
      <c r="O43" s="106" t="s">
        <v>223</v>
      </c>
      <c r="P43" s="106" t="s">
        <v>224</v>
      </c>
      <c r="Q43" s="106" t="s">
        <v>225</v>
      </c>
      <c r="R43" s="106" t="s">
        <v>226</v>
      </c>
      <c r="S43" s="106" t="s">
        <v>227</v>
      </c>
      <c r="T43" s="119" t="s">
        <v>228</v>
      </c>
    </row>
    <row r="44" spans="2:20" x14ac:dyDescent="0.35">
      <c r="B44" s="115"/>
      <c r="C44" s="94" t="s">
        <v>229</v>
      </c>
      <c r="D44" s="120" t="s">
        <v>230</v>
      </c>
      <c r="E44" s="120"/>
      <c r="F44" s="118"/>
      <c r="G44" s="118"/>
      <c r="H44" s="118"/>
      <c r="I44" s="118"/>
      <c r="J44" s="118"/>
      <c r="K44" s="52" t="s">
        <v>229</v>
      </c>
      <c r="L44" s="120" t="s">
        <v>230</v>
      </c>
      <c r="M44" s="120"/>
      <c r="N44" s="106"/>
      <c r="O44" s="106"/>
      <c r="P44" s="106"/>
      <c r="Q44" s="106"/>
      <c r="R44" s="106"/>
      <c r="S44" s="106"/>
      <c r="T44" s="119"/>
    </row>
    <row r="45" spans="2:20" x14ac:dyDescent="0.35">
      <c r="B45" s="45" t="s">
        <v>2</v>
      </c>
      <c r="C45" s="53">
        <v>11600</v>
      </c>
      <c r="D45" s="54">
        <v>11700</v>
      </c>
      <c r="E45" s="49">
        <f>IFERROR(D45/C45,0)</f>
        <v>1.0086206896551724</v>
      </c>
      <c r="F45" s="8">
        <f>VLOOKUP($E$45,FATORES!$I$32:$K$34,3)</f>
        <v>0.04</v>
      </c>
      <c r="G45" s="8">
        <f>IFERROR(VLOOKUP(E45,FATORES!$I$35:$K$36,3),0)</f>
        <v>0.08</v>
      </c>
      <c r="H45" s="9">
        <f>D45*F45</f>
        <v>468</v>
      </c>
      <c r="I45" s="9">
        <f t="shared" ref="I45:I53" si="16">IF($P$7="ARIEL",
   IF(AND($E$45&gt;=69.5%, AND($E$47&gt;=69.5%, $E$48&gt;=69.5%, $E$48&gt;=69.5%, $E$50&gt;=69.5%, $E$50&gt;=69.5%, $E$52&gt;=69.5%, $E$53&gt;=69.5%)),
      D45*G45,
      0),
   IF(AND($E$45&gt;=69.5%, $E$46&gt;=69.5%, $E$47&gt;=69.5%, $E$48&gt;=69.5%, $E$48&gt;=69.5%, $E$50&gt;=69.5%, $E$50&gt;=69.5%, $E$52&gt;=69.5%, $E$53&gt;=69.5%),
      D45*G45,
      0)
)</f>
        <v>936</v>
      </c>
      <c r="J45" s="9">
        <f>H45+I45</f>
        <v>1404</v>
      </c>
      <c r="K45" s="53">
        <v>83950</v>
      </c>
      <c r="L45" s="54"/>
      <c r="M45" s="49">
        <f>IFERROR(L45/K45,0)</f>
        <v>0</v>
      </c>
      <c r="N45" s="8">
        <f>IF($M$45&gt;=FATORES!$I$37,FATORES!$K$37,0)</f>
        <v>0</v>
      </c>
      <c r="O45" s="14">
        <f>IF(E45&gt;=100%,
IF($P$7="ARIEL",
   IF(AND($E$45&gt;=69.5%, AND($E$47&gt;=69.5%, $E$48&gt;=69.5%, $E$48&gt;=69.5%, $E$50&gt;=69.5%, $E$50&gt;=69.5%, $E$52&gt;=69.5%, $E$53&gt;=69.5%)),
      D45*N45,
      0),
   IF(AND($E$45&gt;=69.5%, $E$46&gt;=69.5%, $E$47&gt;=69.5%, $E$48&gt;=69.5%, $E$48&gt;=69.5%, $E$50&gt;=69.5%, $E$50&gt;=69.5%, $E$52&gt;=69.5%, $E$53&gt;=69.5%),
      D45*N45,
      0)
),0)</f>
        <v>0</v>
      </c>
      <c r="P45" s="10">
        <f>J45+O45</f>
        <v>1404</v>
      </c>
      <c r="Q45" s="11">
        <f>IF($B$8=2,P45*0.05,0)</f>
        <v>0</v>
      </c>
      <c r="R45" s="11">
        <f>IF($B$8=3,P45*0.15,0)</f>
        <v>0</v>
      </c>
      <c r="S45" s="98">
        <v>0.1</v>
      </c>
      <c r="T45" s="101">
        <f>SUM($P$54:$S$54)</f>
        <v>2782.9340000000002</v>
      </c>
    </row>
    <row r="46" spans="2:20" x14ac:dyDescent="0.35">
      <c r="B46" s="46" t="s">
        <v>13</v>
      </c>
      <c r="C46" s="55">
        <v>5300</v>
      </c>
      <c r="D46" s="56">
        <v>5500</v>
      </c>
      <c r="E46" s="50">
        <f>IFERROR(D46/C46,0)</f>
        <v>1.0377358490566038</v>
      </c>
      <c r="F46" s="12">
        <f>VLOOKUP($E$46,FATORES!$I$40:$K$42,3)</f>
        <v>0.04</v>
      </c>
      <c r="G46" s="12">
        <f>IFERROR(VLOOKUP(E46,FATORES!$I$43:$K$44,3),0)</f>
        <v>0.1</v>
      </c>
      <c r="H46" s="65">
        <f t="shared" ref="H46:H53" si="17">D46*F46</f>
        <v>220</v>
      </c>
      <c r="I46" s="65">
        <f t="shared" si="16"/>
        <v>550</v>
      </c>
      <c r="J46" s="65">
        <f t="shared" ref="J46:J53" si="18">H46+I46</f>
        <v>770</v>
      </c>
      <c r="K46" s="55">
        <v>37750</v>
      </c>
      <c r="L46" s="56"/>
      <c r="M46" s="50">
        <f t="shared" ref="M46:M53" si="19">IFERROR(L46/K46,0)</f>
        <v>0</v>
      </c>
      <c r="N46" s="12">
        <f>IF($M$46&gt;=FATORES!$I$45,FATORES!$K$45,0)</f>
        <v>0</v>
      </c>
      <c r="O46" s="14">
        <f t="shared" ref="O46:O53" si="20">IF(E46&gt;=100%,
IF($P$7="ARIEL",
   IF(AND($E$45&gt;=69.5%, AND($E$47&gt;=69.5%, $E$48&gt;=69.5%, $E$48&gt;=69.5%, $E$50&gt;=69.5%, $E$50&gt;=69.5%, $E$52&gt;=69.5%, $E$53&gt;=69.5%)),
      D46*N46,
      0),
   IF(AND($E$45&gt;=69.5%, $E$46&gt;=69.5%, $E$47&gt;=69.5%, $E$48&gt;=69.5%, $E$48&gt;=69.5%, $E$50&gt;=69.5%, $E$50&gt;=69.5%, $E$52&gt;=69.5%, $E$53&gt;=69.5%),
      D46*N46,
      0)
),0)</f>
        <v>0</v>
      </c>
      <c r="P46" s="13">
        <f t="shared" ref="P46:P53" si="21">J46+O46</f>
        <v>770</v>
      </c>
      <c r="Q46" s="15">
        <f>IF($C$8=2,P46*0.05,0)</f>
        <v>0</v>
      </c>
      <c r="R46" s="15">
        <f>IF($C$8=3,P46*0.15,0)</f>
        <v>0</v>
      </c>
      <c r="S46" s="99"/>
      <c r="T46" s="102"/>
    </row>
    <row r="47" spans="2:20" x14ac:dyDescent="0.35">
      <c r="B47" s="46" t="s">
        <v>231</v>
      </c>
      <c r="C47" s="55">
        <v>125000</v>
      </c>
      <c r="D47" s="56">
        <v>126000</v>
      </c>
      <c r="E47" s="50">
        <f>IFERROR(D47/C47,0)</f>
        <v>1.008</v>
      </c>
      <c r="F47" s="12">
        <f>VLOOKUP($E$47,FATORES!$B$53:$D$54,3)</f>
        <v>5.0000000000000001E-4</v>
      </c>
      <c r="G47" s="12">
        <f>IFERROR(VLOOKUP(E47,FATORES!$B$55:$D$55,3),0)</f>
        <v>1E-3</v>
      </c>
      <c r="H47" s="65">
        <f t="shared" si="17"/>
        <v>63</v>
      </c>
      <c r="I47" s="65">
        <f t="shared" si="16"/>
        <v>126</v>
      </c>
      <c r="J47" s="65">
        <f t="shared" si="18"/>
        <v>189</v>
      </c>
      <c r="K47" s="55">
        <v>1285000</v>
      </c>
      <c r="L47" s="56"/>
      <c r="M47" s="50">
        <f t="shared" si="19"/>
        <v>0</v>
      </c>
      <c r="N47" s="12">
        <f>IF($M$47&gt;=FATORES!$B$56,FATORES!$D$56,0)</f>
        <v>0</v>
      </c>
      <c r="O47" s="14">
        <f t="shared" si="20"/>
        <v>0</v>
      </c>
      <c r="P47" s="13">
        <f t="shared" si="21"/>
        <v>189</v>
      </c>
      <c r="Q47" s="15">
        <f>IF($D$8=2,P47*0.05,0)</f>
        <v>0</v>
      </c>
      <c r="R47" s="15">
        <f>IF($D$8=3,P47*0.15,0)</f>
        <v>0</v>
      </c>
      <c r="S47" s="99"/>
      <c r="T47" s="102"/>
    </row>
    <row r="48" spans="2:20" x14ac:dyDescent="0.35">
      <c r="B48" s="47" t="s">
        <v>232</v>
      </c>
      <c r="C48" s="96">
        <v>12000</v>
      </c>
      <c r="D48" s="56"/>
      <c r="E48" s="97">
        <f>IFERROR((D48+D49)/C48,0)</f>
        <v>1.0083333333333333</v>
      </c>
      <c r="F48" s="12">
        <f>VLOOKUP($E$48,FATORES!$B$44:$E$46,3)</f>
        <v>1.5E-3</v>
      </c>
      <c r="G48" s="12">
        <f>IFERROR(VLOOKUP(E48,FATORES!$B$47:$E$48,3),0)</f>
        <v>6.0000000000000001E-3</v>
      </c>
      <c r="H48" s="65">
        <f t="shared" si="17"/>
        <v>0</v>
      </c>
      <c r="I48" s="65">
        <f t="shared" si="16"/>
        <v>0</v>
      </c>
      <c r="J48" s="65">
        <f t="shared" si="18"/>
        <v>0</v>
      </c>
      <c r="K48" s="96">
        <v>144000</v>
      </c>
      <c r="L48" s="56"/>
      <c r="M48" s="97">
        <f>IFERROR((L48+L49)/K48,0)</f>
        <v>0</v>
      </c>
      <c r="N48" s="12">
        <f>IF($M$48&gt;=FATORES!$B$49,FATORES!$D$49,0)</f>
        <v>0</v>
      </c>
      <c r="O48" s="14">
        <f t="shared" si="20"/>
        <v>0</v>
      </c>
      <c r="P48" s="13">
        <f t="shared" si="21"/>
        <v>0</v>
      </c>
      <c r="Q48" s="15">
        <f>IF($E$8=2,P48*0.05,0)</f>
        <v>0</v>
      </c>
      <c r="R48" s="15">
        <f>IF($E$8=3,P48*0.15,0)</f>
        <v>0</v>
      </c>
      <c r="S48" s="99"/>
      <c r="T48" s="102"/>
    </row>
    <row r="49" spans="2:20" x14ac:dyDescent="0.35">
      <c r="B49" s="47" t="s">
        <v>233</v>
      </c>
      <c r="C49" s="96"/>
      <c r="D49" s="56">
        <v>12100</v>
      </c>
      <c r="E49" s="97"/>
      <c r="F49" s="12">
        <f>VLOOKUP($E$48,FATORES!$B$44:$E$46,4)</f>
        <v>7.5000000000000002E-4</v>
      </c>
      <c r="G49" s="12">
        <f>IFERROR(VLOOKUP(E48,FATORES!$B$47:$E$48,4),0)</f>
        <v>3.0000000000000001E-3</v>
      </c>
      <c r="H49" s="65">
        <f t="shared" si="17"/>
        <v>9.0750000000000011</v>
      </c>
      <c r="I49" s="65">
        <f t="shared" si="16"/>
        <v>36.300000000000004</v>
      </c>
      <c r="J49" s="65">
        <f t="shared" si="18"/>
        <v>45.375000000000007</v>
      </c>
      <c r="K49" s="96"/>
      <c r="L49" s="56"/>
      <c r="M49" s="97"/>
      <c r="N49" s="12">
        <f>IF($M$48&gt;=FATORES!$B$49,FATORES!$E$49,0)</f>
        <v>0</v>
      </c>
      <c r="O49" s="14">
        <f t="shared" si="20"/>
        <v>0</v>
      </c>
      <c r="P49" s="13">
        <f t="shared" si="21"/>
        <v>45.375000000000007</v>
      </c>
      <c r="Q49" s="15">
        <f>IF($E$8=2,P49*0.05,0)</f>
        <v>0</v>
      </c>
      <c r="R49" s="15">
        <f>IF($E$8=3,P49*0.15,0)</f>
        <v>0</v>
      </c>
      <c r="S49" s="99"/>
      <c r="T49" s="102"/>
    </row>
    <row r="50" spans="2:20" x14ac:dyDescent="0.35">
      <c r="B50" s="46" t="s">
        <v>234</v>
      </c>
      <c r="C50" s="96">
        <v>7000</v>
      </c>
      <c r="D50" s="56"/>
      <c r="E50" s="97">
        <f>IFERROR((D50+D51)/C50,0)</f>
        <v>1.0142857142857142</v>
      </c>
      <c r="F50" s="12">
        <f>VLOOKUP($E$50,FATORES!$B$34:$E$36,3)</f>
        <v>1.5E-3</v>
      </c>
      <c r="G50" s="12">
        <f>IFERROR(VLOOKUP(E50,FATORES!$B$37:$E$38,3),0)</f>
        <v>6.0000000000000001E-3</v>
      </c>
      <c r="H50" s="65">
        <f t="shared" si="17"/>
        <v>0</v>
      </c>
      <c r="I50" s="65">
        <f t="shared" si="16"/>
        <v>0</v>
      </c>
      <c r="J50" s="65">
        <f t="shared" si="18"/>
        <v>0</v>
      </c>
      <c r="K50" s="96">
        <v>73300</v>
      </c>
      <c r="L50" s="56"/>
      <c r="M50" s="97">
        <f>IFERROR((L50+L51)/K50,0)</f>
        <v>0</v>
      </c>
      <c r="N50" s="12">
        <f>IF($M$50&gt;=FATORES!$B$39,FATORES!$D$39,0)</f>
        <v>0</v>
      </c>
      <c r="O50" s="14">
        <f t="shared" si="20"/>
        <v>0</v>
      </c>
      <c r="P50" s="13">
        <f t="shared" si="21"/>
        <v>0</v>
      </c>
      <c r="Q50" s="15">
        <f>IF($F$8=2,P50*0.05,0)</f>
        <v>0</v>
      </c>
      <c r="R50" s="15">
        <f>IF($F$8=3,P50*0.15,0)</f>
        <v>0</v>
      </c>
      <c r="S50" s="99"/>
      <c r="T50" s="102"/>
    </row>
    <row r="51" spans="2:20" x14ac:dyDescent="0.35">
      <c r="B51" s="46" t="s">
        <v>235</v>
      </c>
      <c r="C51" s="96"/>
      <c r="D51" s="56">
        <v>7100</v>
      </c>
      <c r="E51" s="97"/>
      <c r="F51" s="12">
        <f>VLOOKUP($E$50,FATORES!$B$34:$E$36,4)</f>
        <v>7.5000000000000002E-4</v>
      </c>
      <c r="G51" s="12">
        <f>IFERROR(VLOOKUP(E50,FATORES!$B$37:$E$38,4),0)</f>
        <v>3.0000000000000001E-3</v>
      </c>
      <c r="H51" s="65">
        <f t="shared" si="17"/>
        <v>5.3250000000000002</v>
      </c>
      <c r="I51" s="65">
        <f t="shared" si="16"/>
        <v>21.3</v>
      </c>
      <c r="J51" s="65">
        <f t="shared" si="18"/>
        <v>26.625</v>
      </c>
      <c r="K51" s="96"/>
      <c r="L51" s="56"/>
      <c r="M51" s="97"/>
      <c r="N51" s="12">
        <f>IF($M$50&gt;=FATORES!$B$39,FATORES!$E$39,0)</f>
        <v>0</v>
      </c>
      <c r="O51" s="14">
        <f t="shared" si="20"/>
        <v>0</v>
      </c>
      <c r="P51" s="13">
        <f t="shared" si="21"/>
        <v>26.625</v>
      </c>
      <c r="Q51" s="15">
        <f>IF($F$8=2,P51*0.05,0)</f>
        <v>0</v>
      </c>
      <c r="R51" s="15">
        <f>IF($F$8=3,P51*0.15,0)</f>
        <v>0</v>
      </c>
      <c r="S51" s="99"/>
      <c r="T51" s="102"/>
    </row>
    <row r="52" spans="2:20" x14ac:dyDescent="0.35">
      <c r="B52" s="46" t="s">
        <v>212</v>
      </c>
      <c r="C52" s="55">
        <v>620</v>
      </c>
      <c r="D52" s="56">
        <v>621</v>
      </c>
      <c r="E52" s="50">
        <f>IFERROR(D52/C52,0)</f>
        <v>1.0016129032258065</v>
      </c>
      <c r="F52" s="83">
        <f>VLOOKUP($E$52,FATORES!$O$32:$Q$34,3)</f>
        <v>0.04</v>
      </c>
      <c r="G52" s="12">
        <f>IFERROR(VLOOKUP(E52,FATORES!$O$35:$Q$36,3),0)</f>
        <v>0.1</v>
      </c>
      <c r="H52" s="65">
        <f t="shared" si="17"/>
        <v>24.84</v>
      </c>
      <c r="I52" s="65">
        <f t="shared" si="16"/>
        <v>62.1</v>
      </c>
      <c r="J52" s="65">
        <f t="shared" si="18"/>
        <v>86.94</v>
      </c>
      <c r="K52" s="55">
        <v>7850</v>
      </c>
      <c r="L52" s="56"/>
      <c r="M52" s="50">
        <f t="shared" si="19"/>
        <v>0</v>
      </c>
      <c r="N52" s="12">
        <f>IF($M$52&gt;=FATORES!$O$37,FATORES!$Q$37,0)</f>
        <v>0</v>
      </c>
      <c r="O52" s="14">
        <f t="shared" si="20"/>
        <v>0</v>
      </c>
      <c r="P52" s="13">
        <f t="shared" si="21"/>
        <v>86.94</v>
      </c>
      <c r="Q52" s="15">
        <f>IF($G$8=2,P52*0.05,0)</f>
        <v>0</v>
      </c>
      <c r="R52" s="15">
        <f>IF($G$8=3,P52*0.15,0)</f>
        <v>0</v>
      </c>
      <c r="S52" s="99"/>
      <c r="T52" s="102"/>
    </row>
    <row r="53" spans="2:20" x14ac:dyDescent="0.35">
      <c r="B53" s="48" t="s">
        <v>14</v>
      </c>
      <c r="C53" s="57">
        <v>750</v>
      </c>
      <c r="D53" s="58">
        <v>800</v>
      </c>
      <c r="E53" s="51">
        <f>IFERROR(D53/C53,0)</f>
        <v>1.0666666666666667</v>
      </c>
      <c r="F53" s="16">
        <f>IF($E$53&gt;=0,FATORES!$Q$40)</f>
        <v>5.0000000000000001E-3</v>
      </c>
      <c r="G53" s="16">
        <f>IFERROR(VLOOKUP(E53,FATORES!$O$43:$Q$44,3),0)</f>
        <v>5.0000000000000001E-3</v>
      </c>
      <c r="H53" s="17">
        <f t="shared" si="17"/>
        <v>4</v>
      </c>
      <c r="I53" s="65">
        <f t="shared" si="16"/>
        <v>4</v>
      </c>
      <c r="J53" s="17">
        <f t="shared" si="18"/>
        <v>8</v>
      </c>
      <c r="K53" s="57">
        <v>6900</v>
      </c>
      <c r="L53" s="58"/>
      <c r="M53" s="51">
        <f t="shared" si="19"/>
        <v>0</v>
      </c>
      <c r="N53" s="16">
        <f>IF($M$53&gt;=FATORES!$O$45,FATORES!$Q$45,0)</f>
        <v>0</v>
      </c>
      <c r="O53" s="14">
        <f t="shared" si="20"/>
        <v>0</v>
      </c>
      <c r="P53" s="18">
        <f t="shared" si="21"/>
        <v>8</v>
      </c>
      <c r="Q53" s="19">
        <f>IF($H$8=2,P53*0.05,0)</f>
        <v>0</v>
      </c>
      <c r="R53" s="19">
        <f>IF($H$8=3,P53*0.15,0)</f>
        <v>0</v>
      </c>
      <c r="S53" s="100"/>
      <c r="T53" s="103"/>
    </row>
    <row r="54" spans="2:20" x14ac:dyDescent="0.35">
      <c r="B54" s="66"/>
      <c r="C54" s="67"/>
      <c r="D54" s="67"/>
      <c r="E54" s="67"/>
      <c r="F54" s="67"/>
      <c r="G54" s="67"/>
      <c r="H54" s="67"/>
      <c r="I54" s="67"/>
      <c r="J54" s="68"/>
      <c r="K54" s="69"/>
      <c r="L54" s="67"/>
      <c r="M54" s="67"/>
      <c r="N54" s="67"/>
      <c r="O54" s="67"/>
      <c r="P54" s="70">
        <f>SUM(P45:P53)</f>
        <v>2529.94</v>
      </c>
      <c r="Q54" s="70">
        <f t="shared" ref="Q54:R54" si="22">SUM(Q45:Q53)</f>
        <v>0</v>
      </c>
      <c r="R54" s="70">
        <f t="shared" si="22"/>
        <v>0</v>
      </c>
      <c r="S54" s="71">
        <f>IF($P$7="ARIEL",IF(MIN(E45,E47,E48,E49,E50,E52,E53)&gt;=99.99%,SUM(P54:R54)*S45,""),IF(MIN(E45:E53)&gt;=99.99%,SUM(P54:R54)*S45,""))</f>
        <v>252.99400000000003</v>
      </c>
      <c r="T54" s="72"/>
    </row>
  </sheetData>
  <sheetProtection algorithmName="SHA-512" hashValue="U5W3+D0pfAmBJfGH8VdCTMwaZ7luZPxjvv8YurGES1H961RrLAqr0uvUdOdbmAFNOmuOU7xcjqGYXmMtRKJYww==" saltValue="5PgC6/SR1ahxtIBxKCABIg==" spinCount="100000" sheet="1" objects="1" scenarios="1"/>
  <protectedRanges>
    <protectedRange sqref="B8:H8 C45:D53 K45:L53" name="Intervalo1"/>
  </protectedRanges>
  <mergeCells count="94">
    <mergeCell ref="I13:I14"/>
    <mergeCell ref="B12:J12"/>
    <mergeCell ref="K12:T12"/>
    <mergeCell ref="B2:T4"/>
    <mergeCell ref="B6:H6"/>
    <mergeCell ref="M6:N6"/>
    <mergeCell ref="M7:N7"/>
    <mergeCell ref="B11:T11"/>
    <mergeCell ref="B13:B14"/>
    <mergeCell ref="C13:E13"/>
    <mergeCell ref="F13:F14"/>
    <mergeCell ref="G13:G14"/>
    <mergeCell ref="H13:H14"/>
    <mergeCell ref="D14:E14"/>
    <mergeCell ref="J13:J14"/>
    <mergeCell ref="K13:M13"/>
    <mergeCell ref="S13:S14"/>
    <mergeCell ref="T13:T14"/>
    <mergeCell ref="L14:M14"/>
    <mergeCell ref="N13:N14"/>
    <mergeCell ref="O13:O14"/>
    <mergeCell ref="P13:P14"/>
    <mergeCell ref="Q13:Q14"/>
    <mergeCell ref="R13:R14"/>
    <mergeCell ref="C20:C21"/>
    <mergeCell ref="E20:E21"/>
    <mergeCell ref="K20:K21"/>
    <mergeCell ref="M20:M21"/>
    <mergeCell ref="B26:T26"/>
    <mergeCell ref="S15:S23"/>
    <mergeCell ref="T15:T23"/>
    <mergeCell ref="C18:C19"/>
    <mergeCell ref="E18:E19"/>
    <mergeCell ref="K18:K19"/>
    <mergeCell ref="M18:M19"/>
    <mergeCell ref="B27:J27"/>
    <mergeCell ref="K27:T27"/>
    <mergeCell ref="B28:B29"/>
    <mergeCell ref="C28:E28"/>
    <mergeCell ref="F28:F29"/>
    <mergeCell ref="G28:G29"/>
    <mergeCell ref="H28:H29"/>
    <mergeCell ref="I28:I29"/>
    <mergeCell ref="J28:J29"/>
    <mergeCell ref="S28:S29"/>
    <mergeCell ref="T28:T29"/>
    <mergeCell ref="D29:E29"/>
    <mergeCell ref="L29:M29"/>
    <mergeCell ref="S30:S38"/>
    <mergeCell ref="T30:T38"/>
    <mergeCell ref="K28:M28"/>
    <mergeCell ref="N28:N29"/>
    <mergeCell ref="O28:O29"/>
    <mergeCell ref="P28:P29"/>
    <mergeCell ref="Q28:Q29"/>
    <mergeCell ref="R28:R29"/>
    <mergeCell ref="C33:C34"/>
    <mergeCell ref="E33:E34"/>
    <mergeCell ref="K33:K34"/>
    <mergeCell ref="M33:M34"/>
    <mergeCell ref="C35:C36"/>
    <mergeCell ref="E35:E36"/>
    <mergeCell ref="K35:K36"/>
    <mergeCell ref="M35:M36"/>
    <mergeCell ref="B41:T41"/>
    <mergeCell ref="B42:J42"/>
    <mergeCell ref="K42:O42"/>
    <mergeCell ref="B43:B44"/>
    <mergeCell ref="C43:E43"/>
    <mergeCell ref="F43:F44"/>
    <mergeCell ref="G43:G44"/>
    <mergeCell ref="H43:H44"/>
    <mergeCell ref="I43:I44"/>
    <mergeCell ref="J43:J44"/>
    <mergeCell ref="S43:S44"/>
    <mergeCell ref="T43:T44"/>
    <mergeCell ref="D44:E44"/>
    <mergeCell ref="L44:M44"/>
    <mergeCell ref="S45:S53"/>
    <mergeCell ref="T45:T53"/>
    <mergeCell ref="K43:M43"/>
    <mergeCell ref="N43:N44"/>
    <mergeCell ref="O43:O44"/>
    <mergeCell ref="P43:P44"/>
    <mergeCell ref="Q43:Q44"/>
    <mergeCell ref="R43:R44"/>
    <mergeCell ref="C48:C49"/>
    <mergeCell ref="E48:E49"/>
    <mergeCell ref="K48:K49"/>
    <mergeCell ref="M48:M49"/>
    <mergeCell ref="C50:C51"/>
    <mergeCell ref="E50:E51"/>
    <mergeCell ref="K50:K51"/>
    <mergeCell ref="M50:M51"/>
  </mergeCells>
  <conditionalFormatting sqref="E15:E18 E20 E22:E23">
    <cfRule type="cellIs" dxfId="198" priority="22" operator="between">
      <formula>0.7</formula>
      <formula>1</formula>
    </cfRule>
    <cfRule type="cellIs" dxfId="197" priority="23" operator="greaterThanOrEqual">
      <formula>1</formula>
    </cfRule>
    <cfRule type="cellIs" dxfId="196" priority="24" operator="lessThan">
      <formula>0.7</formula>
    </cfRule>
  </conditionalFormatting>
  <conditionalFormatting sqref="E30:E33 E35 E37:E38">
    <cfRule type="cellIs" dxfId="195" priority="10" operator="between">
      <formula>0.7</formula>
      <formula>1</formula>
    </cfRule>
    <cfRule type="cellIs" dxfId="194" priority="11" operator="greaterThanOrEqual">
      <formula>1</formula>
    </cfRule>
    <cfRule type="cellIs" dxfId="193" priority="12" operator="lessThan">
      <formula>0.7</formula>
    </cfRule>
  </conditionalFormatting>
  <conditionalFormatting sqref="E45:E48 E50 E52:E53">
    <cfRule type="cellIs" dxfId="192" priority="34" operator="between">
      <formula>0.7</formula>
      <formula>1</formula>
    </cfRule>
    <cfRule type="cellIs" dxfId="191" priority="35" operator="greaterThanOrEqual">
      <formula>1</formula>
    </cfRule>
    <cfRule type="cellIs" dxfId="190" priority="36" operator="lessThan">
      <formula>0.7</formula>
    </cfRule>
  </conditionalFormatting>
  <conditionalFormatting sqref="M15:M18">
    <cfRule type="cellIs" dxfId="189" priority="16" operator="between">
      <formula>0.7</formula>
      <formula>1</formula>
    </cfRule>
    <cfRule type="cellIs" dxfId="188" priority="17" operator="greaterThanOrEqual">
      <formula>1</formula>
    </cfRule>
    <cfRule type="cellIs" dxfId="187" priority="18" operator="lessThan">
      <formula>0.7</formula>
    </cfRule>
  </conditionalFormatting>
  <conditionalFormatting sqref="M20">
    <cfRule type="cellIs" dxfId="186" priority="13" operator="between">
      <formula>0.7</formula>
      <formula>1</formula>
    </cfRule>
    <cfRule type="cellIs" dxfId="185" priority="14" operator="greaterThanOrEqual">
      <formula>1</formula>
    </cfRule>
    <cfRule type="cellIs" dxfId="184" priority="15" operator="lessThan">
      <formula>0.7</formula>
    </cfRule>
  </conditionalFormatting>
  <conditionalFormatting sqref="M22:M23">
    <cfRule type="cellIs" dxfId="183" priority="19" operator="between">
      <formula>0.7</formula>
      <formula>1</formula>
    </cfRule>
    <cfRule type="cellIs" dxfId="182" priority="20" operator="greaterThanOrEqual">
      <formula>1</formula>
    </cfRule>
    <cfRule type="cellIs" dxfId="181" priority="21" operator="lessThan">
      <formula>0.7</formula>
    </cfRule>
  </conditionalFormatting>
  <conditionalFormatting sqref="M30:M33">
    <cfRule type="cellIs" dxfId="180" priority="4" operator="between">
      <formula>0.7</formula>
      <formula>1</formula>
    </cfRule>
    <cfRule type="cellIs" dxfId="179" priority="5" operator="greaterThanOrEqual">
      <formula>1</formula>
    </cfRule>
    <cfRule type="cellIs" dxfId="178" priority="6" operator="lessThan">
      <formula>0.7</formula>
    </cfRule>
  </conditionalFormatting>
  <conditionalFormatting sqref="M35">
    <cfRule type="cellIs" dxfId="177" priority="1" operator="between">
      <formula>0.7</formula>
      <formula>1</formula>
    </cfRule>
    <cfRule type="cellIs" dxfId="176" priority="2" operator="greaterThanOrEqual">
      <formula>1</formula>
    </cfRule>
    <cfRule type="cellIs" dxfId="175" priority="3" operator="lessThan">
      <formula>0.7</formula>
    </cfRule>
  </conditionalFormatting>
  <conditionalFormatting sqref="M37:M38">
    <cfRule type="cellIs" dxfId="174" priority="7" operator="between">
      <formula>0.7</formula>
      <formula>1</formula>
    </cfRule>
    <cfRule type="cellIs" dxfId="173" priority="8" operator="greaterThanOrEqual">
      <formula>1</formula>
    </cfRule>
    <cfRule type="cellIs" dxfId="172" priority="9" operator="lessThan">
      <formula>0.7</formula>
    </cfRule>
  </conditionalFormatting>
  <conditionalFormatting sqref="M45:M48">
    <cfRule type="cellIs" dxfId="171" priority="28" operator="between">
      <formula>0.7</formula>
      <formula>1</formula>
    </cfRule>
    <cfRule type="cellIs" dxfId="170" priority="29" operator="greaterThanOrEqual">
      <formula>1</formula>
    </cfRule>
    <cfRule type="cellIs" dxfId="169" priority="30" operator="lessThan">
      <formula>0.7</formula>
    </cfRule>
  </conditionalFormatting>
  <conditionalFormatting sqref="M50">
    <cfRule type="cellIs" dxfId="168" priority="25" operator="between">
      <formula>0.7</formula>
      <formula>1</formula>
    </cfRule>
    <cfRule type="cellIs" dxfId="167" priority="26" operator="greaterThanOrEqual">
      <formula>1</formula>
    </cfRule>
    <cfRule type="cellIs" dxfId="166" priority="27" operator="lessThan">
      <formula>0.7</formula>
    </cfRule>
  </conditionalFormatting>
  <conditionalFormatting sqref="M52:M53">
    <cfRule type="cellIs" dxfId="165" priority="31" operator="between">
      <formula>0.7</formula>
      <formula>1</formula>
    </cfRule>
    <cfRule type="cellIs" dxfId="164" priority="32" operator="greaterThanOrEqual">
      <formula>1</formula>
    </cfRule>
    <cfRule type="cellIs" dxfId="163" priority="33" operator="lessThan">
      <formula>0.7</formula>
    </cfRule>
  </conditionalFormatting>
  <dataValidations count="1">
    <dataValidation type="list" allowBlank="1" showInputMessage="1" showErrorMessage="1" sqref="B8:H8" xr:uid="{5952B474-7526-450F-B793-FB8FE45A4CD0}">
      <formula1>$V$6:$X$6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88A46-5901-49A5-BA9A-965B034B4235}">
  <dimension ref="B1:X54"/>
  <sheetViews>
    <sheetView showGridLines="0" zoomScale="70" zoomScaleNormal="70" workbookViewId="0">
      <selection activeCell="P8" sqref="P8"/>
    </sheetView>
  </sheetViews>
  <sheetFormatPr defaultRowHeight="14.5" x14ac:dyDescent="0.35"/>
  <cols>
    <col min="1" max="1" width="2.1796875" customWidth="1"/>
    <col min="2" max="2" width="16.453125" customWidth="1"/>
    <col min="3" max="3" width="15" bestFit="1" customWidth="1"/>
    <col min="4" max="4" width="14.54296875" customWidth="1"/>
    <col min="5" max="5" width="13.453125" bestFit="1" customWidth="1"/>
    <col min="6" max="6" width="14" customWidth="1"/>
    <col min="7" max="7" width="18.7265625" customWidth="1"/>
    <col min="8" max="8" width="15" customWidth="1"/>
    <col min="9" max="9" width="20" customWidth="1"/>
    <col min="10" max="10" width="21.1796875" customWidth="1"/>
    <col min="11" max="12" width="16.453125" customWidth="1"/>
    <col min="13" max="13" width="9.7265625" customWidth="1"/>
    <col min="14" max="14" width="20.54296875" customWidth="1"/>
    <col min="15" max="15" width="21" customWidth="1"/>
    <col min="16" max="16" width="15.26953125" customWidth="1"/>
    <col min="17" max="17" width="13" bestFit="1" customWidth="1"/>
    <col min="18" max="18" width="10.453125" bestFit="1" customWidth="1"/>
    <col min="19" max="19" width="12.7265625" bestFit="1" customWidth="1"/>
    <col min="20" max="20" width="14.453125" customWidth="1"/>
  </cols>
  <sheetData>
    <row r="1" spans="2:24" x14ac:dyDescent="0.35">
      <c r="B1" s="59"/>
    </row>
    <row r="2" spans="2:24" x14ac:dyDescent="0.35">
      <c r="B2" s="143" t="s">
        <v>207</v>
      </c>
      <c r="C2" s="144"/>
      <c r="D2" s="144"/>
      <c r="E2" s="144"/>
      <c r="F2" s="144"/>
      <c r="G2" s="144"/>
      <c r="H2" s="144"/>
      <c r="I2" s="144"/>
      <c r="J2" s="144"/>
      <c r="K2" s="144"/>
      <c r="L2" s="144"/>
      <c r="M2" s="144"/>
      <c r="N2" s="144"/>
      <c r="O2" s="144"/>
      <c r="P2" s="144"/>
      <c r="Q2" s="144"/>
      <c r="R2" s="144"/>
      <c r="S2" s="144"/>
      <c r="T2" s="145"/>
    </row>
    <row r="3" spans="2:24" x14ac:dyDescent="0.35">
      <c r="B3" s="146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8"/>
    </row>
    <row r="4" spans="2:24" x14ac:dyDescent="0.35">
      <c r="B4" s="149"/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1"/>
    </row>
    <row r="5" spans="2:24" x14ac:dyDescent="0.35">
      <c r="B5" s="60"/>
      <c r="T5" s="61"/>
    </row>
    <row r="6" spans="2:24" ht="14.5" customHeight="1" x14ac:dyDescent="0.35">
      <c r="B6" s="152" t="s">
        <v>208</v>
      </c>
      <c r="C6" s="153"/>
      <c r="D6" s="153"/>
      <c r="E6" s="153"/>
      <c r="F6" s="153"/>
      <c r="G6" s="153"/>
      <c r="H6" s="154"/>
      <c r="M6" s="155" t="s">
        <v>54</v>
      </c>
      <c r="N6" s="156"/>
      <c r="P6" s="74" t="s">
        <v>23</v>
      </c>
      <c r="T6" s="61"/>
      <c r="V6" s="1">
        <v>0</v>
      </c>
      <c r="W6" s="1">
        <v>2</v>
      </c>
      <c r="X6" s="1">
        <v>3</v>
      </c>
    </row>
    <row r="7" spans="2:24" ht="14.5" customHeight="1" x14ac:dyDescent="0.35">
      <c r="B7" s="62" t="s">
        <v>209</v>
      </c>
      <c r="C7" s="2" t="s">
        <v>13</v>
      </c>
      <c r="D7" s="2" t="s">
        <v>210</v>
      </c>
      <c r="E7" s="2" t="s">
        <v>16</v>
      </c>
      <c r="F7" s="2" t="s">
        <v>211</v>
      </c>
      <c r="G7" s="2" t="s">
        <v>212</v>
      </c>
      <c r="H7" s="3" t="s">
        <v>14</v>
      </c>
      <c r="M7" s="157" t="s">
        <v>47</v>
      </c>
      <c r="N7" s="158"/>
      <c r="P7" s="75" t="s">
        <v>201</v>
      </c>
      <c r="T7" s="61"/>
    </row>
    <row r="8" spans="2:24" ht="14.5" customHeight="1" x14ac:dyDescent="0.35">
      <c r="B8" s="63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5">
        <v>0</v>
      </c>
      <c r="T8" s="61"/>
    </row>
    <row r="9" spans="2:24" x14ac:dyDescent="0.35">
      <c r="B9" s="84"/>
      <c r="C9" s="85"/>
      <c r="D9" s="85"/>
      <c r="E9" s="85"/>
      <c r="F9" s="85"/>
      <c r="G9" s="85"/>
      <c r="H9" s="85"/>
    </row>
    <row r="10" spans="2:24" x14ac:dyDescent="0.35">
      <c r="B10" s="84"/>
      <c r="C10" s="85"/>
      <c r="D10" s="85"/>
      <c r="E10" s="85"/>
      <c r="F10" s="85"/>
      <c r="G10" s="85"/>
      <c r="H10" s="85"/>
    </row>
    <row r="11" spans="2:24" ht="18.5" x14ac:dyDescent="0.35">
      <c r="B11" s="159" t="s">
        <v>213</v>
      </c>
      <c r="C11" s="160"/>
      <c r="D11" s="160"/>
      <c r="E11" s="160"/>
      <c r="F11" s="160"/>
      <c r="G11" s="160"/>
      <c r="H11" s="160"/>
      <c r="I11" s="160"/>
      <c r="J11" s="160"/>
      <c r="K11" s="160"/>
      <c r="L11" s="160"/>
      <c r="M11" s="160"/>
      <c r="N11" s="160"/>
      <c r="O11" s="160"/>
      <c r="P11" s="160"/>
      <c r="Q11" s="160"/>
      <c r="R11" s="160"/>
      <c r="S11" s="160"/>
      <c r="T11" s="160"/>
    </row>
    <row r="12" spans="2:24" x14ac:dyDescent="0.35">
      <c r="B12" s="129" t="s">
        <v>9</v>
      </c>
      <c r="C12" s="130"/>
      <c r="D12" s="130"/>
      <c r="E12" s="130"/>
      <c r="F12" s="130"/>
      <c r="G12" s="130"/>
      <c r="H12" s="130"/>
      <c r="I12" s="130"/>
      <c r="J12" s="131"/>
      <c r="K12" s="132" t="s">
        <v>54</v>
      </c>
      <c r="L12" s="130"/>
      <c r="M12" s="130"/>
      <c r="N12" s="130"/>
      <c r="O12" s="130"/>
      <c r="P12" s="130"/>
      <c r="Q12" s="130"/>
      <c r="R12" s="130"/>
      <c r="S12" s="130"/>
      <c r="T12" s="133"/>
    </row>
    <row r="13" spans="2:24" ht="14.5" customHeight="1" x14ac:dyDescent="0.35">
      <c r="B13" s="115" t="s">
        <v>214</v>
      </c>
      <c r="C13" s="116" t="s">
        <v>215</v>
      </c>
      <c r="D13" s="117"/>
      <c r="E13" s="104"/>
      <c r="F13" s="135" t="s">
        <v>216</v>
      </c>
      <c r="G13" s="135" t="s">
        <v>217</v>
      </c>
      <c r="H13" s="135" t="s">
        <v>218</v>
      </c>
      <c r="I13" s="135" t="s">
        <v>219</v>
      </c>
      <c r="J13" s="135" t="s">
        <v>220</v>
      </c>
      <c r="K13" s="116" t="s">
        <v>221</v>
      </c>
      <c r="L13" s="117"/>
      <c r="M13" s="104"/>
      <c r="N13" s="127" t="s">
        <v>222</v>
      </c>
      <c r="O13" s="127" t="s">
        <v>223</v>
      </c>
      <c r="P13" s="127" t="s">
        <v>224</v>
      </c>
      <c r="Q13" s="127" t="s">
        <v>225</v>
      </c>
      <c r="R13" s="127" t="s">
        <v>226</v>
      </c>
      <c r="S13" s="127" t="s">
        <v>227</v>
      </c>
      <c r="T13" s="137" t="s">
        <v>228</v>
      </c>
    </row>
    <row r="14" spans="2:24" x14ac:dyDescent="0.35">
      <c r="B14" s="134"/>
      <c r="C14" s="94" t="s">
        <v>229</v>
      </c>
      <c r="D14" s="139" t="s">
        <v>230</v>
      </c>
      <c r="E14" s="140"/>
      <c r="F14" s="136"/>
      <c r="G14" s="136"/>
      <c r="H14" s="136"/>
      <c r="I14" s="136"/>
      <c r="J14" s="136"/>
      <c r="K14" s="52" t="s">
        <v>229</v>
      </c>
      <c r="L14" s="139" t="s">
        <v>230</v>
      </c>
      <c r="M14" s="140"/>
      <c r="N14" s="128"/>
      <c r="O14" s="128"/>
      <c r="P14" s="128"/>
      <c r="Q14" s="128"/>
      <c r="R14" s="128"/>
      <c r="S14" s="128"/>
      <c r="T14" s="138"/>
    </row>
    <row r="15" spans="2:24" x14ac:dyDescent="0.35">
      <c r="B15" s="45" t="s">
        <v>2</v>
      </c>
      <c r="C15" s="76">
        <f>SUMIFS(REALIZADO[META_MOVEL],REALIZADO[PDV],'MARCILIO DE NORONHA'!$M$7)</f>
        <v>5000</v>
      </c>
      <c r="D15" s="77">
        <f>SUMIFS(PROJEÇÃO[PROJ_MOVEL],PROJEÇÃO[PDV],'MARCILIO DE NORONHA'!$M$7)</f>
        <v>4945.2779</v>
      </c>
      <c r="E15" s="49">
        <f>IFERROR(D15/C15,0)</f>
        <v>0.98905558000000005</v>
      </c>
      <c r="F15" s="8">
        <f>VLOOKUP($E$15,FATORES!$I$32:$K$34,3)</f>
        <v>0.04</v>
      </c>
      <c r="G15" s="8">
        <f>IFERROR(VLOOKUP($E$15,FATORES!$I$35:$K$36,3),0)</f>
        <v>0</v>
      </c>
      <c r="H15" s="9">
        <f>D15*F15</f>
        <v>197.811116</v>
      </c>
      <c r="I15" s="9">
        <f t="shared" ref="I15:I23" si="0">IF($P$7="ARIEL",
   IF(AND($E$15&gt;=69.5%, AND($E$17&gt;=69.5%, $E$18&gt;=69.5%, $E$18&gt;=69.5%, $E$20&gt;=69.5%, $E$20&gt;=69.5%, $E$22&gt;=69.5%, $E$23&gt;=69.5%)),
      D15*G15,
      0),
   IF(AND($E$15&gt;=69.5%, $E$16&gt;=69.5%, $E$17&gt;=69.5%, $E$18&gt;=69.5%, $E$18&gt;=69.5%, $E$20&gt;=69.5%, $E$20&gt;=69.5%, $E$22&gt;=69.5%, $E$23&gt;=69.5%),
      D15*G15,
      0)
)</f>
        <v>0</v>
      </c>
      <c r="J15" s="9">
        <f>H15+I15</f>
        <v>197.811116</v>
      </c>
      <c r="K15" s="76">
        <f>SUMIFS(REALIZADO[META_MOVEL],REALIZADO[COORDENAÇÃO],$P$7)</f>
        <v>53549.999899999995</v>
      </c>
      <c r="L15" s="77">
        <f>SUMIFS(PROJEÇÃO[PROJ_MOVEL],PROJEÇÃO[COORDENAÇÃO],$P$7)</f>
        <v>47019.827700000002</v>
      </c>
      <c r="M15" s="49">
        <f>IFERROR(L15/K15,0)</f>
        <v>0.87805467390859893</v>
      </c>
      <c r="N15" s="8">
        <f>IF($M$15&gt;=FATORES!$I$37,FATORES!$K$37,0)</f>
        <v>0</v>
      </c>
      <c r="O15" s="14">
        <f>IF(E15&gt;=100%,
   IF($P$7="ARIEL",
      IF(AND($E$15&gt;=69.5%,$E$17&gt;=69.5%,$E$18&gt;=69.5%,$E$20&gt;=69.5%,$E$22&gt;=69.5%,$E$23&gt;=69.5%),
         D15*N15,
         0
      ),
      IF(AND($E$15&gt;=69.5%,$E$16&gt;=69.5%,$E$17&gt;=69.5%,$E$18&gt;=69.5%,$E$20&gt;=69.5%,$E$22&gt;=69.5%,$E$23&gt;=69.5%),
         D15*N15,
         0
      )
   ),
0)</f>
        <v>0</v>
      </c>
      <c r="P15" s="10">
        <f>J15+O15</f>
        <v>197.811116</v>
      </c>
      <c r="Q15" s="11">
        <f>IF($B$8=2,P15*0.05,0)</f>
        <v>0</v>
      </c>
      <c r="R15" s="11">
        <f>IF($B$8=3,P15*0.15,0)</f>
        <v>0</v>
      </c>
      <c r="S15" s="98">
        <v>0.1</v>
      </c>
      <c r="T15" s="124">
        <f>SUM(P24:S24)</f>
        <v>1129.3242040199998</v>
      </c>
    </row>
    <row r="16" spans="2:24" x14ac:dyDescent="0.35">
      <c r="B16" s="46" t="s">
        <v>13</v>
      </c>
      <c r="C16" s="76">
        <f>SUMIFS(REALIZADO[META_FIXA],REALIZADO[PDV],'MARCILIO DE NORONHA'!$M$7)</f>
        <v>2950</v>
      </c>
      <c r="D16" s="77">
        <f>SUMIFS(PROJEÇÃO[PROJ_FIXA],PROJEÇÃO[PDV],'MARCILIO DE NORONHA'!$M$7)</f>
        <v>4222.201</v>
      </c>
      <c r="E16" s="50">
        <f>IFERROR(D16/C16,0)</f>
        <v>1.4312545762711864</v>
      </c>
      <c r="F16" s="12">
        <f>VLOOKUP($E$16,FATORES!$I$40:$K$42,3)</f>
        <v>0.04</v>
      </c>
      <c r="G16" s="12">
        <f>IFERROR(VLOOKUP($E$16,FATORES!$I$43:$K$44,3),0)</f>
        <v>0.15</v>
      </c>
      <c r="H16" s="65">
        <f t="shared" ref="H16:H23" si="1">D16*F16</f>
        <v>168.88804000000002</v>
      </c>
      <c r="I16" s="65">
        <f t="shared" si="0"/>
        <v>633.33015</v>
      </c>
      <c r="J16" s="65">
        <f t="shared" ref="J16:J23" si="2">H16+I16</f>
        <v>802.21819000000005</v>
      </c>
      <c r="K16" s="76">
        <f>SUMIFS(REALIZADO[META_FIXA],REALIZADO[COORDENAÇÃO],$P$7)</f>
        <v>29649.999899999988</v>
      </c>
      <c r="L16" s="77">
        <f>SUMIFS(PROJEÇÃO[PROJ_FIXA],PROJEÇÃO[COORDENAÇÃO],$P$7)</f>
        <v>28246.582000000002</v>
      </c>
      <c r="M16" s="50">
        <f t="shared" ref="M16:M17" si="3">IFERROR(L16/K16,0)</f>
        <v>0.95266718702417308</v>
      </c>
      <c r="N16" s="12">
        <f>IF($M$16&gt;=FATORES!$I$45,FATORES!$K$45,0)</f>
        <v>0</v>
      </c>
      <c r="O16" s="14">
        <f t="shared" ref="O16:O23" si="4">IF(E16&gt;=100%,
   IF($P$7="ARIEL",
      IF(AND($E$15&gt;=69.5%,$E$17&gt;=69.5%,$E$18&gt;=69.5%,$E$20&gt;=69.5%,$E$22&gt;=69.5%,$E$23&gt;=69.5%),
         D16*N16,
         0
      ),
      IF(AND($E$15&gt;=69.5%,$E$16&gt;=69.5%,$E$17&gt;=69.5%,$E$18&gt;=69.5%,$E$20&gt;=69.5%,$E$22&gt;=69.5%,$E$23&gt;=69.5%),
         D16*N16,
         0
      )
   ),
0)</f>
        <v>0</v>
      </c>
      <c r="P16" s="13">
        <f t="shared" ref="P16:P23" si="5">J16+O16</f>
        <v>802.21819000000005</v>
      </c>
      <c r="Q16" s="15">
        <f>IF($C$8=2,P16*0.05,0)</f>
        <v>0</v>
      </c>
      <c r="R16" s="15">
        <f>IF($C$8=3,P16*0.15,0)</f>
        <v>0</v>
      </c>
      <c r="S16" s="99"/>
      <c r="T16" s="125"/>
    </row>
    <row r="17" spans="2:20" x14ac:dyDescent="0.35">
      <c r="B17" s="46" t="s">
        <v>231</v>
      </c>
      <c r="C17" s="53">
        <f>SUMIFS(REALIZADO[META_SMARTPHONE],REALIZADO[PDV],'MARCILIO DE NORONHA'!$M$7)</f>
        <v>49999.999899999995</v>
      </c>
      <c r="D17" s="78">
        <f>SUMIFS(PROJEÇÃO[PROJ_APARELHO],PROJEÇÃO[PDV],'MARCILIO DE NORONHA'!$M$7)</f>
        <v>40518.5556</v>
      </c>
      <c r="E17" s="50">
        <f>IFERROR(D17/C17,0)</f>
        <v>0.81037111362074232</v>
      </c>
      <c r="F17" s="12">
        <f>VLOOKUP($E$17,FATORES!$B$53:$D$54,3)</f>
        <v>2.0000000000000001E-4</v>
      </c>
      <c r="G17" s="12">
        <f>IFERROR(VLOOKUP($E$17,FATORES!$B$55:$D$55,3),0)</f>
        <v>0</v>
      </c>
      <c r="H17" s="65">
        <f t="shared" si="1"/>
        <v>8.1037111199999998</v>
      </c>
      <c r="I17" s="65">
        <f t="shared" si="0"/>
        <v>0</v>
      </c>
      <c r="J17" s="65">
        <f t="shared" si="2"/>
        <v>8.1037111199999998</v>
      </c>
      <c r="K17" s="53">
        <f>SUMIFS(REALIZADO[META_SMARTPHONE],REALIZADO[COORDENAÇÃO],$P$7)</f>
        <v>741500.00009999995</v>
      </c>
      <c r="L17" s="78">
        <f>SUMIFS(PROJEÇÃO[PROJ_APARELHO],PROJEÇÃO[COORDENAÇÃO],$P$7)</f>
        <v>560223.55000000005</v>
      </c>
      <c r="M17" s="50">
        <f t="shared" si="3"/>
        <v>0.75552737683674631</v>
      </c>
      <c r="N17" s="12">
        <f>IF($M$17&gt;=FATORES!$B$56,FATORES!$D$56,0)</f>
        <v>0</v>
      </c>
      <c r="O17" s="14">
        <f t="shared" si="4"/>
        <v>0</v>
      </c>
      <c r="P17" s="13">
        <f t="shared" si="5"/>
        <v>8.1037111199999998</v>
      </c>
      <c r="Q17" s="15">
        <f>IF($D$8=2,P17*0.05,0)</f>
        <v>0</v>
      </c>
      <c r="R17" s="15">
        <f>IF($D$8=3,P17*0.15,0)</f>
        <v>0</v>
      </c>
      <c r="S17" s="99"/>
      <c r="T17" s="125"/>
    </row>
    <row r="18" spans="2:20" x14ac:dyDescent="0.35">
      <c r="B18" s="47" t="s">
        <v>232</v>
      </c>
      <c r="C18" s="121">
        <f>SUMIFS(REALIZADO[META_ACESSORIO],REALIZADO[PDV],'MARCILIO DE NORONHA'!$M$7)</f>
        <v>5799.9999000000007</v>
      </c>
      <c r="D18" s="86">
        <f>SUMIFS(PROJEÇÃO[PROJ_ELETRO_A],PROJEÇÃO[PDV],'MARCILIO DE NORONHA'!$M$7)</f>
        <v>0</v>
      </c>
      <c r="E18" s="123">
        <f>IFERROR((D18+D19)/C18,0)</f>
        <v>2.1344061747311405</v>
      </c>
      <c r="F18" s="12">
        <f>VLOOKUP($E$18,FATORES!$B$44:$E$46,3)</f>
        <v>1.5E-3</v>
      </c>
      <c r="G18" s="12">
        <f>IFERROR(VLOOKUP($E$18,FATORES!$B$47:$E$48,3),0)</f>
        <v>7.0000000000000001E-3</v>
      </c>
      <c r="H18" s="65">
        <f t="shared" si="1"/>
        <v>0</v>
      </c>
      <c r="I18" s="65">
        <f t="shared" si="0"/>
        <v>0</v>
      </c>
      <c r="J18" s="65">
        <f t="shared" si="2"/>
        <v>0</v>
      </c>
      <c r="K18" s="121">
        <f>SUMIFS(REALIZADO[META_ACESSORIO],REALIZADO[COORDENAÇÃO],$P$7)</f>
        <v>82600.000300000014</v>
      </c>
      <c r="L18" s="86">
        <f>SUMIFS(PROJEÇÃO[PROJ_ELETRO_A],PROJEÇÃO[COORDENAÇÃO],$P$7)</f>
        <v>6890.6666999999998</v>
      </c>
      <c r="M18" s="97">
        <f>IFERROR((L18+L19)/K18,0)</f>
        <v>1.2683688416403067</v>
      </c>
      <c r="N18" s="12">
        <f>IF($M$18&gt;=FATORES!$B$49,FATORES!$D$49,0)</f>
        <v>2.5000000000000001E-3</v>
      </c>
      <c r="O18" s="14">
        <f t="shared" si="4"/>
        <v>0</v>
      </c>
      <c r="P18" s="13">
        <f t="shared" si="5"/>
        <v>0</v>
      </c>
      <c r="Q18" s="15">
        <f>IF($E$8=2,P18*0.05,0)</f>
        <v>0</v>
      </c>
      <c r="R18" s="15">
        <f>IF($E$8=3,P18*0.15,0)</f>
        <v>0</v>
      </c>
      <c r="S18" s="99"/>
      <c r="T18" s="125"/>
    </row>
    <row r="19" spans="2:20" x14ac:dyDescent="0.35">
      <c r="B19" s="47" t="s">
        <v>233</v>
      </c>
      <c r="C19" s="122"/>
      <c r="D19" s="87">
        <f>SUMIFS(PROJEÇÃO[PROJ_ELETRO_B],PROJEÇÃO[PDV],'MARCILIO DE NORONHA'!$M$7)</f>
        <v>12379.5556</v>
      </c>
      <c r="E19" s="123"/>
      <c r="F19" s="12">
        <f>VLOOKUP($E$18,FATORES!$B$44:$E$46,4)</f>
        <v>7.5000000000000002E-4</v>
      </c>
      <c r="G19" s="12">
        <f>IFERROR(VLOOKUP($E$18,FATORES!$B$47:$E$48,4),0)</f>
        <v>3.5000000000000001E-3</v>
      </c>
      <c r="H19" s="65">
        <f t="shared" si="1"/>
        <v>9.2846667000000007</v>
      </c>
      <c r="I19" s="65">
        <f t="shared" si="0"/>
        <v>43.328444599999997</v>
      </c>
      <c r="J19" s="65">
        <f t="shared" si="2"/>
        <v>52.6131113</v>
      </c>
      <c r="K19" s="122"/>
      <c r="L19" s="87">
        <f>SUMIFS(PROJEÇÃO[PROJ_ELETRO_B],PROJEÇÃO[COORDENAÇÃO],$P$7)</f>
        <v>97876.6</v>
      </c>
      <c r="M19" s="97"/>
      <c r="N19" s="12">
        <f>IF($M$18&gt;=FATORES!$B$49,FATORES!$E$49,0)</f>
        <v>1.25E-3</v>
      </c>
      <c r="O19" s="14">
        <f t="shared" si="4"/>
        <v>0</v>
      </c>
      <c r="P19" s="13">
        <f t="shared" si="5"/>
        <v>52.6131113</v>
      </c>
      <c r="Q19" s="15">
        <f>IF($E$8=2,P19*0.05,0)</f>
        <v>0</v>
      </c>
      <c r="R19" s="15">
        <f>IF($E$8=3,P19*0.15,0)</f>
        <v>0</v>
      </c>
      <c r="S19" s="99"/>
      <c r="T19" s="125"/>
    </row>
    <row r="20" spans="2:20" x14ac:dyDescent="0.35">
      <c r="B20" s="46" t="s">
        <v>234</v>
      </c>
      <c r="C20" s="121">
        <f>SUMIFS(REALIZADO[META_ESSENCIAIS],REALIZADO[PDV],'MARCILIO DE NORONHA'!$M$7)</f>
        <v>3999.9998999999998</v>
      </c>
      <c r="D20" s="86">
        <f>SUMIFS(PROJEÇÃO[PROJ_ESSEN_A],PROJEÇÃO[PDV],'MARCILIO DE NORONHA'!$M$7)</f>
        <v>2048.4111000000003</v>
      </c>
      <c r="E20" s="123">
        <f>IFERROR((D20+D21)/C20,0)</f>
        <v>0.96366944909173635</v>
      </c>
      <c r="F20" s="12">
        <f>VLOOKUP($E$20,FATORES!$B$34:$E$36,3)</f>
        <v>1.5E-3</v>
      </c>
      <c r="G20" s="12">
        <f>IFERROR(VLOOKUP($E$20,FATORES!$B$37:$E$38,3),0)</f>
        <v>0</v>
      </c>
      <c r="H20" s="65">
        <f t="shared" si="1"/>
        <v>3.0726166500000005</v>
      </c>
      <c r="I20" s="65">
        <f t="shared" si="0"/>
        <v>0</v>
      </c>
      <c r="J20" s="65">
        <f t="shared" si="2"/>
        <v>3.0726166500000005</v>
      </c>
      <c r="K20" s="121">
        <f>SUMIFS(REALIZADO[META_ESSENCIAIS],REALIZADO[COORDENAÇÃO],$P$7)</f>
        <v>41199.999999999993</v>
      </c>
      <c r="L20" s="86">
        <f>SUMIFS(PROJEÇÃO[PROJ_ESSEN_A],PROJEÇÃO[COORDENAÇÃO],$P$7)</f>
        <v>16007.2889</v>
      </c>
      <c r="M20" s="97">
        <f>IFERROR((L20+L21)/K20,0)</f>
        <v>0.92994956553398067</v>
      </c>
      <c r="N20" s="12">
        <f>IF($M$20&gt;=FATORES!$B$39,FATORES!$D$39,0)</f>
        <v>0</v>
      </c>
      <c r="O20" s="14">
        <f t="shared" si="4"/>
        <v>0</v>
      </c>
      <c r="P20" s="13">
        <f t="shared" si="5"/>
        <v>3.0726166500000005</v>
      </c>
      <c r="Q20" s="15">
        <f>IF($F$8=2,P20*0.05,0)</f>
        <v>0</v>
      </c>
      <c r="R20" s="15">
        <f>IF($F$8=3,P20*0.15,0)</f>
        <v>0</v>
      </c>
      <c r="S20" s="99"/>
      <c r="T20" s="125"/>
    </row>
    <row r="21" spans="2:20" x14ac:dyDescent="0.35">
      <c r="B21" s="46" t="s">
        <v>235</v>
      </c>
      <c r="C21" s="122"/>
      <c r="D21" s="87">
        <f>SUMIFS(PROJEÇÃO[PROJ_ESSEN_B],PROJEÇÃO[PDV],'MARCILIO DE NORONHA'!$M$7)</f>
        <v>1806.2665999999999</v>
      </c>
      <c r="E21" s="123"/>
      <c r="F21" s="12">
        <f>VLOOKUP($E$20,FATORES!$B$34:$E$36,4)</f>
        <v>7.5000000000000002E-4</v>
      </c>
      <c r="G21" s="12">
        <f>IFERROR(VLOOKUP($E$20,FATORES!$B$37:$E$38,4),0)</f>
        <v>0</v>
      </c>
      <c r="H21" s="65">
        <f t="shared" si="1"/>
        <v>1.3546999499999999</v>
      </c>
      <c r="I21" s="65">
        <f t="shared" si="0"/>
        <v>0</v>
      </c>
      <c r="J21" s="65">
        <f t="shared" si="2"/>
        <v>1.3546999499999999</v>
      </c>
      <c r="K21" s="122"/>
      <c r="L21" s="87">
        <f>SUMIFS(PROJEÇÃO[PROJ_ESSEN_B],PROJEÇÃO[COORDENAÇÃO],$P$7)</f>
        <v>22306.6332</v>
      </c>
      <c r="M21" s="97"/>
      <c r="N21" s="12">
        <f>IF($M$20&gt;=FATORES!$B$39,FATORES!$E$39,0)</f>
        <v>0</v>
      </c>
      <c r="O21" s="14">
        <f t="shared" si="4"/>
        <v>0</v>
      </c>
      <c r="P21" s="13">
        <f t="shared" si="5"/>
        <v>1.3546999499999999</v>
      </c>
      <c r="Q21" s="15">
        <f>IF($F$8=2,P21*0.05,0)</f>
        <v>0</v>
      </c>
      <c r="R21" s="15">
        <f>IF($F$8=3,P21*0.15,0)</f>
        <v>0</v>
      </c>
      <c r="S21" s="99"/>
      <c r="T21" s="125"/>
    </row>
    <row r="22" spans="2:20" x14ac:dyDescent="0.35">
      <c r="B22" s="46" t="s">
        <v>212</v>
      </c>
      <c r="C22" s="57">
        <f>SUMIFS(REALIZADO[META_SEGUROS],REALIZADO[PDV],'MARCILIO DE NORONHA'!$M$7)</f>
        <v>350</v>
      </c>
      <c r="D22" s="79">
        <f>SUMIFS(PROJEÇÃO[PROJ_SEGURO],PROJEÇÃO[PDV],'MARCILIO DE NORONHA'!$M$7)</f>
        <v>404.27780000000001</v>
      </c>
      <c r="E22" s="83">
        <f>IFERROR(D22/C22,0)</f>
        <v>1.1550794285714285</v>
      </c>
      <c r="F22" s="83">
        <f>VLOOKUP($E$22,FATORES!$O$32:$Q$34,3)</f>
        <v>0.04</v>
      </c>
      <c r="G22" s="12">
        <f>IFERROR(VLOOKUP($E$22,FATORES!$O$35:$Q$36,3),0)</f>
        <v>0.1</v>
      </c>
      <c r="H22" s="65">
        <f t="shared" si="1"/>
        <v>16.171112000000001</v>
      </c>
      <c r="I22" s="65">
        <f t="shared" si="0"/>
        <v>40.427780000000006</v>
      </c>
      <c r="J22" s="65">
        <f t="shared" si="2"/>
        <v>56.598892000000006</v>
      </c>
      <c r="K22" s="57">
        <f>SUMIFS(REALIZADO[META_SEGUROS],REALIZADO[COORDENAÇÃO],$P$7)</f>
        <v>5129.9997999999996</v>
      </c>
      <c r="L22" s="79">
        <f>SUMIFS(PROJEÇÃO[PROJ_SEGURO],PROJEÇÃO[COORDENAÇÃO],$P$7)</f>
        <v>4017.2332999999999</v>
      </c>
      <c r="M22" s="50">
        <f t="shared" ref="M22:M23" si="6">IFERROR(L22/K22,0)</f>
        <v>0.78308644378504655</v>
      </c>
      <c r="N22" s="12">
        <f>IF($M$22&gt;=FATORES!$O$37,FATORES!$Q$37,0)</f>
        <v>0</v>
      </c>
      <c r="O22" s="14">
        <f t="shared" si="4"/>
        <v>0</v>
      </c>
      <c r="P22" s="13">
        <f t="shared" si="5"/>
        <v>56.598892000000006</v>
      </c>
      <c r="Q22" s="15">
        <f>IF($G$8=2,P22*0.05,0)</f>
        <v>0</v>
      </c>
      <c r="R22" s="15">
        <f>IF($G$8=3,P22*0.15,0)</f>
        <v>0</v>
      </c>
      <c r="S22" s="99"/>
      <c r="T22" s="125"/>
    </row>
    <row r="23" spans="2:20" x14ac:dyDescent="0.35">
      <c r="B23" s="48" t="s">
        <v>14</v>
      </c>
      <c r="C23" s="76">
        <f>SUMIFS(REALIZADO[META_SVA],REALIZADO[PDV],'MARCILIO DE NORONHA'!$M$7)</f>
        <v>400.00010000000003</v>
      </c>
      <c r="D23" s="77">
        <f>SUMIFS(PROJEÇÃO[PROJ_SVA],PROJEÇÃO[PDV],'MARCILIO DE NORONHA'!$M$7)</f>
        <v>503.45779999999996</v>
      </c>
      <c r="E23" s="82">
        <f>IFERROR(D23/C23,0)</f>
        <v>1.2586441853389534</v>
      </c>
      <c r="F23" s="16">
        <f>IF($E$23&gt;=0,FATORES!$Q$40)</f>
        <v>5.0000000000000001E-3</v>
      </c>
      <c r="G23" s="16">
        <f>IFERROR(VLOOKUP($E$23,FATORES!$O$43:$Q$44,3),0)</f>
        <v>5.0000000000000001E-3</v>
      </c>
      <c r="H23" s="17">
        <f t="shared" si="1"/>
        <v>2.5172889999999999</v>
      </c>
      <c r="I23" s="65">
        <f t="shared" si="0"/>
        <v>2.5172889999999999</v>
      </c>
      <c r="J23" s="17">
        <f t="shared" si="2"/>
        <v>5.0345779999999998</v>
      </c>
      <c r="K23" s="76">
        <f>SUMIFS(REALIZADO[META_SVA],REALIZADO[COORDENAÇÃO],$P$7)</f>
        <v>4540.0006000000003</v>
      </c>
      <c r="L23" s="77">
        <f>SUMIFS(PROJEÇÃO[PROJ_SVA],PROJEÇÃO[COORDENAÇÃO],$P$7)</f>
        <v>5391.4400000000005</v>
      </c>
      <c r="M23" s="51">
        <f t="shared" si="6"/>
        <v>1.1875416932764282</v>
      </c>
      <c r="N23" s="16">
        <f>IF($M$23&gt;=FATORES!$O$45,FATORES!$Q$45,0)</f>
        <v>5.0000000000000001E-3</v>
      </c>
      <c r="O23" s="14">
        <f t="shared" si="4"/>
        <v>2.5172889999999999</v>
      </c>
      <c r="P23" s="18">
        <f t="shared" si="5"/>
        <v>7.5518669999999997</v>
      </c>
      <c r="Q23" s="19">
        <f>IF($H$8=2,P23*0.05,0)</f>
        <v>0</v>
      </c>
      <c r="R23" s="19">
        <f>IF($H$8=3,P23*0.15,0)</f>
        <v>0</v>
      </c>
      <c r="S23" s="100"/>
      <c r="T23" s="126"/>
    </row>
    <row r="24" spans="2:20" x14ac:dyDescent="0.35">
      <c r="B24" s="66"/>
      <c r="C24" s="67"/>
      <c r="D24" s="67"/>
      <c r="E24" s="67"/>
      <c r="F24" s="67"/>
      <c r="G24" s="67"/>
      <c r="H24" s="67"/>
      <c r="I24" s="67"/>
      <c r="J24" s="68"/>
      <c r="K24" s="69"/>
      <c r="L24" s="67"/>
      <c r="M24" s="67"/>
      <c r="N24" s="67"/>
      <c r="O24" s="67"/>
      <c r="P24" s="70">
        <f>SUM(P15:P23)</f>
        <v>1129.3242040199998</v>
      </c>
      <c r="Q24" s="70">
        <f t="shared" ref="Q24:R24" si="7">SUM(Q15:Q23)</f>
        <v>0</v>
      </c>
      <c r="R24" s="70">
        <f t="shared" si="7"/>
        <v>0</v>
      </c>
      <c r="S24" s="71" t="str">
        <f>IF($P$7="ARIEL",IF(MIN(E15,E17,E18,E19,E20,E22,E23)&gt;=100%,SUM(P24:R24)*S15,""),IF(MIN(E15:E23)&gt;=100%,SUM(P24:R24)*S15,""))</f>
        <v/>
      </c>
      <c r="T24" s="72"/>
    </row>
    <row r="25" spans="2:20" ht="16.149999999999999" customHeight="1" x14ac:dyDescent="0.35">
      <c r="B25" s="80"/>
      <c r="C25" s="6"/>
      <c r="D25" s="6"/>
      <c r="E25" s="6"/>
      <c r="F25" s="6"/>
      <c r="G25" s="6"/>
      <c r="H25" s="6"/>
      <c r="T25" s="61"/>
    </row>
    <row r="26" spans="2:20" ht="18.5" x14ac:dyDescent="0.35">
      <c r="B26" s="141" t="s">
        <v>236</v>
      </c>
      <c r="C26" s="142"/>
      <c r="D26" s="142"/>
      <c r="E26" s="142"/>
      <c r="F26" s="142"/>
      <c r="G26" s="142"/>
      <c r="H26" s="142"/>
      <c r="I26" s="142"/>
      <c r="J26" s="142"/>
      <c r="K26" s="142"/>
      <c r="L26" s="142"/>
      <c r="M26" s="142"/>
      <c r="N26" s="142"/>
      <c r="O26" s="142"/>
      <c r="P26" s="142"/>
      <c r="Q26" s="142"/>
      <c r="R26" s="142"/>
      <c r="S26" s="142"/>
      <c r="T26" s="142"/>
    </row>
    <row r="27" spans="2:20" x14ac:dyDescent="0.35">
      <c r="B27" s="129" t="s">
        <v>9</v>
      </c>
      <c r="C27" s="130"/>
      <c r="D27" s="130"/>
      <c r="E27" s="130"/>
      <c r="F27" s="130"/>
      <c r="G27" s="130"/>
      <c r="H27" s="130"/>
      <c r="I27" s="130"/>
      <c r="J27" s="131"/>
      <c r="K27" s="132" t="s">
        <v>54</v>
      </c>
      <c r="L27" s="130"/>
      <c r="M27" s="130"/>
      <c r="N27" s="130"/>
      <c r="O27" s="130"/>
      <c r="P27" s="130"/>
      <c r="Q27" s="130"/>
      <c r="R27" s="130"/>
      <c r="S27" s="130"/>
      <c r="T27" s="133"/>
    </row>
    <row r="28" spans="2:20" ht="14.5" customHeight="1" x14ac:dyDescent="0.35">
      <c r="B28" s="115" t="s">
        <v>214</v>
      </c>
      <c r="C28" s="116" t="s">
        <v>237</v>
      </c>
      <c r="D28" s="117"/>
      <c r="E28" s="104"/>
      <c r="F28" s="135" t="s">
        <v>216</v>
      </c>
      <c r="G28" s="135" t="s">
        <v>217</v>
      </c>
      <c r="H28" s="135" t="s">
        <v>218</v>
      </c>
      <c r="I28" s="135" t="s">
        <v>219</v>
      </c>
      <c r="J28" s="135" t="s">
        <v>220</v>
      </c>
      <c r="K28" s="116" t="s">
        <v>238</v>
      </c>
      <c r="L28" s="117"/>
      <c r="M28" s="104"/>
      <c r="N28" s="127" t="s">
        <v>222</v>
      </c>
      <c r="O28" s="127" t="s">
        <v>223</v>
      </c>
      <c r="P28" s="127" t="s">
        <v>224</v>
      </c>
      <c r="Q28" s="127" t="s">
        <v>225</v>
      </c>
      <c r="R28" s="127" t="s">
        <v>226</v>
      </c>
      <c r="S28" s="127" t="s">
        <v>227</v>
      </c>
      <c r="T28" s="137" t="s">
        <v>228</v>
      </c>
    </row>
    <row r="29" spans="2:20" ht="14.5" customHeight="1" x14ac:dyDescent="0.35">
      <c r="B29" s="134"/>
      <c r="C29" s="94" t="s">
        <v>229</v>
      </c>
      <c r="D29" s="139" t="s">
        <v>230</v>
      </c>
      <c r="E29" s="140"/>
      <c r="F29" s="136"/>
      <c r="G29" s="136"/>
      <c r="H29" s="136"/>
      <c r="I29" s="136"/>
      <c r="J29" s="136"/>
      <c r="K29" s="52" t="s">
        <v>229</v>
      </c>
      <c r="L29" s="139" t="s">
        <v>230</v>
      </c>
      <c r="M29" s="140"/>
      <c r="N29" s="128"/>
      <c r="O29" s="128"/>
      <c r="P29" s="128"/>
      <c r="Q29" s="128"/>
      <c r="R29" s="128"/>
      <c r="S29" s="128"/>
      <c r="T29" s="138"/>
    </row>
    <row r="30" spans="2:20" x14ac:dyDescent="0.35">
      <c r="B30" s="45" t="s">
        <v>2</v>
      </c>
      <c r="C30" s="76">
        <f>SUMIFS(REALIZADO[META_MOVEL],REALIZADO[PDV],'MARCILIO DE NORONHA'!$M$7)</f>
        <v>5000</v>
      </c>
      <c r="D30" s="77">
        <f>SUMIFS(REALIZADO[AT_MOVEL],REALIZADO[PDV],'MARCILIO DE NORONHA'!$M$7)</f>
        <v>486</v>
      </c>
      <c r="E30" s="49">
        <f>IFERROR(D30/C30,0)</f>
        <v>9.7199999999999995E-2</v>
      </c>
      <c r="F30" s="8">
        <f>VLOOKUP($E$30,FATORES!$I$32:$K$34,3)</f>
        <v>5.0000000000000001E-3</v>
      </c>
      <c r="G30" s="8">
        <f>IFERROR(VLOOKUP($E$30,FATORES!$I$35:$K$36,3),0)</f>
        <v>0</v>
      </c>
      <c r="H30" s="9">
        <f>D30*F30</f>
        <v>2.4300000000000002</v>
      </c>
      <c r="I30" s="9">
        <f t="shared" ref="I30:I38" si="8">IF($P$7="ARIEL",
   IF(AND($E$30&gt;=69.5%, AND($E$32&gt;=69.5%, $E$33&gt;=69.5%, $E$33&gt;=69.5%, $E$35&gt;=69.5%, $E$35&gt;=69.5%, $E$37&gt;=69.5%, $E$38&gt;=69.5%)),
      D30*G30,
      0),
   IF(AND($E$30&gt;=69.5%, $E$31&gt;=69.5%, $E$32&gt;=69.5%, $E$33&gt;=69.5%, $E$33&gt;=69.5%, $E$35&gt;=69.5%, $E$35&gt;=69.5%, $E$37&gt;=69.5%, $E$38&gt;=69.5%),
      D30*G30,
      0)
)</f>
        <v>0</v>
      </c>
      <c r="J30" s="9">
        <f>H30+I30</f>
        <v>2.4300000000000002</v>
      </c>
      <c r="K30" s="76">
        <f>SUMIFS(REALIZADO[META_MOVEL],REALIZADO[COORDENAÇÃO],$P$7)</f>
        <v>53549.999899999995</v>
      </c>
      <c r="L30" s="77">
        <f>SUMIFS(REALIZADO[AT_MOVEL],REALIZADO[COORDENAÇÃO],$P$7)</f>
        <v>4789.97</v>
      </c>
      <c r="M30" s="49">
        <f>IFERROR(L30/K30,0)</f>
        <v>8.9448552921472566E-2</v>
      </c>
      <c r="N30" s="8">
        <f>IF($M$30&gt;=FATORES!$I$37,FATORES!$K$37,0)</f>
        <v>0</v>
      </c>
      <c r="O30" s="14">
        <f>IF(E30&gt;=100%,
IF($P$7="ARIEL",
IF(AND($E$30&gt;=69.5%,$E$32&gt;=69.5%,$E$33&gt;=69.5%,$E$35&gt;=69.5%,$E$37&gt;=69.5%,$E$38&gt;=69.5%),
D30*N30,
0),
IF(AND($E$30&gt;=69.5%,$E$31&gt;=69.5%,$E$32&gt;=69.5%,$E$33&gt;=69.5%,$E$35&gt;=69.5%,$E$37&gt;=69.5%,$E$38&gt;=69.5%),
D30*N30,
0)
),0)</f>
        <v>0</v>
      </c>
      <c r="P30" s="10">
        <f>J30+O30</f>
        <v>2.4300000000000002</v>
      </c>
      <c r="Q30" s="11">
        <f>IF($B$8=2,P30*0.05,0)</f>
        <v>0</v>
      </c>
      <c r="R30" s="11">
        <f>IF($B$8=3,P30*0.15,0)</f>
        <v>0</v>
      </c>
      <c r="S30" s="98">
        <v>0.1</v>
      </c>
      <c r="T30" s="124">
        <f>SUM(P39:S39)</f>
        <v>8.7625124999999997</v>
      </c>
    </row>
    <row r="31" spans="2:20" x14ac:dyDescent="0.35">
      <c r="B31" s="46" t="s">
        <v>13</v>
      </c>
      <c r="C31" s="76">
        <f>SUMIFS(REALIZADO[META_FIXA],REALIZADO[PDV],'MARCILIO DE NORONHA'!$M$7)</f>
        <v>2950</v>
      </c>
      <c r="D31" s="77">
        <f>SUMIFS(REALIZADO[AT_FIXA],REALIZADO[PDV],'MARCILIO DE NORONHA'!$M$7)</f>
        <v>755</v>
      </c>
      <c r="E31" s="50">
        <f>IFERROR(D31/C31,0)</f>
        <v>0.25593220338983053</v>
      </c>
      <c r="F31" s="12">
        <f>VLOOKUP($E$31,FATORES!$I$40:$K$42,3)</f>
        <v>5.0000000000000001E-3</v>
      </c>
      <c r="G31" s="12">
        <f>IFERROR(VLOOKUP($E$31,FATORES!$I$43:$K$44,3),0)</f>
        <v>0</v>
      </c>
      <c r="H31" s="65">
        <f t="shared" ref="H31:H38" si="9">D31*F31</f>
        <v>3.7749999999999999</v>
      </c>
      <c r="I31" s="65">
        <f t="shared" si="8"/>
        <v>0</v>
      </c>
      <c r="J31" s="65">
        <f t="shared" ref="J31:J38" si="10">H31+I31</f>
        <v>3.7749999999999999</v>
      </c>
      <c r="K31" s="76">
        <f>SUMIFS(REALIZADO[META_FIXA],REALIZADO[COORDENAÇÃO],$P$7)</f>
        <v>29649.999899999988</v>
      </c>
      <c r="L31" s="77">
        <f>SUMIFS(REALIZADO[AT_FIXA],REALIZADO[COORDENAÇÃO],$P$7)</f>
        <v>3600.01</v>
      </c>
      <c r="M31" s="50">
        <f t="shared" ref="M31:M32" si="11">IFERROR(L31/K31,0)</f>
        <v>0.12141686381590854</v>
      </c>
      <c r="N31" s="12">
        <f>IF($M$31&gt;=FATORES!$I$45,FATORES!$K$45,0)</f>
        <v>0</v>
      </c>
      <c r="O31" s="14">
        <f t="shared" ref="O31:O38" si="12">IF(E31&gt;=100%,
IF($P$7="ARIEL",
IF(AND($E$30&gt;=69.5%,$E$32&gt;=69.5%,$E$33&gt;=69.5%,$E$35&gt;=69.5%,$E$37&gt;=69.5%,$E$38&gt;=69.5%),
D31*N31,
0),
IF(AND($E$30&gt;=69.5%,$E$31&gt;=69.5%,$E$32&gt;=69.5%,$E$33&gt;=69.5%,$E$35&gt;=69.5%,$E$37&gt;=69.5%,$E$38&gt;=69.5%),
D31*N31,
0)
),0)</f>
        <v>0</v>
      </c>
      <c r="P31" s="13">
        <f t="shared" ref="P31:P38" si="13">J31+O31</f>
        <v>3.7749999999999999</v>
      </c>
      <c r="Q31" s="15">
        <f>IF($C$8=2,P31*0.05,0)</f>
        <v>0</v>
      </c>
      <c r="R31" s="15">
        <f>IF($C$8=3,P31*0.15,0)</f>
        <v>0</v>
      </c>
      <c r="S31" s="99"/>
      <c r="T31" s="125"/>
    </row>
    <row r="32" spans="2:20" x14ac:dyDescent="0.35">
      <c r="B32" s="46" t="s">
        <v>231</v>
      </c>
      <c r="C32" s="53">
        <f>SUMIFS(REALIZADO[META_SMARTPHONE],REALIZADO[PDV],'MARCILIO DE NORONHA'!$M$7)</f>
        <v>49999.999899999995</v>
      </c>
      <c r="D32" s="78">
        <f>SUMIFS(REALIZADO[AT_SMARTPHONE],REALIZADO[PDV],'MARCILIO DE NORONHA'!$M$7)</f>
        <v>4348</v>
      </c>
      <c r="E32" s="50">
        <f>IFERROR(D32/C32,0)</f>
        <v>8.6960000173920013E-2</v>
      </c>
      <c r="F32" s="12">
        <f>VLOOKUP($E$32,FATORES!$B$53:$D$54,3)</f>
        <v>2.0000000000000001E-4</v>
      </c>
      <c r="G32" s="12">
        <f>IFERROR(VLOOKUP($E$32,FATORES!$B$55:$D$55,3),0)</f>
        <v>0</v>
      </c>
      <c r="H32" s="65">
        <f t="shared" si="9"/>
        <v>0.86960000000000004</v>
      </c>
      <c r="I32" s="65">
        <f t="shared" si="8"/>
        <v>0</v>
      </c>
      <c r="J32" s="65">
        <f t="shared" si="10"/>
        <v>0.86960000000000004</v>
      </c>
      <c r="K32" s="53">
        <f>SUMIFS(REALIZADO[META_SMARTPHONE],REALIZADO[COORDENAÇÃO],$P$7)</f>
        <v>741500.00009999995</v>
      </c>
      <c r="L32" s="78">
        <f>SUMIFS(REALIZADO[AT_SMARTPHONE],REALIZADO[COORDENAÇÃO],$P$7)</f>
        <v>63660</v>
      </c>
      <c r="M32" s="50">
        <f t="shared" si="11"/>
        <v>8.585300066273055E-2</v>
      </c>
      <c r="N32" s="12">
        <f>IF($M$32&gt;=FATORES!$B$56,FATORES!$D$56,0)</f>
        <v>0</v>
      </c>
      <c r="O32" s="14">
        <f t="shared" si="12"/>
        <v>0</v>
      </c>
      <c r="P32" s="13">
        <f t="shared" si="13"/>
        <v>0.86960000000000004</v>
      </c>
      <c r="Q32" s="15">
        <f>IF($D$8=2,P32*0.05,0)</f>
        <v>0</v>
      </c>
      <c r="R32" s="15">
        <f>IF($D$8=3,P32*0.15,0)</f>
        <v>0</v>
      </c>
      <c r="S32" s="99"/>
      <c r="T32" s="125"/>
    </row>
    <row r="33" spans="2:20" x14ac:dyDescent="0.35">
      <c r="B33" s="47" t="s">
        <v>232</v>
      </c>
      <c r="C33" s="121">
        <f>SUMIFS(REALIZADO[META_ACESSORIO],REALIZADO[PDV],'MARCILIO DE NORONHA'!$M$7)</f>
        <v>5799.9999000000007</v>
      </c>
      <c r="D33" s="86">
        <f>SUMIFS(REALIZADO[AT_ACESSORIOS_A],REALIZADO[PDV],'MARCILIO DE NORONHA'!$M$7)</f>
        <v>0</v>
      </c>
      <c r="E33" s="123">
        <f>IFERROR((D33+D34)/C33,0)</f>
        <v>0.36189655796373371</v>
      </c>
      <c r="F33" s="12">
        <f>VLOOKUP($E$33,FATORES!$B$44:$E$46,3)</f>
        <v>5.0000000000000001E-4</v>
      </c>
      <c r="G33" s="12">
        <f>IFERROR(VLOOKUP($E$33,FATORES!$B$47:$E$48,3),0)</f>
        <v>0</v>
      </c>
      <c r="H33" s="65">
        <f t="shared" si="9"/>
        <v>0</v>
      </c>
      <c r="I33" s="65">
        <f t="shared" si="8"/>
        <v>0</v>
      </c>
      <c r="J33" s="65">
        <f t="shared" si="10"/>
        <v>0</v>
      </c>
      <c r="K33" s="121">
        <f>SUMIFS(REALIZADO[META_ACESSORIO],REALIZADO[COORDENAÇÃO],$P$7)</f>
        <v>82600.000300000014</v>
      </c>
      <c r="L33" s="86">
        <f>SUMIFS(REALIZADO[AT_ACESSORIOS_A],REALIZADO[COORDENAÇÃO],$P$7)</f>
        <v>209</v>
      </c>
      <c r="M33" s="97">
        <f>IFERROR((L33+L34)/K33,0)</f>
        <v>0.19131961189593358</v>
      </c>
      <c r="N33" s="12">
        <f>IF($M$33&gt;=FATORES!$B$49,FATORES!$D$49,0)</f>
        <v>0</v>
      </c>
      <c r="O33" s="14">
        <f t="shared" si="12"/>
        <v>0</v>
      </c>
      <c r="P33" s="13">
        <f t="shared" si="13"/>
        <v>0</v>
      </c>
      <c r="Q33" s="15">
        <f>IF($E$8=2,P33*0.05,0)</f>
        <v>0</v>
      </c>
      <c r="R33" s="15">
        <f>IF($E$8=3,P33*0.15,0)</f>
        <v>0</v>
      </c>
      <c r="S33" s="99"/>
      <c r="T33" s="125"/>
    </row>
    <row r="34" spans="2:20" x14ac:dyDescent="0.35">
      <c r="B34" s="47" t="s">
        <v>233</v>
      </c>
      <c r="C34" s="122"/>
      <c r="D34" s="87">
        <f>SUMIFS(REALIZADO[AT_ACESSORIOS_B],REALIZADO[PDV],'MARCILIO DE NORONHA'!$M$7)</f>
        <v>2099</v>
      </c>
      <c r="E34" s="123"/>
      <c r="F34" s="12">
        <f>VLOOKUP($E$33,FATORES!$B$44:$E$46,4)</f>
        <v>2.5000000000000001E-4</v>
      </c>
      <c r="G34" s="12">
        <f>IFERROR(VLOOKUP($E$33,FATORES!$B$47:$E$48,4),0)</f>
        <v>0</v>
      </c>
      <c r="H34" s="65">
        <f t="shared" si="9"/>
        <v>0.52475000000000005</v>
      </c>
      <c r="I34" s="65">
        <f t="shared" si="8"/>
        <v>0</v>
      </c>
      <c r="J34" s="65">
        <f t="shared" si="10"/>
        <v>0.52475000000000005</v>
      </c>
      <c r="K34" s="122"/>
      <c r="L34" s="87">
        <f>SUMIFS(REALIZADO[AT_ACESSORIOS_B],REALIZADO[COORDENAÇÃO],$P$7)</f>
        <v>15594</v>
      </c>
      <c r="M34" s="97"/>
      <c r="N34" s="12">
        <f>IF($M$33&gt;=FATORES!$B$49,FATORES!$E$49,0)</f>
        <v>0</v>
      </c>
      <c r="O34" s="14">
        <f t="shared" si="12"/>
        <v>0</v>
      </c>
      <c r="P34" s="13">
        <f t="shared" si="13"/>
        <v>0.52475000000000005</v>
      </c>
      <c r="Q34" s="15">
        <f>IF($E$8=2,P34*0.05,0)</f>
        <v>0</v>
      </c>
      <c r="R34" s="15">
        <f>IF($E$8=3,P34*0.15,0)</f>
        <v>0</v>
      </c>
      <c r="S34" s="99"/>
      <c r="T34" s="125"/>
    </row>
    <row r="35" spans="2:20" x14ac:dyDescent="0.35">
      <c r="B35" s="46" t="s">
        <v>234</v>
      </c>
      <c r="C35" s="121">
        <f>SUMIFS(REALIZADO[META_ESSENCIAIS],REALIZADO[PDV],'MARCILIO DE NORONHA'!$M$7)</f>
        <v>3999.9998999999998</v>
      </c>
      <c r="D35" s="86">
        <f>SUMIFS(REALIZADO[AT_ESSENCIAIS_A],REALIZADO[PDV],'MARCILIO DE NORONHA'!$M$7)</f>
        <v>283.55</v>
      </c>
      <c r="E35" s="123">
        <f>IFERROR((D35+D36)/C35,0)</f>
        <v>0.14427500360687509</v>
      </c>
      <c r="F35" s="12">
        <f>VLOOKUP($E$35,FATORES!$B$34:$E$36,3)</f>
        <v>5.0000000000000001E-4</v>
      </c>
      <c r="G35" s="12">
        <f>IFERROR(VLOOKUP($E$35,FATORES!$B$37:$E$38,3),0)</f>
        <v>0</v>
      </c>
      <c r="H35" s="65">
        <f t="shared" si="9"/>
        <v>0.14177500000000001</v>
      </c>
      <c r="I35" s="65">
        <f t="shared" si="8"/>
        <v>0</v>
      </c>
      <c r="J35" s="65">
        <f t="shared" si="10"/>
        <v>0.14177500000000001</v>
      </c>
      <c r="K35" s="121">
        <f>SUMIFS(REALIZADO[META_ESSENCIAIS],REALIZADO[COORDENAÇÃO],$P$7)</f>
        <v>41199.999999999993</v>
      </c>
      <c r="L35" s="86">
        <f>SUMIFS(REALIZADO[AT_ESSENCIAIS_A],REALIZADO[COORDENAÇÃO],$P$7)</f>
        <v>1616.6499999999999</v>
      </c>
      <c r="M35" s="97">
        <f>IFERROR((L35+L36)/K35,0)</f>
        <v>0.10509466019417477</v>
      </c>
      <c r="N35" s="12">
        <f>IF($M$35&gt;=FATORES!$B$39,FATORES!$D$39,0)</f>
        <v>0</v>
      </c>
      <c r="O35" s="14">
        <f t="shared" si="12"/>
        <v>0</v>
      </c>
      <c r="P35" s="13">
        <f t="shared" si="13"/>
        <v>0.14177500000000001</v>
      </c>
      <c r="Q35" s="15">
        <f>IF($F$8=2,P35*0.05,0)</f>
        <v>0</v>
      </c>
      <c r="R35" s="15">
        <f>IF($F$8=3,P35*0.15,0)</f>
        <v>0</v>
      </c>
      <c r="S35" s="99"/>
      <c r="T35" s="125"/>
    </row>
    <row r="36" spans="2:20" x14ac:dyDescent="0.35">
      <c r="B36" s="46" t="s">
        <v>235</v>
      </c>
      <c r="C36" s="122"/>
      <c r="D36" s="87">
        <f>SUMIFS(REALIZADO[AT_ESSENCIAIS_B],REALIZADO[PDV],'MARCILIO DE NORONHA'!$M$7)</f>
        <v>293.55</v>
      </c>
      <c r="E36" s="123"/>
      <c r="F36" s="12">
        <f>VLOOKUP($E$35,FATORES!$B$34:$E$36,4)</f>
        <v>2.5000000000000001E-4</v>
      </c>
      <c r="G36" s="12">
        <f>IFERROR(VLOOKUP($E$35,FATORES!$B$37:$E$38,4),0)</f>
        <v>0</v>
      </c>
      <c r="H36" s="65">
        <f t="shared" si="9"/>
        <v>7.3387500000000008E-2</v>
      </c>
      <c r="I36" s="65">
        <f t="shared" si="8"/>
        <v>0</v>
      </c>
      <c r="J36" s="65">
        <f t="shared" si="10"/>
        <v>7.3387500000000008E-2</v>
      </c>
      <c r="K36" s="122"/>
      <c r="L36" s="87">
        <f>SUMIFS(REALIZADO[AT_ESSENCIAIS_B],REALIZADO[COORDENAÇÃO],$P$7)</f>
        <v>2713.25</v>
      </c>
      <c r="M36" s="97"/>
      <c r="N36" s="12">
        <f>IF($M$35&gt;=FATORES!$B$39,FATORES!$E$39,0)</f>
        <v>0</v>
      </c>
      <c r="O36" s="14">
        <f t="shared" si="12"/>
        <v>0</v>
      </c>
      <c r="P36" s="13">
        <f t="shared" si="13"/>
        <v>7.3387500000000008E-2</v>
      </c>
      <c r="Q36" s="15">
        <f>IF($F$8=2,P36*0.05,0)</f>
        <v>0</v>
      </c>
      <c r="R36" s="15">
        <f>IF($F$8=3,P36*0.15,0)</f>
        <v>0</v>
      </c>
      <c r="S36" s="99"/>
      <c r="T36" s="125"/>
    </row>
    <row r="37" spans="2:20" x14ac:dyDescent="0.35">
      <c r="B37" s="46" t="s">
        <v>212</v>
      </c>
      <c r="C37" s="57">
        <f>SUMIFS(REALIZADO[META_SEGUROS],REALIZADO[PDV],'MARCILIO DE NORONHA'!$M$7)</f>
        <v>350</v>
      </c>
      <c r="D37" s="79">
        <f>SUMIFS(REALIZADO[AT_SEGUROS],REALIZADO[PDV],'MARCILIO DE NORONHA'!$M$7)</f>
        <v>69.8</v>
      </c>
      <c r="E37" s="83">
        <f>IFERROR(D37/C37,0)</f>
        <v>0.19942857142857143</v>
      </c>
      <c r="F37" s="83">
        <f>VLOOKUP($E$37,FATORES!$O$32:$Q$34,3)</f>
        <v>5.0000000000000001E-3</v>
      </c>
      <c r="G37" s="12">
        <f>IFERROR(VLOOKUP($E$37,FATORES!$O$35:$Q$36,3),0)</f>
        <v>0</v>
      </c>
      <c r="H37" s="65">
        <f t="shared" si="9"/>
        <v>0.34899999999999998</v>
      </c>
      <c r="I37" s="65">
        <f t="shared" si="8"/>
        <v>0</v>
      </c>
      <c r="J37" s="65">
        <f t="shared" si="10"/>
        <v>0.34899999999999998</v>
      </c>
      <c r="K37" s="57">
        <f>SUMIFS(REALIZADO[META_SEGUROS],REALIZADO[COORDENAÇÃO],$P$7)</f>
        <v>5129.9997999999996</v>
      </c>
      <c r="L37" s="79">
        <f>SUMIFS(REALIZADO[AT_SEGUROS],REALIZADO[COORDENAÇÃO],$P$7)</f>
        <v>328.9</v>
      </c>
      <c r="M37" s="50">
        <f t="shared" ref="M37:M38" si="14">IFERROR(L37/K37,0)</f>
        <v>6.411306292838452E-2</v>
      </c>
      <c r="N37" s="12">
        <f>IF($M$37&gt;=FATORES!$O$37,FATORES!$Q$37,0)</f>
        <v>0</v>
      </c>
      <c r="O37" s="14">
        <f t="shared" si="12"/>
        <v>0</v>
      </c>
      <c r="P37" s="13">
        <f t="shared" si="13"/>
        <v>0.34899999999999998</v>
      </c>
      <c r="Q37" s="15">
        <f>IF($G$8=2,P37*0.05,0)</f>
        <v>0</v>
      </c>
      <c r="R37" s="15">
        <f>IF($G$8=3,P37*0.15,0)</f>
        <v>0</v>
      </c>
      <c r="S37" s="99"/>
      <c r="T37" s="125"/>
    </row>
    <row r="38" spans="2:20" x14ac:dyDescent="0.35">
      <c r="B38" s="48" t="s">
        <v>14</v>
      </c>
      <c r="C38" s="76">
        <f>SUMIFS(REALIZADO[META_SVA],REALIZADO[PDV],'MARCILIO DE NORONHA'!$M$7)</f>
        <v>400.00010000000003</v>
      </c>
      <c r="D38" s="77">
        <f>SUMIFS(REALIZADO[AT_SVA],REALIZADO[PDV],'MARCILIO DE NORONHA'!$M$7)</f>
        <v>119.8</v>
      </c>
      <c r="E38" s="82">
        <f>IFERROR(D38/C38,0)</f>
        <v>0.29949992512501866</v>
      </c>
      <c r="F38" s="16">
        <f>IF($E$38&gt;=0,FATORES!$Q$40)</f>
        <v>5.0000000000000001E-3</v>
      </c>
      <c r="G38" s="16">
        <f>IFERROR(VLOOKUP($E$38,FATORES!$O$43:$Q$44,3),0)</f>
        <v>0</v>
      </c>
      <c r="H38" s="17">
        <f t="shared" si="9"/>
        <v>0.59899999999999998</v>
      </c>
      <c r="I38" s="65">
        <f t="shared" si="8"/>
        <v>0</v>
      </c>
      <c r="J38" s="17">
        <f t="shared" si="10"/>
        <v>0.59899999999999998</v>
      </c>
      <c r="K38" s="76">
        <f>SUMIFS(REALIZADO[META_SVA],REALIZADO[COORDENAÇÃO],$P$7)</f>
        <v>4540.0006000000003</v>
      </c>
      <c r="L38" s="77">
        <f>SUMIFS(REALIZADO[AT_SVA],REALIZADO[COORDENAÇÃO],$P$7)</f>
        <v>882.62999999999988</v>
      </c>
      <c r="M38" s="51">
        <f t="shared" si="14"/>
        <v>0.19441186857992923</v>
      </c>
      <c r="N38" s="16">
        <f>IF($M$38&gt;=FATORES!$O$45,FATORES!$Q$45,0)</f>
        <v>0</v>
      </c>
      <c r="O38" s="14">
        <f t="shared" si="12"/>
        <v>0</v>
      </c>
      <c r="P38" s="18">
        <f t="shared" si="13"/>
        <v>0.59899999999999998</v>
      </c>
      <c r="Q38" s="19">
        <f>IF($H$8=2,P38*0.05,0)</f>
        <v>0</v>
      </c>
      <c r="R38" s="19">
        <f>IF($H$8=3,P38*0.15,0)</f>
        <v>0</v>
      </c>
      <c r="S38" s="100"/>
      <c r="T38" s="126"/>
    </row>
    <row r="39" spans="2:20" x14ac:dyDescent="0.35">
      <c r="B39" s="66"/>
      <c r="C39" s="67"/>
      <c r="D39" s="67"/>
      <c r="E39" s="67"/>
      <c r="F39" s="67"/>
      <c r="G39" s="67"/>
      <c r="H39" s="67"/>
      <c r="I39" s="67"/>
      <c r="J39" s="68"/>
      <c r="K39" s="69"/>
      <c r="L39" s="67"/>
      <c r="M39" s="67"/>
      <c r="N39" s="67"/>
      <c r="O39" s="67"/>
      <c r="P39" s="70">
        <f>SUM(P30:P38)</f>
        <v>8.7625124999999997</v>
      </c>
      <c r="Q39" s="70">
        <f t="shared" ref="Q39:R39" si="15">SUM(Q30:Q38)</f>
        <v>0</v>
      </c>
      <c r="R39" s="70">
        <f t="shared" si="15"/>
        <v>0</v>
      </c>
      <c r="S39" s="71" t="str">
        <f>IF($P$7="ARIEL",IF(MIN(E30,E32,E33,E34,E35,E37,E38)&gt;=100%,SUM(P39:R39)*S30,""),IF(MIN(E30:E38)&gt;=100%,SUM(P39:R39)*S30,""))</f>
        <v/>
      </c>
      <c r="T39" s="72"/>
    </row>
    <row r="41" spans="2:20" ht="18.5" x14ac:dyDescent="0.35">
      <c r="B41" s="107" t="s">
        <v>239</v>
      </c>
      <c r="C41" s="108"/>
      <c r="D41" s="108"/>
      <c r="E41" s="108"/>
      <c r="F41" s="108"/>
      <c r="G41" s="108"/>
      <c r="H41" s="108"/>
      <c r="I41" s="108"/>
      <c r="J41" s="108"/>
      <c r="K41" s="108"/>
      <c r="L41" s="108"/>
      <c r="M41" s="108"/>
      <c r="N41" s="108"/>
      <c r="O41" s="108"/>
      <c r="P41" s="108"/>
      <c r="Q41" s="108"/>
      <c r="R41" s="108"/>
      <c r="S41" s="108"/>
      <c r="T41" s="108"/>
    </row>
    <row r="42" spans="2:20" x14ac:dyDescent="0.35">
      <c r="B42" s="109" t="s">
        <v>9</v>
      </c>
      <c r="C42" s="110"/>
      <c r="D42" s="110"/>
      <c r="E42" s="110"/>
      <c r="F42" s="110"/>
      <c r="G42" s="110"/>
      <c r="H42" s="110"/>
      <c r="I42" s="110"/>
      <c r="J42" s="111"/>
      <c r="K42" s="112" t="s">
        <v>54</v>
      </c>
      <c r="L42" s="113"/>
      <c r="M42" s="113"/>
      <c r="N42" s="113"/>
      <c r="O42" s="113"/>
      <c r="P42" s="7"/>
      <c r="Q42" s="7"/>
      <c r="R42" s="7"/>
      <c r="S42" s="7"/>
      <c r="T42" s="64"/>
    </row>
    <row r="43" spans="2:20" ht="14.5" customHeight="1" x14ac:dyDescent="0.35">
      <c r="B43" s="114" t="s">
        <v>214</v>
      </c>
      <c r="C43" s="116" t="s">
        <v>237</v>
      </c>
      <c r="D43" s="117"/>
      <c r="E43" s="104"/>
      <c r="F43" s="118" t="s">
        <v>216</v>
      </c>
      <c r="G43" s="118" t="s">
        <v>217</v>
      </c>
      <c r="H43" s="118" t="s">
        <v>218</v>
      </c>
      <c r="I43" s="118" t="s">
        <v>219</v>
      </c>
      <c r="J43" s="118" t="s">
        <v>220</v>
      </c>
      <c r="K43" s="104" t="s">
        <v>238</v>
      </c>
      <c r="L43" s="105"/>
      <c r="M43" s="105"/>
      <c r="N43" s="106" t="s">
        <v>222</v>
      </c>
      <c r="O43" s="106" t="s">
        <v>223</v>
      </c>
      <c r="P43" s="106" t="s">
        <v>224</v>
      </c>
      <c r="Q43" s="106" t="s">
        <v>225</v>
      </c>
      <c r="R43" s="106" t="s">
        <v>226</v>
      </c>
      <c r="S43" s="106" t="s">
        <v>227</v>
      </c>
      <c r="T43" s="119" t="s">
        <v>228</v>
      </c>
    </row>
    <row r="44" spans="2:20" x14ac:dyDescent="0.35">
      <c r="B44" s="115"/>
      <c r="C44" s="94" t="s">
        <v>229</v>
      </c>
      <c r="D44" s="120" t="s">
        <v>230</v>
      </c>
      <c r="E44" s="120"/>
      <c r="F44" s="118"/>
      <c r="G44" s="118"/>
      <c r="H44" s="118"/>
      <c r="I44" s="118"/>
      <c r="J44" s="118"/>
      <c r="K44" s="52" t="s">
        <v>229</v>
      </c>
      <c r="L44" s="120" t="s">
        <v>230</v>
      </c>
      <c r="M44" s="120"/>
      <c r="N44" s="106"/>
      <c r="O44" s="106"/>
      <c r="P44" s="106"/>
      <c r="Q44" s="106"/>
      <c r="R44" s="106"/>
      <c r="S44" s="106"/>
      <c r="T44" s="119"/>
    </row>
    <row r="45" spans="2:20" x14ac:dyDescent="0.35">
      <c r="B45" s="45" t="s">
        <v>2</v>
      </c>
      <c r="C45" s="53">
        <f>SUMIFS(REALIZADO[META_MOVEL],REALIZADO[PDV],'MARCILIO DE NORONHA'!$M$7)</f>
        <v>5000</v>
      </c>
      <c r="D45" s="54">
        <v>500</v>
      </c>
      <c r="E45" s="49">
        <f>IFERROR(D45/C45,0)</f>
        <v>0.1</v>
      </c>
      <c r="F45" s="8">
        <f>VLOOKUP($E$45,FATORES!$I$32:$K$34,3)</f>
        <v>5.0000000000000001E-3</v>
      </c>
      <c r="G45" s="8">
        <f>IFERROR(VLOOKUP(E45,FATORES!$I$35:$K$36,3),0)</f>
        <v>0</v>
      </c>
      <c r="H45" s="9">
        <f>D45*F45</f>
        <v>2.5</v>
      </c>
      <c r="I45" s="9">
        <f t="shared" ref="I45:I53" si="16">IF($P$7="ARIEL",
   IF(AND($E$45&gt;=69.5%, AND($E$47&gt;=69.5%, $E$48&gt;=69.5%, $E$48&gt;=69.5%, $E$50&gt;=69.5%, $E$50&gt;=69.5%, $E$52&gt;=69.5%, $E$53&gt;=69.5%)),
      D45*G45,
      0),
   IF(AND($E$45&gt;=69.5%, $E$46&gt;=69.5%, $E$47&gt;=69.5%, $E$48&gt;=69.5%, $E$48&gt;=69.5%, $E$50&gt;=69.5%, $E$50&gt;=69.5%, $E$52&gt;=69.5%, $E$53&gt;=69.5%),
      D45*G45,
      0)
)</f>
        <v>0</v>
      </c>
      <c r="J45" s="9">
        <f>H45+I45</f>
        <v>2.5</v>
      </c>
      <c r="K45" s="53">
        <f>SUMIFS(REALIZADO[META_MOVEL],REALIZADO[COORDENAÇÃO],$P$7)</f>
        <v>53549.999899999995</v>
      </c>
      <c r="L45" s="54">
        <f>SUMIFS(REALIZADO[META_MOVEL],REALIZADO[COORDENAÇÃO],$P$7)</f>
        <v>53549.999899999995</v>
      </c>
      <c r="M45" s="49">
        <f>IFERROR(L45/K45,0)</f>
        <v>1</v>
      </c>
      <c r="N45" s="8">
        <f>IF($M$45&gt;=FATORES!$I$37,FATORES!$K$37,0)</f>
        <v>0.03</v>
      </c>
      <c r="O45" s="14">
        <f>IF(E45&gt;=100%,
IF($P$7="ARIEL",
   IF(AND($E$45&gt;=69.5%, AND($E$47&gt;=69.5%, $E$48&gt;=69.5%, $E$48&gt;=69.5%, $E$50&gt;=69.5%, $E$50&gt;=69.5%, $E$52&gt;=69.5%, $E$53&gt;=69.5%)),
      D45*N45,
      0),
   IF(AND($E$45&gt;=69.5%, $E$46&gt;=69.5%, $E$47&gt;=69.5%, $E$48&gt;=69.5%, $E$48&gt;=69.5%, $E$50&gt;=69.5%, $E$50&gt;=69.5%, $E$52&gt;=69.5%, $E$53&gt;=69.5%),
      D45*N45,
      0)
),0)</f>
        <v>0</v>
      </c>
      <c r="P45" s="10">
        <f>J45+O45</f>
        <v>2.5</v>
      </c>
      <c r="Q45" s="11">
        <f>IF($B$8=2,P45*0.05,0)</f>
        <v>0</v>
      </c>
      <c r="R45" s="11">
        <f>IF($B$8=3,P45*0.15,0)</f>
        <v>0</v>
      </c>
      <c r="S45" s="98">
        <v>0.1</v>
      </c>
      <c r="T45" s="101">
        <f>SUM($P$54:$S$54)</f>
        <v>355.82499999999999</v>
      </c>
    </row>
    <row r="46" spans="2:20" x14ac:dyDescent="0.35">
      <c r="B46" s="46" t="s">
        <v>13</v>
      </c>
      <c r="C46" s="55">
        <f>SUMIFS(REALIZADO[META_FIXA],REALIZADO[PDV],'MARCILIO DE NORONHA'!$M$7)</f>
        <v>2950</v>
      </c>
      <c r="D46" s="56">
        <v>5000</v>
      </c>
      <c r="E46" s="50">
        <f>IFERROR(D46/C46,0)</f>
        <v>1.6949152542372881</v>
      </c>
      <c r="F46" s="12">
        <f>VLOOKUP($E$46,FATORES!$I$40:$K$42,3)</f>
        <v>0.04</v>
      </c>
      <c r="G46" s="12">
        <f>IFERROR(VLOOKUP(E46,FATORES!$I$43:$K$44,3),0)</f>
        <v>0.15</v>
      </c>
      <c r="H46" s="65">
        <f t="shared" ref="H46:H53" si="17">D46*F46</f>
        <v>200</v>
      </c>
      <c r="I46" s="65">
        <f t="shared" si="16"/>
        <v>0</v>
      </c>
      <c r="J46" s="65">
        <f t="shared" ref="J46:J53" si="18">H46+I46</f>
        <v>200</v>
      </c>
      <c r="K46" s="55">
        <f>SUMIFS(REALIZADO[META_FIXA],REALIZADO[COORDENAÇÃO],$P$7)</f>
        <v>29649.999899999988</v>
      </c>
      <c r="L46" s="56">
        <f>SUMIFS(REALIZADO[META_FIXA],REALIZADO[COORDENAÇÃO],$P$7)</f>
        <v>29649.999899999988</v>
      </c>
      <c r="M46" s="50">
        <f t="shared" ref="M46:M53" si="19">IFERROR(L46/K46,0)</f>
        <v>1</v>
      </c>
      <c r="N46" s="12">
        <f>IF($M$46&gt;=FATORES!$I$45,FATORES!$K$45,0)</f>
        <v>0.03</v>
      </c>
      <c r="O46" s="14">
        <f t="shared" ref="O46:O53" si="20">IF(E46&gt;=100%,
IF($P$7="ARIEL",
   IF(AND($E$45&gt;=69.5%, AND($E$47&gt;=69.5%, $E$48&gt;=69.5%, $E$48&gt;=69.5%, $E$50&gt;=69.5%, $E$50&gt;=69.5%, $E$52&gt;=69.5%, $E$53&gt;=69.5%)),
      D46*N46,
      0),
   IF(AND($E$45&gt;=69.5%, $E$46&gt;=69.5%, $E$47&gt;=69.5%, $E$48&gt;=69.5%, $E$48&gt;=69.5%, $E$50&gt;=69.5%, $E$50&gt;=69.5%, $E$52&gt;=69.5%, $E$53&gt;=69.5%),
      D46*N46,
      0)
),0)</f>
        <v>0</v>
      </c>
      <c r="P46" s="13">
        <f t="shared" ref="P46:P53" si="21">J46+O46</f>
        <v>200</v>
      </c>
      <c r="Q46" s="15">
        <f>IF($C$8=2,P46*0.05,0)</f>
        <v>0</v>
      </c>
      <c r="R46" s="15">
        <f>IF($C$8=3,P46*0.15,0)</f>
        <v>0</v>
      </c>
      <c r="S46" s="99"/>
      <c r="T46" s="102"/>
    </row>
    <row r="47" spans="2:20" x14ac:dyDescent="0.35">
      <c r="B47" s="46" t="s">
        <v>231</v>
      </c>
      <c r="C47" s="55">
        <f>SUMIFS(REALIZADO[META_SMARTPHONE],REALIZADO[PDV],'MARCILIO DE NORONHA'!$M$7)</f>
        <v>49999.999899999995</v>
      </c>
      <c r="D47" s="56">
        <v>250000</v>
      </c>
      <c r="E47" s="50">
        <f>IFERROR(D47/C47,0)</f>
        <v>5.0000000100000008</v>
      </c>
      <c r="F47" s="12">
        <f>VLOOKUP($E$47,FATORES!$B$53:$D$54,3)</f>
        <v>5.0000000000000001E-4</v>
      </c>
      <c r="G47" s="12">
        <f>IFERROR(VLOOKUP(E47,FATORES!$B$55:$D$55,3),0)</f>
        <v>1E-3</v>
      </c>
      <c r="H47" s="65">
        <f t="shared" si="17"/>
        <v>125</v>
      </c>
      <c r="I47" s="65">
        <f t="shared" si="16"/>
        <v>0</v>
      </c>
      <c r="J47" s="65">
        <f t="shared" si="18"/>
        <v>125</v>
      </c>
      <c r="K47" s="55">
        <f>SUMIFS(REALIZADO[META_SMARTPHONE],REALIZADO[COORDENAÇÃO],$P$7)</f>
        <v>741500.00009999995</v>
      </c>
      <c r="L47" s="56">
        <f>SUMIFS(REALIZADO[META_SMARTPHONE],REALIZADO[COORDENAÇÃO],$P$7)</f>
        <v>741500.00009999995</v>
      </c>
      <c r="M47" s="50">
        <f t="shared" si="19"/>
        <v>1</v>
      </c>
      <c r="N47" s="12">
        <f>IF($M$47&gt;=FATORES!$B$56,FATORES!$D$56,0)</f>
        <v>5.0000000000000001E-4</v>
      </c>
      <c r="O47" s="14">
        <f t="shared" si="20"/>
        <v>0</v>
      </c>
      <c r="P47" s="13">
        <f t="shared" si="21"/>
        <v>125</v>
      </c>
      <c r="Q47" s="15">
        <f>IF($D$8=2,P47*0.05,0)</f>
        <v>0</v>
      </c>
      <c r="R47" s="15">
        <f>IF($D$8=3,P47*0.15,0)</f>
        <v>0</v>
      </c>
      <c r="S47" s="99"/>
      <c r="T47" s="102"/>
    </row>
    <row r="48" spans="2:20" x14ac:dyDescent="0.35">
      <c r="B48" s="47" t="s">
        <v>232</v>
      </c>
      <c r="C48" s="96">
        <f>SUMIFS(REALIZADO[META_ACESSORIO],REALIZADO[PDV],'MARCILIO DE NORONHA'!$M$7)</f>
        <v>5799.9999000000007</v>
      </c>
      <c r="D48" s="56">
        <v>0</v>
      </c>
      <c r="E48" s="97">
        <f>IFERROR((D48+D49)/C48,0)</f>
        <v>0.94827587841854954</v>
      </c>
      <c r="F48" s="12">
        <f>VLOOKUP($E$48,FATORES!$B$44:$E$46,3)</f>
        <v>1.5E-3</v>
      </c>
      <c r="G48" s="12">
        <f>IFERROR(VLOOKUP(E48,FATORES!$B$47:$E$48,3),0)</f>
        <v>0</v>
      </c>
      <c r="H48" s="65">
        <f t="shared" si="17"/>
        <v>0</v>
      </c>
      <c r="I48" s="65">
        <f t="shared" si="16"/>
        <v>0</v>
      </c>
      <c r="J48" s="65">
        <f t="shared" si="18"/>
        <v>0</v>
      </c>
      <c r="K48" s="96">
        <f>SUMIFS(REALIZADO[META_ACESSORIO],REALIZADO[COORDENAÇÃO],$P$7)</f>
        <v>82600.000300000014</v>
      </c>
      <c r="L48" s="56">
        <f>SUMIFS(REALIZADO[META_ACESSORIO],REALIZADO[COORDENAÇÃO],$P$7)</f>
        <v>82600.000300000014</v>
      </c>
      <c r="M48" s="97">
        <f>IFERROR((L48+L49)/K48,0)</f>
        <v>1</v>
      </c>
      <c r="N48" s="12">
        <f>IF($M$48&gt;=FATORES!$B$49,FATORES!$D$49,0)</f>
        <v>2.5000000000000001E-3</v>
      </c>
      <c r="O48" s="14">
        <f t="shared" si="20"/>
        <v>0</v>
      </c>
      <c r="P48" s="13">
        <f t="shared" si="21"/>
        <v>0</v>
      </c>
      <c r="Q48" s="15">
        <f>IF($E$8=2,P48*0.05,0)</f>
        <v>0</v>
      </c>
      <c r="R48" s="15">
        <f>IF($E$8=3,P48*0.15,0)</f>
        <v>0</v>
      </c>
      <c r="S48" s="99"/>
      <c r="T48" s="102"/>
    </row>
    <row r="49" spans="2:20" x14ac:dyDescent="0.35">
      <c r="B49" s="47" t="s">
        <v>233</v>
      </c>
      <c r="C49" s="96"/>
      <c r="D49" s="56">
        <v>5500</v>
      </c>
      <c r="E49" s="97"/>
      <c r="F49" s="12">
        <f>VLOOKUP($E$48,FATORES!$B$44:$E$46,4)</f>
        <v>7.5000000000000002E-4</v>
      </c>
      <c r="G49" s="12">
        <f>IFERROR(VLOOKUP(E48,FATORES!$B$47:$E$48,4),0)</f>
        <v>0</v>
      </c>
      <c r="H49" s="65">
        <f t="shared" si="17"/>
        <v>4.125</v>
      </c>
      <c r="I49" s="65">
        <f t="shared" si="16"/>
        <v>0</v>
      </c>
      <c r="J49" s="65">
        <f t="shared" si="18"/>
        <v>4.125</v>
      </c>
      <c r="K49" s="96"/>
      <c r="L49" s="56"/>
      <c r="M49" s="97"/>
      <c r="N49" s="12">
        <f>IF($M$48&gt;=FATORES!$B$49,FATORES!$E$49,0)</f>
        <v>1.25E-3</v>
      </c>
      <c r="O49" s="14">
        <f t="shared" si="20"/>
        <v>0</v>
      </c>
      <c r="P49" s="13">
        <f t="shared" si="21"/>
        <v>4.125</v>
      </c>
      <c r="Q49" s="15">
        <f>IF($E$8=2,P49*0.05,0)</f>
        <v>0</v>
      </c>
      <c r="R49" s="15">
        <f>IF($E$8=3,P49*0.15,0)</f>
        <v>0</v>
      </c>
      <c r="S49" s="99"/>
      <c r="T49" s="102"/>
    </row>
    <row r="50" spans="2:20" x14ac:dyDescent="0.35">
      <c r="B50" s="46" t="s">
        <v>234</v>
      </c>
      <c r="C50" s="96">
        <f>SUMIFS(REALIZADO[META_ESSENCIAIS],REALIZADO[PDV],'MARCILIO DE NORONHA'!$M$7)</f>
        <v>3999.9998999999998</v>
      </c>
      <c r="D50" s="56">
        <v>4500</v>
      </c>
      <c r="E50" s="97">
        <f>IFERROR((D50+D51)/C50,0)</f>
        <v>1.1250000281250008</v>
      </c>
      <c r="F50" s="12">
        <f>VLOOKUP($E$50,FATORES!$B$34:$E$36,3)</f>
        <v>1.5E-3</v>
      </c>
      <c r="G50" s="12">
        <f>IFERROR(VLOOKUP(E50,FATORES!$B$37:$E$38,3),0)</f>
        <v>6.0000000000000001E-3</v>
      </c>
      <c r="H50" s="65">
        <f t="shared" si="17"/>
        <v>6.75</v>
      </c>
      <c r="I50" s="65">
        <f t="shared" si="16"/>
        <v>0</v>
      </c>
      <c r="J50" s="65">
        <f t="shared" si="18"/>
        <v>6.75</v>
      </c>
      <c r="K50" s="96">
        <f>SUMIFS(REALIZADO[META_ESSENCIAIS],REALIZADO[COORDENAÇÃO],$P$7)</f>
        <v>41199.999999999993</v>
      </c>
      <c r="L50" s="56">
        <f>SUMIFS(REALIZADO[META_ESSENCIAIS],REALIZADO[COORDENAÇÃO],$P$7)</f>
        <v>41199.999999999993</v>
      </c>
      <c r="M50" s="97">
        <f>IFERROR((L50+L51)/K50,0)</f>
        <v>1</v>
      </c>
      <c r="N50" s="12">
        <f>IF($M$50&gt;=FATORES!$B$39,FATORES!$D$39,0)</f>
        <v>8.0000000000000002E-3</v>
      </c>
      <c r="O50" s="14">
        <f t="shared" si="20"/>
        <v>0</v>
      </c>
      <c r="P50" s="13">
        <f t="shared" si="21"/>
        <v>6.75</v>
      </c>
      <c r="Q50" s="15">
        <f>IF($F$8=2,P50*0.05,0)</f>
        <v>0</v>
      </c>
      <c r="R50" s="15">
        <f>IF($F$8=3,P50*0.15,0)</f>
        <v>0</v>
      </c>
      <c r="S50" s="99"/>
      <c r="T50" s="102"/>
    </row>
    <row r="51" spans="2:20" x14ac:dyDescent="0.35">
      <c r="B51" s="46" t="s">
        <v>235</v>
      </c>
      <c r="C51" s="96"/>
      <c r="D51" s="56">
        <v>0</v>
      </c>
      <c r="E51" s="97"/>
      <c r="F51" s="12">
        <f>VLOOKUP($E$50,FATORES!$B$34:$E$36,4)</f>
        <v>7.5000000000000002E-4</v>
      </c>
      <c r="G51" s="12">
        <f>IFERROR(VLOOKUP(E50,FATORES!$B$37:$E$38,4),0)</f>
        <v>3.0000000000000001E-3</v>
      </c>
      <c r="H51" s="65">
        <f t="shared" si="17"/>
        <v>0</v>
      </c>
      <c r="I51" s="65">
        <f t="shared" si="16"/>
        <v>0</v>
      </c>
      <c r="J51" s="65">
        <f t="shared" si="18"/>
        <v>0</v>
      </c>
      <c r="K51" s="96"/>
      <c r="L51" s="56"/>
      <c r="M51" s="97"/>
      <c r="N51" s="12">
        <f>IF($M$50&gt;=FATORES!$B$39,FATORES!$E$39,0)</f>
        <v>4.0000000000000001E-3</v>
      </c>
      <c r="O51" s="14">
        <f t="shared" si="20"/>
        <v>0</v>
      </c>
      <c r="P51" s="13">
        <f t="shared" si="21"/>
        <v>0</v>
      </c>
      <c r="Q51" s="15">
        <f>IF($F$8=2,P51*0.05,0)</f>
        <v>0</v>
      </c>
      <c r="R51" s="15">
        <f>IF($F$8=3,P51*0.15,0)</f>
        <v>0</v>
      </c>
      <c r="S51" s="99"/>
      <c r="T51" s="102"/>
    </row>
    <row r="52" spans="2:20" x14ac:dyDescent="0.35">
      <c r="B52" s="46" t="s">
        <v>212</v>
      </c>
      <c r="C52" s="55">
        <f>SUMIFS(REALIZADO[META_SEGUROS],REALIZADO[PDV],'MARCILIO DE NORONHA'!$M$7)</f>
        <v>350</v>
      </c>
      <c r="D52" s="56">
        <v>380</v>
      </c>
      <c r="E52" s="50">
        <f>IFERROR(D52/C52,0)</f>
        <v>1.0857142857142856</v>
      </c>
      <c r="F52" s="83">
        <f>VLOOKUP($E$52,FATORES!$O$32:$Q$34,3)</f>
        <v>0.04</v>
      </c>
      <c r="G52" s="12">
        <f>IFERROR(VLOOKUP(E52,FATORES!$O$35:$Q$36,3),0)</f>
        <v>0.1</v>
      </c>
      <c r="H52" s="65">
        <f t="shared" si="17"/>
        <v>15.200000000000001</v>
      </c>
      <c r="I52" s="65">
        <f t="shared" si="16"/>
        <v>0</v>
      </c>
      <c r="J52" s="65">
        <f t="shared" si="18"/>
        <v>15.200000000000001</v>
      </c>
      <c r="K52" s="55">
        <f>SUMIFS(REALIZADO[META_SEGUROS],REALIZADO[COORDENAÇÃO],$P$7)</f>
        <v>5129.9997999999996</v>
      </c>
      <c r="L52" s="56">
        <f>SUMIFS(REALIZADO[META_SEGUROS],REALIZADO[COORDENAÇÃO],$P$7)</f>
        <v>5129.9997999999996</v>
      </c>
      <c r="M52" s="50">
        <f t="shared" si="19"/>
        <v>1</v>
      </c>
      <c r="N52" s="12">
        <f>IF($M$52&gt;=FATORES!$O$37,FATORES!$Q$37,0)</f>
        <v>0.03</v>
      </c>
      <c r="O52" s="14">
        <f t="shared" si="20"/>
        <v>0</v>
      </c>
      <c r="P52" s="13">
        <f t="shared" si="21"/>
        <v>15.200000000000001</v>
      </c>
      <c r="Q52" s="15">
        <f>IF($G$8=2,P52*0.05,0)</f>
        <v>0</v>
      </c>
      <c r="R52" s="15">
        <f>IF($G$8=3,P52*0.15,0)</f>
        <v>0</v>
      </c>
      <c r="S52" s="99"/>
      <c r="T52" s="102"/>
    </row>
    <row r="53" spans="2:20" x14ac:dyDescent="0.35">
      <c r="B53" s="48" t="s">
        <v>14</v>
      </c>
      <c r="C53" s="57">
        <f>SUMIFS(REALIZADO[META_SVA],REALIZADO[PDV],'MARCILIO DE NORONHA'!$M$7)</f>
        <v>400.00010000000003</v>
      </c>
      <c r="D53" s="58">
        <v>450</v>
      </c>
      <c r="E53" s="51">
        <f>IFERROR(D53/C53,0)</f>
        <v>1.1249997187500702</v>
      </c>
      <c r="F53" s="16">
        <f>IF($E$53&gt;=0,FATORES!$Q$40)</f>
        <v>5.0000000000000001E-3</v>
      </c>
      <c r="G53" s="16">
        <f>IFERROR(VLOOKUP(E53,FATORES!$O$43:$Q$44,3),0)</f>
        <v>5.0000000000000001E-3</v>
      </c>
      <c r="H53" s="17">
        <f t="shared" si="17"/>
        <v>2.25</v>
      </c>
      <c r="I53" s="65">
        <f t="shared" si="16"/>
        <v>0</v>
      </c>
      <c r="J53" s="17">
        <f t="shared" si="18"/>
        <v>2.25</v>
      </c>
      <c r="K53" s="57">
        <f>SUMIFS(REALIZADO[META_SVA],REALIZADO[COORDENAÇÃO],$P$7)</f>
        <v>4540.0006000000003</v>
      </c>
      <c r="L53" s="58">
        <f>SUMIFS(REALIZADO[META_SVA],REALIZADO[COORDENAÇÃO],$P$7)</f>
        <v>4540.0006000000003</v>
      </c>
      <c r="M53" s="51">
        <f t="shared" si="19"/>
        <v>1</v>
      </c>
      <c r="N53" s="16">
        <f>IF($M$53&gt;=FATORES!$O$45,FATORES!$Q$45,0)</f>
        <v>5.0000000000000001E-3</v>
      </c>
      <c r="O53" s="14">
        <f t="shared" si="20"/>
        <v>0</v>
      </c>
      <c r="P53" s="18">
        <f t="shared" si="21"/>
        <v>2.25</v>
      </c>
      <c r="Q53" s="19">
        <f>IF($H$8=2,P53*0.05,0)</f>
        <v>0</v>
      </c>
      <c r="R53" s="19">
        <f>IF($H$8=3,P53*0.15,0)</f>
        <v>0</v>
      </c>
      <c r="S53" s="100"/>
      <c r="T53" s="103"/>
    </row>
    <row r="54" spans="2:20" x14ac:dyDescent="0.35">
      <c r="B54" s="66"/>
      <c r="C54" s="67"/>
      <c r="D54" s="67"/>
      <c r="E54" s="67"/>
      <c r="F54" s="67"/>
      <c r="G54" s="67"/>
      <c r="H54" s="67"/>
      <c r="I54" s="67"/>
      <c r="J54" s="68"/>
      <c r="K54" s="69"/>
      <c r="L54" s="67"/>
      <c r="M54" s="67"/>
      <c r="N54" s="67"/>
      <c r="O54" s="67"/>
      <c r="P54" s="70">
        <f>SUM(P45:P53)</f>
        <v>355.82499999999999</v>
      </c>
      <c r="Q54" s="70">
        <f t="shared" ref="Q54:R54" si="22">SUM(Q45:Q53)</f>
        <v>0</v>
      </c>
      <c r="R54" s="70">
        <f t="shared" si="22"/>
        <v>0</v>
      </c>
      <c r="S54" s="91" t="str">
        <f>IF($P$7="ARIEL",IF(MIN(E45,E47,E48,E49,E50,E52,E53)&gt;=99.99%,SUM(P54:R54)*S45,""),IF(MIN(E45:E53)&gt;=99.99%,SUM(P54:R54)*S45,""))</f>
        <v/>
      </c>
      <c r="T54" s="72"/>
    </row>
  </sheetData>
  <sheetProtection algorithmName="SHA-512" hashValue="kwZRMR0Aa0ju4LtHOWnO4jw9mzM8Nloy/Tt5BFlI9M4UAfwXU1KbFcg1YBagHTz25ZA/o10tjML/nwsAIHbFEQ==" saltValue="EvdngDpLoEIK5rVJi/s4Xg==" spinCount="100000" sheet="1" objects="1" scenarios="1"/>
  <protectedRanges>
    <protectedRange sqref="B8:H8 C45:D53 K45:L53" name="Intervalo1"/>
  </protectedRanges>
  <mergeCells count="94">
    <mergeCell ref="I13:I14"/>
    <mergeCell ref="B12:J12"/>
    <mergeCell ref="K12:T12"/>
    <mergeCell ref="B2:T4"/>
    <mergeCell ref="B6:H6"/>
    <mergeCell ref="M6:N6"/>
    <mergeCell ref="M7:N7"/>
    <mergeCell ref="B11:T11"/>
    <mergeCell ref="B13:B14"/>
    <mergeCell ref="C13:E13"/>
    <mergeCell ref="F13:F14"/>
    <mergeCell ref="G13:G14"/>
    <mergeCell ref="H13:H14"/>
    <mergeCell ref="D14:E14"/>
    <mergeCell ref="J13:J14"/>
    <mergeCell ref="K13:M13"/>
    <mergeCell ref="S13:S14"/>
    <mergeCell ref="T13:T14"/>
    <mergeCell ref="L14:M14"/>
    <mergeCell ref="N13:N14"/>
    <mergeCell ref="O13:O14"/>
    <mergeCell ref="P13:P14"/>
    <mergeCell ref="Q13:Q14"/>
    <mergeCell ref="R13:R14"/>
    <mergeCell ref="C20:C21"/>
    <mergeCell ref="E20:E21"/>
    <mergeCell ref="K20:K21"/>
    <mergeCell ref="M20:M21"/>
    <mergeCell ref="B26:T26"/>
    <mergeCell ref="S15:S23"/>
    <mergeCell ref="T15:T23"/>
    <mergeCell ref="C18:C19"/>
    <mergeCell ref="E18:E19"/>
    <mergeCell ref="K18:K19"/>
    <mergeCell ref="M18:M19"/>
    <mergeCell ref="B27:J27"/>
    <mergeCell ref="K27:T27"/>
    <mergeCell ref="B28:B29"/>
    <mergeCell ref="C28:E28"/>
    <mergeCell ref="F28:F29"/>
    <mergeCell ref="G28:G29"/>
    <mergeCell ref="H28:H29"/>
    <mergeCell ref="I28:I29"/>
    <mergeCell ref="J28:J29"/>
    <mergeCell ref="S28:S29"/>
    <mergeCell ref="T28:T29"/>
    <mergeCell ref="D29:E29"/>
    <mergeCell ref="L29:M29"/>
    <mergeCell ref="S30:S38"/>
    <mergeCell ref="T30:T38"/>
    <mergeCell ref="K28:M28"/>
    <mergeCell ref="N28:N29"/>
    <mergeCell ref="O28:O29"/>
    <mergeCell ref="P28:P29"/>
    <mergeCell ref="Q28:Q29"/>
    <mergeCell ref="R28:R29"/>
    <mergeCell ref="C33:C34"/>
    <mergeCell ref="E33:E34"/>
    <mergeCell ref="K33:K34"/>
    <mergeCell ref="M33:M34"/>
    <mergeCell ref="C35:C36"/>
    <mergeCell ref="E35:E36"/>
    <mergeCell ref="K35:K36"/>
    <mergeCell ref="M35:M36"/>
    <mergeCell ref="B41:T41"/>
    <mergeCell ref="B42:J42"/>
    <mergeCell ref="K42:O42"/>
    <mergeCell ref="B43:B44"/>
    <mergeCell ref="C43:E43"/>
    <mergeCell ref="F43:F44"/>
    <mergeCell ref="G43:G44"/>
    <mergeCell ref="H43:H44"/>
    <mergeCell ref="I43:I44"/>
    <mergeCell ref="J43:J44"/>
    <mergeCell ref="S43:S44"/>
    <mergeCell ref="T43:T44"/>
    <mergeCell ref="D44:E44"/>
    <mergeCell ref="L44:M44"/>
    <mergeCell ref="S45:S53"/>
    <mergeCell ref="T45:T53"/>
    <mergeCell ref="K43:M43"/>
    <mergeCell ref="N43:N44"/>
    <mergeCell ref="O43:O44"/>
    <mergeCell ref="P43:P44"/>
    <mergeCell ref="Q43:Q44"/>
    <mergeCell ref="R43:R44"/>
    <mergeCell ref="C48:C49"/>
    <mergeCell ref="E48:E49"/>
    <mergeCell ref="K48:K49"/>
    <mergeCell ref="M48:M49"/>
    <mergeCell ref="C50:C51"/>
    <mergeCell ref="E50:E51"/>
    <mergeCell ref="K50:K51"/>
    <mergeCell ref="M50:M51"/>
  </mergeCells>
  <conditionalFormatting sqref="E15:E18 E20 E22:E23">
    <cfRule type="cellIs" dxfId="162" priority="22" operator="between">
      <formula>0.7</formula>
      <formula>1</formula>
    </cfRule>
    <cfRule type="cellIs" dxfId="161" priority="23" operator="greaterThanOrEqual">
      <formula>1</formula>
    </cfRule>
    <cfRule type="cellIs" dxfId="160" priority="24" operator="lessThan">
      <formula>0.7</formula>
    </cfRule>
  </conditionalFormatting>
  <conditionalFormatting sqref="E30:E33 E35 E37:E38">
    <cfRule type="cellIs" dxfId="159" priority="10" operator="between">
      <formula>0.7</formula>
      <formula>1</formula>
    </cfRule>
    <cfRule type="cellIs" dxfId="158" priority="11" operator="greaterThanOrEqual">
      <formula>1</formula>
    </cfRule>
    <cfRule type="cellIs" dxfId="157" priority="12" operator="lessThan">
      <formula>0.7</formula>
    </cfRule>
  </conditionalFormatting>
  <conditionalFormatting sqref="E45:E48 E50 E52:E53">
    <cfRule type="cellIs" dxfId="156" priority="34" operator="between">
      <formula>0.7</formula>
      <formula>1</formula>
    </cfRule>
    <cfRule type="cellIs" dxfId="155" priority="35" operator="greaterThanOrEqual">
      <formula>1</formula>
    </cfRule>
    <cfRule type="cellIs" dxfId="154" priority="36" operator="lessThan">
      <formula>0.7</formula>
    </cfRule>
  </conditionalFormatting>
  <conditionalFormatting sqref="M15:M18">
    <cfRule type="cellIs" dxfId="153" priority="16" operator="between">
      <formula>0.7</formula>
      <formula>1</formula>
    </cfRule>
    <cfRule type="cellIs" dxfId="152" priority="17" operator="greaterThanOrEqual">
      <formula>1</formula>
    </cfRule>
    <cfRule type="cellIs" dxfId="151" priority="18" operator="lessThan">
      <formula>0.7</formula>
    </cfRule>
  </conditionalFormatting>
  <conditionalFormatting sqref="M20">
    <cfRule type="cellIs" dxfId="150" priority="13" operator="between">
      <formula>0.7</formula>
      <formula>1</formula>
    </cfRule>
    <cfRule type="cellIs" dxfId="149" priority="14" operator="greaterThanOrEqual">
      <formula>1</formula>
    </cfRule>
    <cfRule type="cellIs" dxfId="148" priority="15" operator="lessThan">
      <formula>0.7</formula>
    </cfRule>
  </conditionalFormatting>
  <conditionalFormatting sqref="M22:M23">
    <cfRule type="cellIs" dxfId="147" priority="19" operator="between">
      <formula>0.7</formula>
      <formula>1</formula>
    </cfRule>
    <cfRule type="cellIs" dxfId="146" priority="20" operator="greaterThanOrEqual">
      <formula>1</formula>
    </cfRule>
    <cfRule type="cellIs" dxfId="145" priority="21" operator="lessThan">
      <formula>0.7</formula>
    </cfRule>
  </conditionalFormatting>
  <conditionalFormatting sqref="M30:M33">
    <cfRule type="cellIs" dxfId="144" priority="4" operator="between">
      <formula>0.7</formula>
      <formula>1</formula>
    </cfRule>
    <cfRule type="cellIs" dxfId="143" priority="5" operator="greaterThanOrEqual">
      <formula>1</formula>
    </cfRule>
    <cfRule type="cellIs" dxfId="142" priority="6" operator="lessThan">
      <formula>0.7</formula>
    </cfRule>
  </conditionalFormatting>
  <conditionalFormatting sqref="M35">
    <cfRule type="cellIs" dxfId="141" priority="1" operator="between">
      <formula>0.7</formula>
      <formula>1</formula>
    </cfRule>
    <cfRule type="cellIs" dxfId="140" priority="2" operator="greaterThanOrEqual">
      <formula>1</formula>
    </cfRule>
    <cfRule type="cellIs" dxfId="139" priority="3" operator="lessThan">
      <formula>0.7</formula>
    </cfRule>
  </conditionalFormatting>
  <conditionalFormatting sqref="M37:M38">
    <cfRule type="cellIs" dxfId="138" priority="7" operator="between">
      <formula>0.7</formula>
      <formula>1</formula>
    </cfRule>
    <cfRule type="cellIs" dxfId="137" priority="8" operator="greaterThanOrEqual">
      <formula>1</formula>
    </cfRule>
    <cfRule type="cellIs" dxfId="136" priority="9" operator="lessThan">
      <formula>0.7</formula>
    </cfRule>
  </conditionalFormatting>
  <conditionalFormatting sqref="M45:M48">
    <cfRule type="cellIs" dxfId="135" priority="28" operator="between">
      <formula>0.7</formula>
      <formula>1</formula>
    </cfRule>
    <cfRule type="cellIs" dxfId="134" priority="29" operator="greaterThanOrEqual">
      <formula>1</formula>
    </cfRule>
    <cfRule type="cellIs" dxfId="133" priority="30" operator="lessThan">
      <formula>0.7</formula>
    </cfRule>
  </conditionalFormatting>
  <conditionalFormatting sqref="M50">
    <cfRule type="cellIs" dxfId="132" priority="25" operator="between">
      <formula>0.7</formula>
      <formula>1</formula>
    </cfRule>
    <cfRule type="cellIs" dxfId="131" priority="26" operator="greaterThanOrEqual">
      <formula>1</formula>
    </cfRule>
    <cfRule type="cellIs" dxfId="130" priority="27" operator="lessThan">
      <formula>0.7</formula>
    </cfRule>
  </conditionalFormatting>
  <conditionalFormatting sqref="M52:M53">
    <cfRule type="cellIs" dxfId="129" priority="31" operator="between">
      <formula>0.7</formula>
      <formula>1</formula>
    </cfRule>
    <cfRule type="cellIs" dxfId="128" priority="32" operator="greaterThanOrEqual">
      <formula>1</formula>
    </cfRule>
    <cfRule type="cellIs" dxfId="127" priority="33" operator="lessThan">
      <formula>0.7</formula>
    </cfRule>
  </conditionalFormatting>
  <dataValidations count="1">
    <dataValidation type="list" allowBlank="1" showInputMessage="1" showErrorMessage="1" sqref="B8:H8" xr:uid="{30AEE3F6-E54D-4630-948D-D80BB7147AE2}">
      <formula1>$V$6:$X$6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A7A41-499B-4AFD-983F-4863ABDC2933}">
  <dimension ref="B1:X54"/>
  <sheetViews>
    <sheetView showGridLines="0" topLeftCell="A2" zoomScale="70" zoomScaleNormal="70" workbookViewId="0">
      <selection activeCell="O17" sqref="O17"/>
    </sheetView>
  </sheetViews>
  <sheetFormatPr defaultRowHeight="14.5" x14ac:dyDescent="0.35"/>
  <cols>
    <col min="1" max="1" width="2.1796875" customWidth="1"/>
    <col min="2" max="2" width="16.453125" customWidth="1"/>
    <col min="3" max="3" width="15" bestFit="1" customWidth="1"/>
    <col min="4" max="4" width="14.54296875" customWidth="1"/>
    <col min="5" max="5" width="13.453125" bestFit="1" customWidth="1"/>
    <col min="6" max="6" width="14" customWidth="1"/>
    <col min="7" max="7" width="18.7265625" customWidth="1"/>
    <col min="8" max="8" width="15" customWidth="1"/>
    <col min="9" max="9" width="20" customWidth="1"/>
    <col min="10" max="10" width="21.1796875" customWidth="1"/>
    <col min="11" max="12" width="16.453125" customWidth="1"/>
    <col min="13" max="13" width="9.7265625" customWidth="1"/>
    <col min="14" max="14" width="20.54296875" customWidth="1"/>
    <col min="15" max="15" width="21" customWidth="1"/>
    <col min="16" max="16" width="15.26953125" customWidth="1"/>
    <col min="17" max="17" width="13" bestFit="1" customWidth="1"/>
    <col min="18" max="18" width="10.453125" bestFit="1" customWidth="1"/>
    <col min="19" max="19" width="12.7265625" bestFit="1" customWidth="1"/>
    <col min="20" max="20" width="14.453125" customWidth="1"/>
    <col min="21" max="21" width="13.7265625" customWidth="1"/>
  </cols>
  <sheetData>
    <row r="1" spans="2:24" x14ac:dyDescent="0.35">
      <c r="B1" s="59"/>
    </row>
    <row r="2" spans="2:24" ht="14.5" customHeight="1" x14ac:dyDescent="0.35">
      <c r="B2" s="146" t="s">
        <v>207</v>
      </c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</row>
    <row r="3" spans="2:24" ht="14.5" customHeight="1" x14ac:dyDescent="0.35">
      <c r="B3" s="146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7"/>
    </row>
    <row r="4" spans="2:24" ht="14.5" customHeight="1" x14ac:dyDescent="0.35">
      <c r="B4" s="146"/>
      <c r="C4" s="147"/>
      <c r="D4" s="147"/>
      <c r="E4" s="147"/>
      <c r="F4" s="147"/>
      <c r="G4" s="147"/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7"/>
      <c r="U4" s="147"/>
    </row>
    <row r="5" spans="2:24" x14ac:dyDescent="0.35">
      <c r="B5" s="60"/>
    </row>
    <row r="6" spans="2:24" ht="14.5" customHeight="1" x14ac:dyDescent="0.35">
      <c r="B6" s="152" t="s">
        <v>208</v>
      </c>
      <c r="C6" s="153"/>
      <c r="D6" s="153"/>
      <c r="E6" s="153"/>
      <c r="F6" s="153"/>
      <c r="G6" s="153"/>
      <c r="H6" s="154"/>
      <c r="M6" s="155" t="s">
        <v>54</v>
      </c>
      <c r="N6" s="156"/>
      <c r="P6" s="74" t="s">
        <v>23</v>
      </c>
      <c r="V6" s="1">
        <v>0</v>
      </c>
      <c r="W6" s="1">
        <v>2</v>
      </c>
      <c r="X6" s="1">
        <v>3</v>
      </c>
    </row>
    <row r="7" spans="2:24" ht="14.5" customHeight="1" x14ac:dyDescent="0.35">
      <c r="B7" s="62" t="s">
        <v>209</v>
      </c>
      <c r="C7" s="2" t="s">
        <v>13</v>
      </c>
      <c r="D7" s="2" t="s">
        <v>210</v>
      </c>
      <c r="E7" s="2" t="s">
        <v>16</v>
      </c>
      <c r="F7" s="2" t="s">
        <v>211</v>
      </c>
      <c r="G7" s="2" t="s">
        <v>212</v>
      </c>
      <c r="H7" s="3" t="s">
        <v>14</v>
      </c>
      <c r="J7" s="95"/>
      <c r="M7" s="157" t="s">
        <v>48</v>
      </c>
      <c r="N7" s="158"/>
      <c r="P7" s="75" t="s">
        <v>45</v>
      </c>
    </row>
    <row r="8" spans="2:24" ht="14.5" customHeight="1" x14ac:dyDescent="0.35">
      <c r="B8" s="63">
        <v>0</v>
      </c>
      <c r="C8" s="4">
        <v>0</v>
      </c>
      <c r="D8" s="4">
        <v>0</v>
      </c>
      <c r="E8" s="4">
        <v>0</v>
      </c>
      <c r="F8" s="4">
        <v>0</v>
      </c>
      <c r="G8" s="4">
        <v>2</v>
      </c>
      <c r="H8" s="5">
        <v>0</v>
      </c>
    </row>
    <row r="9" spans="2:24" x14ac:dyDescent="0.35">
      <c r="B9" s="84"/>
      <c r="C9" s="85"/>
      <c r="D9" s="85"/>
      <c r="E9" s="85"/>
      <c r="F9" s="85"/>
      <c r="G9" s="85"/>
      <c r="H9" s="85"/>
    </row>
    <row r="10" spans="2:24" x14ac:dyDescent="0.35">
      <c r="B10" s="80"/>
      <c r="C10" s="6"/>
      <c r="D10" s="6"/>
      <c r="E10" s="6"/>
      <c r="F10" s="6"/>
      <c r="G10" s="6"/>
      <c r="H10" s="6"/>
    </row>
    <row r="11" spans="2:24" ht="18.5" x14ac:dyDescent="0.35">
      <c r="B11" s="222" t="s">
        <v>213</v>
      </c>
      <c r="C11" s="223"/>
      <c r="D11" s="223"/>
      <c r="E11" s="223"/>
      <c r="F11" s="223"/>
      <c r="G11" s="223"/>
      <c r="H11" s="223"/>
      <c r="I11" s="223"/>
      <c r="J11" s="223"/>
      <c r="K11" s="223"/>
      <c r="L11" s="223"/>
      <c r="M11" s="223"/>
      <c r="N11" s="223"/>
      <c r="O11" s="223"/>
      <c r="P11" s="223"/>
      <c r="Q11" s="223"/>
      <c r="R11" s="223"/>
      <c r="S11" s="223"/>
      <c r="T11" s="223"/>
      <c r="U11" s="224"/>
    </row>
    <row r="12" spans="2:24" x14ac:dyDescent="0.35">
      <c r="B12" s="232" t="s">
        <v>9</v>
      </c>
      <c r="C12" s="233"/>
      <c r="D12" s="233"/>
      <c r="E12" s="233"/>
      <c r="F12" s="233"/>
      <c r="G12" s="233"/>
      <c r="H12" s="233"/>
      <c r="I12" s="233"/>
      <c r="J12" s="234"/>
      <c r="K12" s="225" t="s">
        <v>54</v>
      </c>
      <c r="L12" s="156"/>
      <c r="M12" s="156"/>
      <c r="N12" s="156"/>
      <c r="O12" s="156"/>
      <c r="P12" s="156"/>
      <c r="Q12" s="156"/>
      <c r="R12" s="156"/>
      <c r="S12" s="156"/>
      <c r="T12" s="156"/>
      <c r="U12" s="156"/>
    </row>
    <row r="13" spans="2:24" ht="14.5" customHeight="1" x14ac:dyDescent="0.35">
      <c r="B13" s="115" t="s">
        <v>214</v>
      </c>
      <c r="C13" s="116" t="s">
        <v>215</v>
      </c>
      <c r="D13" s="117"/>
      <c r="E13" s="104"/>
      <c r="F13" s="135" t="s">
        <v>216</v>
      </c>
      <c r="G13" s="135" t="s">
        <v>217</v>
      </c>
      <c r="H13" s="135" t="s">
        <v>218</v>
      </c>
      <c r="I13" s="135" t="s">
        <v>219</v>
      </c>
      <c r="J13" s="135" t="s">
        <v>220</v>
      </c>
      <c r="K13" s="116" t="s">
        <v>221</v>
      </c>
      <c r="L13" s="117"/>
      <c r="M13" s="104"/>
      <c r="N13" s="127" t="s">
        <v>222</v>
      </c>
      <c r="O13" s="127" t="s">
        <v>223</v>
      </c>
      <c r="P13" s="127" t="s">
        <v>224</v>
      </c>
      <c r="Q13" s="127" t="s">
        <v>225</v>
      </c>
      <c r="R13" s="127" t="s">
        <v>226</v>
      </c>
      <c r="S13" s="127" t="s">
        <v>227</v>
      </c>
      <c r="T13" s="249" t="s">
        <v>240</v>
      </c>
      <c r="U13" s="247" t="s">
        <v>241</v>
      </c>
    </row>
    <row r="14" spans="2:24" x14ac:dyDescent="0.35">
      <c r="B14" s="134"/>
      <c r="C14" s="94" t="s">
        <v>229</v>
      </c>
      <c r="D14" s="139" t="s">
        <v>230</v>
      </c>
      <c r="E14" s="140"/>
      <c r="F14" s="136"/>
      <c r="G14" s="136"/>
      <c r="H14" s="136"/>
      <c r="I14" s="136"/>
      <c r="J14" s="136"/>
      <c r="K14" s="52" t="s">
        <v>229</v>
      </c>
      <c r="L14" s="139" t="s">
        <v>230</v>
      </c>
      <c r="M14" s="140"/>
      <c r="N14" s="128"/>
      <c r="O14" s="128"/>
      <c r="P14" s="128"/>
      <c r="Q14" s="128"/>
      <c r="R14" s="128"/>
      <c r="S14" s="128"/>
      <c r="T14" s="138"/>
      <c r="U14" s="248"/>
    </row>
    <row r="15" spans="2:24" x14ac:dyDescent="0.35">
      <c r="B15" s="45" t="s">
        <v>2</v>
      </c>
      <c r="C15" s="76">
        <f>SUMIFS(REALIZADO[META_MOVEL],REALIZADO[PDV],MONTSERRAT!$M$7)</f>
        <v>22750</v>
      </c>
      <c r="D15" s="77">
        <f>SUMIFS(PROJEÇÃO[PROJ_MOVEL],PROJEÇÃO[PDV],MONTSERRAT!$M$7)</f>
        <v>21380.805400000001</v>
      </c>
      <c r="E15" s="49">
        <f>IFERROR(D15/C15,0)</f>
        <v>0.93981562197802204</v>
      </c>
      <c r="F15" s="8">
        <f>VLOOKUP($E$15,FATORES!$I$32:$K$34,3)</f>
        <v>0.04</v>
      </c>
      <c r="G15" s="8">
        <f>IFERROR(VLOOKUP($E$15,FATORES!$I$35:$K$36,3),0)</f>
        <v>0</v>
      </c>
      <c r="H15" s="9">
        <f>D15*F15</f>
        <v>855.23221600000011</v>
      </c>
      <c r="I15" s="9">
        <f t="shared" ref="I15:I23" si="0">IF($P$7="ARIEL",
   IF(AND($E$15&gt;=69.5%, AND($E$17&gt;=69.5%, $E$18&gt;=69.5%, $E$18&gt;=69.5%, $E$20&gt;=69.5%, $E$20&gt;=69.5%, $E$22&gt;=69.5%, $E$23&gt;=69.5%)),
      D15*G15,
      0),
   IF(AND($E$15&gt;=69.5%, $E$16&gt;=69.5%, $E$17&gt;=69.5%, $E$18&gt;=69.5%, $E$18&gt;=69.5%, $E$20&gt;=69.5%, $E$20&gt;=69.5%, $E$22&gt;=69.5%, $E$23&gt;=69.5%),
      D15*G15,
      0)
)</f>
        <v>0</v>
      </c>
      <c r="J15" s="9">
        <f>H15+I15</f>
        <v>855.23221600000011</v>
      </c>
      <c r="K15" s="76">
        <f>SUMIFS(REALIZADO[META_MOVEL],REALIZADO[COORDENAÇÃO],$P$7)</f>
        <v>83640</v>
      </c>
      <c r="L15" s="77">
        <f>SUMIFS(PROJEÇÃO[PROJ_MOVEL],PROJEÇÃO[COORDENAÇÃO],$P$7)</f>
        <v>77669.213200000013</v>
      </c>
      <c r="M15" s="49">
        <f>IFERROR(L15/K15,0)</f>
        <v>0.92861326159732205</v>
      </c>
      <c r="N15" s="8">
        <f>IF($M$15&gt;=FATORES!$I$37,FATORES!$K$37,0)</f>
        <v>0</v>
      </c>
      <c r="O15" s="14">
        <f>IF(E15&gt;=100%,
   IF($P$7="ARIEL",
      IF(AND($E$15&gt;=69.5%,$E$17&gt;=69.5%,$E$18&gt;=69.5%,$E$20&gt;=69.5%,$E$22&gt;=69.5%,$E$23&gt;=69.5%),
         D15*N15,
         0
      ),
      IF(AND($E$15&gt;=69.5%,$E$16&gt;=69.5%,$E$17&gt;=69.5%,$E$18&gt;=69.5%,$E$20&gt;=69.5%,$E$22&gt;=69.5%,$E$23&gt;=69.5%),
         D15*N15,
         0
      )
   ),
0)</f>
        <v>0</v>
      </c>
      <c r="P15" s="10">
        <f>J15+O15</f>
        <v>855.23221600000011</v>
      </c>
      <c r="Q15" s="11">
        <f>IF($B$8=2,P15*0.05,0)</f>
        <v>0</v>
      </c>
      <c r="R15" s="11">
        <f>IF($B$8=3,P15*0.15,0)</f>
        <v>0</v>
      </c>
      <c r="S15" s="98">
        <v>0.1</v>
      </c>
      <c r="T15" s="124">
        <f>SUM(P24:S24)</f>
        <v>1552.7327712250003</v>
      </c>
      <c r="U15" s="124">
        <f>T15*0.75</f>
        <v>1164.5495784187501</v>
      </c>
    </row>
    <row r="16" spans="2:24" x14ac:dyDescent="0.35">
      <c r="B16" s="46" t="s">
        <v>13</v>
      </c>
      <c r="C16" s="76">
        <f>SUMIFS(REALIZADO[META_FIXA],REALIZADO[PDV],MONTSERRAT!$M$7)</f>
        <v>9600</v>
      </c>
      <c r="D16" s="77">
        <f>SUMIFS(PROJEÇÃO[PROJ_FIXA],PROJEÇÃO[PDV],MONTSERRAT!$M$7)</f>
        <v>9297.3122000000003</v>
      </c>
      <c r="E16" s="50">
        <f>IFERROR(D16/C16,0)</f>
        <v>0.96847002083333333</v>
      </c>
      <c r="F16" s="12">
        <f>VLOOKUP($E$16,FATORES!$I$40:$K$42,3)</f>
        <v>0.04</v>
      </c>
      <c r="G16" s="12">
        <f>IFERROR(VLOOKUP($E$16,FATORES!$I$43:$K$44,3),0)</f>
        <v>0</v>
      </c>
      <c r="H16" s="65">
        <f t="shared" ref="H16:H23" si="1">D16*F16</f>
        <v>371.89248800000001</v>
      </c>
      <c r="I16" s="65">
        <f t="shared" si="0"/>
        <v>0</v>
      </c>
      <c r="J16" s="65">
        <f t="shared" ref="J16:J23" si="2">H16+I16</f>
        <v>371.89248800000001</v>
      </c>
      <c r="K16" s="76">
        <f>SUMIFS(REALIZADO[META_FIXA],REALIZADO[COORDENAÇÃO],$P$7)</f>
        <v>36849.999799999998</v>
      </c>
      <c r="L16" s="77">
        <f>SUMIFS(PROJEÇÃO[PROJ_FIXA],PROJEÇÃO[COORDENAÇÃO],$P$7)</f>
        <v>42376.122200000013</v>
      </c>
      <c r="M16" s="50">
        <f t="shared" ref="M16:M17" si="3">IFERROR(L16/K16,0)</f>
        <v>1.1499626168247636</v>
      </c>
      <c r="N16" s="12">
        <f>IF($M$16&gt;=FATORES!$I$45,FATORES!$K$45,0)</f>
        <v>0.03</v>
      </c>
      <c r="O16" s="14">
        <f t="shared" ref="O16:O23" si="4">IF(E16&gt;=100%,
   IF($P$7="ARIEL",
      IF(AND($E$15&gt;=69.5%,$E$17&gt;=69.5%,$E$18&gt;=69.5%,$E$20&gt;=69.5%,$E$22&gt;=69.5%,$E$23&gt;=69.5%),
         D16*N16,
         0
      ),
      IF(AND($E$15&gt;=69.5%,$E$16&gt;=69.5%,$E$17&gt;=69.5%,$E$18&gt;=69.5%,$E$20&gt;=69.5%,$E$22&gt;=69.5%,$E$23&gt;=69.5%),
         D16*N16,
         0
      )
   ),
0)</f>
        <v>0</v>
      </c>
      <c r="P16" s="13">
        <f t="shared" ref="P16:P23" si="5">J16+O16</f>
        <v>371.89248800000001</v>
      </c>
      <c r="Q16" s="15">
        <f>IF($C$8=2,P16*0.05,0)</f>
        <v>0</v>
      </c>
      <c r="R16" s="15">
        <f>IF($C$8=3,P16*0.15,0)</f>
        <v>0</v>
      </c>
      <c r="S16" s="99"/>
      <c r="T16" s="125"/>
      <c r="U16" s="125"/>
    </row>
    <row r="17" spans="2:21" x14ac:dyDescent="0.35">
      <c r="B17" s="46" t="s">
        <v>231</v>
      </c>
      <c r="C17" s="53">
        <f>SUMIFS(REALIZADO[META_SMARTPHONE],REALIZADO[PDV],MONTSERRAT!$M$7)</f>
        <v>490000</v>
      </c>
      <c r="D17" s="78">
        <f>SUMIFS(PROJEÇÃO[PROJ_APARELHO],PROJEÇÃO[PDV],MONTSERRAT!$M$7)</f>
        <v>467176.22209999996</v>
      </c>
      <c r="E17" s="50">
        <f>IFERROR(D17/C17,0)</f>
        <v>0.9534208614285713</v>
      </c>
      <c r="F17" s="12">
        <f>VLOOKUP($E$17,FATORES!$B$53:$D$54,3)</f>
        <v>5.0000000000000001E-4</v>
      </c>
      <c r="G17" s="12">
        <f>IFERROR(VLOOKUP($E$17,FATORES!$B$55:$D$55,3),0)</f>
        <v>0</v>
      </c>
      <c r="H17" s="65">
        <f t="shared" si="1"/>
        <v>233.58811104999998</v>
      </c>
      <c r="I17" s="65">
        <f t="shared" si="0"/>
        <v>0</v>
      </c>
      <c r="J17" s="65">
        <f t="shared" si="2"/>
        <v>233.58811104999998</v>
      </c>
      <c r="K17" s="53">
        <f>SUMIFS(REALIZADO[META_SMARTPHONE],REALIZADO[COORDENAÇÃO],$P$7)</f>
        <v>1296000</v>
      </c>
      <c r="L17" s="78">
        <f>SUMIFS(PROJEÇÃO[PROJ_APARELHO],PROJEÇÃO[COORDENAÇÃO],$P$7)</f>
        <v>1267838.5443</v>
      </c>
      <c r="M17" s="50">
        <f t="shared" si="3"/>
        <v>0.97827048171296294</v>
      </c>
      <c r="N17" s="12">
        <f>IF($M$17&gt;=FATORES!$B$56,FATORES!$D$56,0)</f>
        <v>0</v>
      </c>
      <c r="O17" s="14">
        <f t="shared" si="4"/>
        <v>0</v>
      </c>
      <c r="P17" s="13">
        <f t="shared" si="5"/>
        <v>233.58811104999998</v>
      </c>
      <c r="Q17" s="15">
        <f>IF($D$8=2,P17*0.05,0)</f>
        <v>0</v>
      </c>
      <c r="R17" s="15">
        <f>IF($D$8=3,P17*0.15,0)</f>
        <v>0</v>
      </c>
      <c r="S17" s="99"/>
      <c r="T17" s="125"/>
      <c r="U17" s="125"/>
    </row>
    <row r="18" spans="2:21" x14ac:dyDescent="0.35">
      <c r="B18" s="47" t="s">
        <v>232</v>
      </c>
      <c r="C18" s="121">
        <f>SUMIFS(REALIZADO[META_ACESSORIO],REALIZADO[PDV],MONTSERRAT!$M$7)</f>
        <v>50000</v>
      </c>
      <c r="D18" s="86">
        <f>SUMIFS(PROJEÇÃO[PROJ_ELETRO_A],PROJEÇÃO[PDV],MONTSERRAT!$M$7)</f>
        <v>584.77780000000007</v>
      </c>
      <c r="E18" s="123">
        <f>IFERROR((D18+D19)/C18,0)</f>
        <v>0.95430666399999997</v>
      </c>
      <c r="F18" s="12">
        <f>VLOOKUP($E$18,FATORES!$B$44:$E$46,3)</f>
        <v>1.5E-3</v>
      </c>
      <c r="G18" s="12">
        <f>IFERROR(VLOOKUP($E$18,FATORES!$B$47:$E$48,3),0)</f>
        <v>0</v>
      </c>
      <c r="H18" s="65">
        <f t="shared" si="1"/>
        <v>0.87716670000000008</v>
      </c>
      <c r="I18" s="65">
        <f t="shared" si="0"/>
        <v>0</v>
      </c>
      <c r="J18" s="65">
        <f t="shared" si="2"/>
        <v>0.87716670000000008</v>
      </c>
      <c r="K18" s="121">
        <f>SUMIFS(REALIZADO[META_ACESSORIO],REALIZADO[COORDENAÇÃO],$P$7)</f>
        <v>141750</v>
      </c>
      <c r="L18" s="86">
        <f>SUMIFS(PROJEÇÃO[PROJ_ELETRO_A],PROJEÇÃO[COORDENAÇÃO],$P$7)</f>
        <v>2847.8889000000004</v>
      </c>
      <c r="M18" s="97">
        <f>IFERROR((L18+L19)/K18,0)</f>
        <v>1.1761539851851854</v>
      </c>
      <c r="N18" s="12">
        <f>IF($M$18&gt;=FATORES!$B$49,FATORES!$D$49,0)</f>
        <v>2.5000000000000001E-3</v>
      </c>
      <c r="O18" s="14">
        <f t="shared" si="4"/>
        <v>0</v>
      </c>
      <c r="P18" s="13">
        <f t="shared" si="5"/>
        <v>0.87716670000000008</v>
      </c>
      <c r="Q18" s="15">
        <f>IF($E$8=2,P18*0.05,0)</f>
        <v>0</v>
      </c>
      <c r="R18" s="15">
        <f>IF($E$8=3,P18*0.15,0)</f>
        <v>0</v>
      </c>
      <c r="S18" s="99"/>
      <c r="T18" s="125"/>
      <c r="U18" s="125"/>
    </row>
    <row r="19" spans="2:21" x14ac:dyDescent="0.35">
      <c r="B19" s="47" t="s">
        <v>233</v>
      </c>
      <c r="C19" s="122"/>
      <c r="D19" s="87">
        <f>SUMIFS(PROJEÇÃO[PROJ_ELETRO_B],PROJEÇÃO[PDV],MONTSERRAT!$M$7)</f>
        <v>47130.555399999997</v>
      </c>
      <c r="E19" s="123"/>
      <c r="F19" s="12">
        <f>VLOOKUP($E$18,FATORES!$B$44:$E$46,4)</f>
        <v>7.5000000000000002E-4</v>
      </c>
      <c r="G19" s="12">
        <f>IFERROR(VLOOKUP($E$18,FATORES!$B$47:$E$48,4),0)</f>
        <v>0</v>
      </c>
      <c r="H19" s="65">
        <f t="shared" si="1"/>
        <v>35.347916550000001</v>
      </c>
      <c r="I19" s="65">
        <f t="shared" si="0"/>
        <v>0</v>
      </c>
      <c r="J19" s="65">
        <f t="shared" si="2"/>
        <v>35.347916550000001</v>
      </c>
      <c r="K19" s="122"/>
      <c r="L19" s="87">
        <f>SUMIFS(PROJEÇÃO[PROJ_ELETRO_B],PROJEÇÃO[COORDENAÇÃO],$P$7)</f>
        <v>163871.93850000005</v>
      </c>
      <c r="M19" s="97"/>
      <c r="N19" s="12">
        <f>IF($M$18&gt;=FATORES!$B$49,FATORES!$E$49,0)</f>
        <v>1.25E-3</v>
      </c>
      <c r="O19" s="14">
        <f t="shared" si="4"/>
        <v>0</v>
      </c>
      <c r="P19" s="13">
        <f t="shared" si="5"/>
        <v>35.347916550000001</v>
      </c>
      <c r="Q19" s="15">
        <f>IF($E$8=2,P19*0.05,0)</f>
        <v>0</v>
      </c>
      <c r="R19" s="15">
        <f>IF($E$8=3,P19*0.15,0)</f>
        <v>0</v>
      </c>
      <c r="S19" s="99"/>
      <c r="T19" s="125"/>
      <c r="U19" s="125"/>
    </row>
    <row r="20" spans="2:21" x14ac:dyDescent="0.35">
      <c r="B20" s="46" t="s">
        <v>234</v>
      </c>
      <c r="C20" s="121">
        <f>SUMIFS(REALIZADO[META_ESSENCIAIS],REALIZADO[PDV],MONTSERRAT!$M$7)</f>
        <v>30000</v>
      </c>
      <c r="D20" s="86">
        <f>SUMIFS(PROJEÇÃO[PROJ_ESSEN_A],PROJEÇÃO[PDV],MONTSERRAT!$M$7)</f>
        <v>11490.7778</v>
      </c>
      <c r="E20" s="123">
        <f>IFERROR((D20+D21)/C20,0)</f>
        <v>0.92255555999999994</v>
      </c>
      <c r="F20" s="12">
        <f>VLOOKUP($E$20,FATORES!$B$34:$E$36,3)</f>
        <v>1.5E-3</v>
      </c>
      <c r="G20" s="12">
        <f>IFERROR(VLOOKUP($E$20,FATORES!$B$37:$E$38,3),0)</f>
        <v>0</v>
      </c>
      <c r="H20" s="65">
        <f t="shared" si="1"/>
        <v>17.236166700000002</v>
      </c>
      <c r="I20" s="65">
        <f t="shared" si="0"/>
        <v>0</v>
      </c>
      <c r="J20" s="65">
        <f t="shared" si="2"/>
        <v>17.236166700000002</v>
      </c>
      <c r="K20" s="121">
        <f>SUMIFS(REALIZADO[META_ESSENCIAIS],REALIZADO[COORDENAÇÃO],$P$7)</f>
        <v>80500.0003</v>
      </c>
      <c r="L20" s="86">
        <f>SUMIFS(PROJEÇÃO[PROJ_ESSEN_A],PROJEÇÃO[COORDENAÇÃO],$P$7)</f>
        <v>32670.500100000008</v>
      </c>
      <c r="M20" s="97">
        <f>IFERROR((L20+L21)/K20,0)</f>
        <v>0.97865446467582207</v>
      </c>
      <c r="N20" s="12">
        <f>IF($M$20&gt;=FATORES!$B$39,FATORES!$D$39,0)</f>
        <v>0</v>
      </c>
      <c r="O20" s="14">
        <f t="shared" si="4"/>
        <v>0</v>
      </c>
      <c r="P20" s="13">
        <f t="shared" si="5"/>
        <v>17.236166700000002</v>
      </c>
      <c r="Q20" s="15">
        <f>IF($F$8=2,P20*0.05,0)</f>
        <v>0</v>
      </c>
      <c r="R20" s="15">
        <f>IF($F$8=3,P20*0.15,0)</f>
        <v>0</v>
      </c>
      <c r="S20" s="99"/>
      <c r="T20" s="125"/>
      <c r="U20" s="125"/>
    </row>
    <row r="21" spans="2:21" x14ac:dyDescent="0.35">
      <c r="B21" s="46" t="s">
        <v>235</v>
      </c>
      <c r="C21" s="122"/>
      <c r="D21" s="87">
        <f>SUMIFS(PROJEÇÃO[PROJ_ESSEN_B],PROJEÇÃO[PDV],MONTSERRAT!$M$7)</f>
        <v>16185.888999999999</v>
      </c>
      <c r="E21" s="123"/>
      <c r="F21" s="12">
        <f>VLOOKUP($E$20,FATORES!$B$34:$E$36,4)</f>
        <v>7.5000000000000002E-4</v>
      </c>
      <c r="G21" s="12">
        <f>IFERROR(VLOOKUP($E$20,FATORES!$B$37:$E$38,4),0)</f>
        <v>0</v>
      </c>
      <c r="H21" s="65">
        <f t="shared" si="1"/>
        <v>12.139416750000001</v>
      </c>
      <c r="I21" s="65">
        <f t="shared" si="0"/>
        <v>0</v>
      </c>
      <c r="J21" s="65">
        <f t="shared" si="2"/>
        <v>12.139416750000001</v>
      </c>
      <c r="K21" s="122"/>
      <c r="L21" s="87">
        <f>SUMIFS(PROJEÇÃO[PROJ_ESSEN_B],PROJEÇÃO[COORDENAÇÃO],$P$7)</f>
        <v>46111.184600000001</v>
      </c>
      <c r="M21" s="97"/>
      <c r="N21" s="12">
        <f>IF($M$20&gt;=FATORES!$B$39,FATORES!$E$39,0)</f>
        <v>0</v>
      </c>
      <c r="O21" s="14">
        <f t="shared" si="4"/>
        <v>0</v>
      </c>
      <c r="P21" s="13">
        <f t="shared" si="5"/>
        <v>12.139416750000001</v>
      </c>
      <c r="Q21" s="15">
        <f>IF($F$8=2,P21*0.05,0)</f>
        <v>0</v>
      </c>
      <c r="R21" s="15">
        <f>IF($F$8=3,P21*0.15,0)</f>
        <v>0</v>
      </c>
      <c r="S21" s="99"/>
      <c r="T21" s="125"/>
      <c r="U21" s="125"/>
    </row>
    <row r="22" spans="2:21" x14ac:dyDescent="0.35">
      <c r="B22" s="46" t="s">
        <v>212</v>
      </c>
      <c r="C22" s="57">
        <f>SUMIFS(REALIZADO[META_SEGUROS],REALIZADO[PDV],MONTSERRAT!$M$7)</f>
        <v>3050</v>
      </c>
      <c r="D22" s="79">
        <f>SUMIFS(PROJEÇÃO[PROJ_SEGURO],PROJEÇÃO[PDV],MONTSERRAT!$M$7)</f>
        <v>2427.7779</v>
      </c>
      <c r="E22" s="83">
        <f>IFERROR(D22/C22,0)</f>
        <v>0.79599275409836068</v>
      </c>
      <c r="F22" s="83">
        <f>VLOOKUP($E$22,FATORES!$O$32:$Q$34,3)</f>
        <v>5.0000000000000001E-3</v>
      </c>
      <c r="G22" s="12">
        <f>IFERROR(VLOOKUP($E$22,FATORES!$O$35:$Q$36,3),0)</f>
        <v>0</v>
      </c>
      <c r="H22" s="65">
        <f t="shared" si="1"/>
        <v>12.138889500000001</v>
      </c>
      <c r="I22" s="65">
        <f t="shared" si="0"/>
        <v>0</v>
      </c>
      <c r="J22" s="65">
        <f t="shared" si="2"/>
        <v>12.138889500000001</v>
      </c>
      <c r="K22" s="57">
        <f>SUMIFS(REALIZADO[META_SEGUROS],REALIZADO[COORDENAÇÃO],$P$7)</f>
        <v>8560.0000999999993</v>
      </c>
      <c r="L22" s="79">
        <f>SUMIFS(PROJEÇÃO[PROJ_SEGURO],PROJEÇÃO[COORDENAÇÃO],$P$7)</f>
        <v>8140.4447</v>
      </c>
      <c r="M22" s="50">
        <f t="shared" ref="M22:M23" si="6">IFERROR(L22/K22,0)</f>
        <v>0.95098651926417621</v>
      </c>
      <c r="N22" s="12">
        <f>IF($M$22&gt;=FATORES!$O$37,FATORES!$Q$37,0)</f>
        <v>0</v>
      </c>
      <c r="O22" s="14">
        <f t="shared" si="4"/>
        <v>0</v>
      </c>
      <c r="P22" s="13">
        <f t="shared" si="5"/>
        <v>12.138889500000001</v>
      </c>
      <c r="Q22" s="15">
        <f>IF($G$8=2,P22*0.05,0)</f>
        <v>0.60694447500000015</v>
      </c>
      <c r="R22" s="15">
        <f>IF($G$8=3,P22*0.15,0)</f>
        <v>0</v>
      </c>
      <c r="S22" s="99"/>
      <c r="T22" s="125"/>
      <c r="U22" s="125"/>
    </row>
    <row r="23" spans="2:21" x14ac:dyDescent="0.35">
      <c r="B23" s="48" t="s">
        <v>14</v>
      </c>
      <c r="C23" s="76">
        <f>SUMIFS(REALIZADO[META_SVA],REALIZADO[PDV],MONTSERRAT!$M$7)</f>
        <v>2850</v>
      </c>
      <c r="D23" s="77">
        <f>SUMIFS(PROJEÇÃO[PROJ_SVA],PROJEÇÃO[PDV],MONTSERRAT!$M$7)</f>
        <v>2734.6911</v>
      </c>
      <c r="E23" s="82">
        <f>IFERROR(D23/C23,0)</f>
        <v>0.95954073684210528</v>
      </c>
      <c r="F23" s="16">
        <f>IF($E$23&gt;=0,FATORES!$Q$40)</f>
        <v>5.0000000000000001E-3</v>
      </c>
      <c r="G23" s="16">
        <f>IFERROR(VLOOKUP($E$23,FATORES!$O$43:$Q$44,3),0)</f>
        <v>0</v>
      </c>
      <c r="H23" s="17">
        <f t="shared" si="1"/>
        <v>13.673455500000001</v>
      </c>
      <c r="I23" s="65">
        <f t="shared" si="0"/>
        <v>0</v>
      </c>
      <c r="J23" s="17">
        <f t="shared" si="2"/>
        <v>13.673455500000001</v>
      </c>
      <c r="K23" s="76">
        <f>SUMIFS(REALIZADO[META_SVA],REALIZADO[COORDENAÇÃO],$P$7)</f>
        <v>7799.9998999999989</v>
      </c>
      <c r="L23" s="77">
        <f>SUMIFS(PROJEÇÃO[PROJ_SVA],PROJEÇÃO[COORDENAÇÃO],$P$7)</f>
        <v>10286.177699999998</v>
      </c>
      <c r="M23" s="51">
        <f t="shared" si="6"/>
        <v>1.3187407476761634</v>
      </c>
      <c r="N23" s="16">
        <f>IF($M$23&gt;=FATORES!$O$45,FATORES!$Q$45,0)</f>
        <v>5.0000000000000001E-3</v>
      </c>
      <c r="O23" s="14">
        <f t="shared" si="4"/>
        <v>0</v>
      </c>
      <c r="P23" s="18">
        <f t="shared" si="5"/>
        <v>13.673455500000001</v>
      </c>
      <c r="Q23" s="19">
        <f>IF($H$8=2,P23*0.05,0)</f>
        <v>0</v>
      </c>
      <c r="R23" s="19">
        <f>IF($H$8=3,P23*0.15,0)</f>
        <v>0</v>
      </c>
      <c r="S23" s="100"/>
      <c r="T23" s="126"/>
      <c r="U23" s="126"/>
    </row>
    <row r="24" spans="2:21" x14ac:dyDescent="0.35">
      <c r="B24" s="66"/>
      <c r="C24" s="67"/>
      <c r="D24" s="67"/>
      <c r="E24" s="67"/>
      <c r="F24" s="67"/>
      <c r="G24" s="67"/>
      <c r="H24" s="67"/>
      <c r="I24" s="67"/>
      <c r="J24" s="68"/>
      <c r="K24" s="69"/>
      <c r="L24" s="67"/>
      <c r="M24" s="67"/>
      <c r="N24" s="67"/>
      <c r="O24" s="67"/>
      <c r="P24" s="70">
        <f>SUM(P15:P23)</f>
        <v>1552.1258267500002</v>
      </c>
      <c r="Q24" s="70">
        <f t="shared" ref="Q24:R24" si="7">SUM(Q15:Q23)</f>
        <v>0.60694447500000015</v>
      </c>
      <c r="R24" s="70">
        <f t="shared" si="7"/>
        <v>0</v>
      </c>
      <c r="S24" s="71" t="str">
        <f>IF($P$7="ARIEL",IF(MIN(E15,E17,E18,E19,E20,E22,E23)&gt;=100%,SUM(P24:R24)*S15,""),IF(MIN(E15:E23)&gt;=100%,SUM(P24:R24)*S15,""))</f>
        <v/>
      </c>
      <c r="T24" s="153"/>
      <c r="U24" s="153"/>
    </row>
    <row r="25" spans="2:21" ht="16.149999999999999" customHeight="1" x14ac:dyDescent="0.35">
      <c r="B25" s="80"/>
      <c r="C25" s="6"/>
      <c r="D25" s="6"/>
      <c r="E25" s="6"/>
      <c r="F25" s="6"/>
      <c r="G25" s="6"/>
      <c r="H25" s="6"/>
      <c r="T25" s="61"/>
    </row>
    <row r="26" spans="2:21" ht="18.5" x14ac:dyDescent="0.35">
      <c r="B26" s="240" t="s">
        <v>236</v>
      </c>
      <c r="C26" s="241"/>
      <c r="D26" s="241"/>
      <c r="E26" s="241"/>
      <c r="F26" s="241"/>
      <c r="G26" s="241"/>
      <c r="H26" s="241"/>
      <c r="I26" s="241"/>
      <c r="J26" s="241"/>
      <c r="K26" s="241"/>
      <c r="L26" s="241"/>
      <c r="M26" s="241"/>
      <c r="N26" s="241"/>
      <c r="O26" s="241"/>
      <c r="P26" s="241"/>
      <c r="Q26" s="241"/>
      <c r="R26" s="241"/>
      <c r="S26" s="241"/>
      <c r="T26" s="241"/>
      <c r="U26" s="242"/>
    </row>
    <row r="27" spans="2:21" x14ac:dyDescent="0.35">
      <c r="B27" s="232" t="s">
        <v>9</v>
      </c>
      <c r="C27" s="233"/>
      <c r="D27" s="233"/>
      <c r="E27" s="233"/>
      <c r="F27" s="233"/>
      <c r="G27" s="233"/>
      <c r="H27" s="233"/>
      <c r="I27" s="233"/>
      <c r="J27" s="234"/>
      <c r="K27" s="225" t="s">
        <v>54</v>
      </c>
      <c r="L27" s="156"/>
      <c r="M27" s="156"/>
      <c r="N27" s="156"/>
      <c r="O27" s="156"/>
      <c r="P27" s="156"/>
      <c r="Q27" s="156"/>
      <c r="R27" s="156"/>
      <c r="S27" s="156"/>
      <c r="T27" s="156"/>
      <c r="U27" s="156"/>
    </row>
    <row r="28" spans="2:21" ht="14.5" customHeight="1" x14ac:dyDescent="0.35">
      <c r="B28" s="115" t="s">
        <v>214</v>
      </c>
      <c r="C28" s="116" t="s">
        <v>237</v>
      </c>
      <c r="D28" s="117"/>
      <c r="E28" s="104"/>
      <c r="F28" s="135" t="s">
        <v>216</v>
      </c>
      <c r="G28" s="135" t="s">
        <v>217</v>
      </c>
      <c r="H28" s="135" t="s">
        <v>218</v>
      </c>
      <c r="I28" s="135" t="s">
        <v>219</v>
      </c>
      <c r="J28" s="135" t="s">
        <v>220</v>
      </c>
      <c r="K28" s="116" t="s">
        <v>238</v>
      </c>
      <c r="L28" s="117"/>
      <c r="M28" s="104"/>
      <c r="N28" s="127" t="s">
        <v>222</v>
      </c>
      <c r="O28" s="127" t="s">
        <v>223</v>
      </c>
      <c r="P28" s="127" t="s">
        <v>224</v>
      </c>
      <c r="Q28" s="127" t="s">
        <v>225</v>
      </c>
      <c r="R28" s="127" t="s">
        <v>226</v>
      </c>
      <c r="S28" s="127" t="s">
        <v>227</v>
      </c>
      <c r="T28" s="249" t="s">
        <v>240</v>
      </c>
      <c r="U28" s="247" t="s">
        <v>241</v>
      </c>
    </row>
    <row r="29" spans="2:21" ht="14.5" customHeight="1" x14ac:dyDescent="0.35">
      <c r="B29" s="134"/>
      <c r="C29" s="94" t="s">
        <v>229</v>
      </c>
      <c r="D29" s="139" t="s">
        <v>230</v>
      </c>
      <c r="E29" s="140"/>
      <c r="F29" s="136"/>
      <c r="G29" s="136"/>
      <c r="H29" s="136"/>
      <c r="I29" s="136"/>
      <c r="J29" s="136"/>
      <c r="K29" s="52" t="s">
        <v>229</v>
      </c>
      <c r="L29" s="139" t="s">
        <v>230</v>
      </c>
      <c r="M29" s="140"/>
      <c r="N29" s="128"/>
      <c r="O29" s="128"/>
      <c r="P29" s="128"/>
      <c r="Q29" s="128"/>
      <c r="R29" s="128"/>
      <c r="S29" s="128"/>
      <c r="T29" s="138"/>
      <c r="U29" s="248"/>
    </row>
    <row r="30" spans="2:21" x14ac:dyDescent="0.35">
      <c r="B30" s="45" t="s">
        <v>2</v>
      </c>
      <c r="C30" s="76">
        <f>SUMIFS(REALIZADO[META_MOVEL],REALIZADO[PDV],MONTSERRAT!$M$7)</f>
        <v>22750</v>
      </c>
      <c r="D30" s="77">
        <f>SUMIFS(REALIZADO[AT_MOVEL],REALIZADO[PDV],MONTSERRAT!$M$7)</f>
        <v>3826.51</v>
      </c>
      <c r="E30" s="49">
        <f>IFERROR(D30/C30,0)</f>
        <v>0.16819824175824177</v>
      </c>
      <c r="F30" s="8">
        <f>VLOOKUP($E$30,FATORES!$I$32:$K$34,3)</f>
        <v>5.0000000000000001E-3</v>
      </c>
      <c r="G30" s="8">
        <f>IFERROR(VLOOKUP($E$30,FATORES!$I$35:$K$36,3),0)</f>
        <v>0</v>
      </c>
      <c r="H30" s="9">
        <f>D30*F30</f>
        <v>19.132550000000002</v>
      </c>
      <c r="I30" s="9">
        <f t="shared" ref="I30:I38" si="8">IF($P$7="ARIEL",
   IF(AND($E$30&gt;=69.5%, AND($E$32&gt;=69.5%, $E$33&gt;=69.5%, $E$33&gt;=69.5%, $E$35&gt;=69.5%, $E$35&gt;=69.5%, $E$37&gt;=69.5%, $E$38&gt;=69.5%)),
      D30*G30,
      0),
   IF(AND($E$30&gt;=69.5%, $E$31&gt;=69.5%, $E$32&gt;=69.5%, $E$33&gt;=69.5%, $E$33&gt;=69.5%, $E$35&gt;=69.5%, $E$35&gt;=69.5%, $E$37&gt;=69.5%, $E$38&gt;=69.5%),
      D30*G30,
      0)
)</f>
        <v>0</v>
      </c>
      <c r="J30" s="9">
        <f>H30+I30</f>
        <v>19.132550000000002</v>
      </c>
      <c r="K30" s="76">
        <f>SUMIFS(REALIZADO[META_MOVEL],REALIZADO[COORDENAÇÃO],$P$7)</f>
        <v>83640</v>
      </c>
      <c r="L30" s="77">
        <f>SUMIFS(REALIZADO[AT_MOVEL],REALIZADO[COORDENAÇÃO],$P$7)</f>
        <v>10363.76</v>
      </c>
      <c r="M30" s="49">
        <f>IFERROR(L30/K30,0)</f>
        <v>0.1239091343854615</v>
      </c>
      <c r="N30" s="8">
        <f>IF($M$30&gt;=FATORES!$I$37,FATORES!$K$37,0)</f>
        <v>0</v>
      </c>
      <c r="O30" s="14">
        <f>IF(E30&gt;=100%,
IF($P$7="ARIEL",
IF(AND($E$30&gt;=69.5%,$E$32&gt;=69.5%,$E$33&gt;=69.5%,$E$35&gt;=69.5%,$E$37&gt;=69.5%,$E$38&gt;=69.5%),
D30*N30,
0),
IF(AND($E$30&gt;=69.5%,$E$31&gt;=69.5%,$E$32&gt;=69.5%,$E$33&gt;=69.5%,$E$35&gt;=69.5%,$E$37&gt;=69.5%,$E$38&gt;=69.5%),
D30*N30,
0)
),0)</f>
        <v>0</v>
      </c>
      <c r="P30" s="10">
        <f>J30+O30</f>
        <v>19.132550000000002</v>
      </c>
      <c r="Q30" s="11">
        <f>IF($B$8=2,P30*0.05,0)</f>
        <v>0</v>
      </c>
      <c r="R30" s="11">
        <f>IF($B$8=3,P30*0.15,0)</f>
        <v>0</v>
      </c>
      <c r="S30" s="98">
        <v>0.1</v>
      </c>
      <c r="T30" s="124">
        <f>SUM(P39:S39)</f>
        <v>57.638925</v>
      </c>
      <c r="U30" s="124">
        <f>T30*0.75</f>
        <v>43.22919375</v>
      </c>
    </row>
    <row r="31" spans="2:21" x14ac:dyDescent="0.35">
      <c r="B31" s="46" t="s">
        <v>13</v>
      </c>
      <c r="C31" s="76">
        <f>SUMIFS(REALIZADO[META_FIXA],REALIZADO[PDV],MONTSERRAT!$M$7)</f>
        <v>9600</v>
      </c>
      <c r="D31" s="77">
        <f>SUMIFS(REALIZADO[AT_FIXA],REALIZADO[PDV],MONTSERRAT!$M$7)</f>
        <v>1654</v>
      </c>
      <c r="E31" s="50">
        <f>IFERROR(D31/C31,0)</f>
        <v>0.17229166666666668</v>
      </c>
      <c r="F31" s="12">
        <f>VLOOKUP($E$31,FATORES!$I$40:$K$42,3)</f>
        <v>5.0000000000000001E-3</v>
      </c>
      <c r="G31" s="12">
        <f>IFERROR(VLOOKUP($E$31,FATORES!$I$43:$K$44,3),0)</f>
        <v>0</v>
      </c>
      <c r="H31" s="65">
        <f t="shared" ref="H31:H38" si="9">D31*F31</f>
        <v>8.27</v>
      </c>
      <c r="I31" s="65">
        <f t="shared" si="8"/>
        <v>0</v>
      </c>
      <c r="J31" s="65">
        <f t="shared" ref="J31:J38" si="10">H31+I31</f>
        <v>8.27</v>
      </c>
      <c r="K31" s="76">
        <f>SUMIFS(REALIZADO[META_FIXA],REALIZADO[COORDENAÇÃO],$P$7)</f>
        <v>36849.999799999998</v>
      </c>
      <c r="L31" s="77">
        <f>SUMIFS(REALIZADO[AT_FIXA],REALIZADO[COORDENAÇÃO],$P$7)</f>
        <v>4391.01</v>
      </c>
      <c r="M31" s="50">
        <f t="shared" ref="M31:M32" si="11">IFERROR(L31/K31,0)</f>
        <v>0.11915902371321045</v>
      </c>
      <c r="N31" s="12">
        <f>IF($M$31&gt;=FATORES!$I$45,FATORES!$K$45,0)</f>
        <v>0</v>
      </c>
      <c r="O31" s="14">
        <f t="shared" ref="O31:O38" si="12">IF(E31&gt;=100%,
IF($P$7="ARIEL",
IF(AND($E$30&gt;=69.5%,$E$32&gt;=69.5%,$E$33&gt;=69.5%,$E$35&gt;=69.5%,$E$37&gt;=69.5%,$E$38&gt;=69.5%),
D31*N31,
0),
IF(AND($E$30&gt;=69.5%,$E$31&gt;=69.5%,$E$32&gt;=69.5%,$E$33&gt;=69.5%,$E$35&gt;=69.5%,$E$37&gt;=69.5%,$E$38&gt;=69.5%),
D31*N31,
0)
),0)</f>
        <v>0</v>
      </c>
      <c r="P31" s="13">
        <f t="shared" ref="P31:P38" si="13">J31+O31</f>
        <v>8.27</v>
      </c>
      <c r="Q31" s="15">
        <f>IF($C$8=2,P31*0.05,0)</f>
        <v>0</v>
      </c>
      <c r="R31" s="15">
        <f>IF($C$8=3,P31*0.15,0)</f>
        <v>0</v>
      </c>
      <c r="S31" s="99"/>
      <c r="T31" s="125"/>
      <c r="U31" s="125"/>
    </row>
    <row r="32" spans="2:21" x14ac:dyDescent="0.35">
      <c r="B32" s="46" t="s">
        <v>231</v>
      </c>
      <c r="C32" s="53">
        <f>SUMIFS(REALIZADO[META_SMARTPHONE],REALIZADO[PDV],MONTSERRAT!$M$7)</f>
        <v>490000</v>
      </c>
      <c r="D32" s="78">
        <f>SUMIFS(REALIZADO[AT_SMARTPHONE],REALIZADO[PDV],MONTSERRAT!$M$7)</f>
        <v>106102</v>
      </c>
      <c r="E32" s="50">
        <f>IFERROR(D32/C32,0)</f>
        <v>0.21653469387755103</v>
      </c>
      <c r="F32" s="12">
        <f>VLOOKUP($E$32,FATORES!$B$53:$D$54,3)</f>
        <v>2.0000000000000001E-4</v>
      </c>
      <c r="G32" s="12">
        <f>IFERROR(VLOOKUP($E$32,FATORES!$B$55:$D$55,3),0)</f>
        <v>0</v>
      </c>
      <c r="H32" s="65">
        <f t="shared" si="9"/>
        <v>21.220400000000001</v>
      </c>
      <c r="I32" s="65">
        <f t="shared" si="8"/>
        <v>0</v>
      </c>
      <c r="J32" s="65">
        <f t="shared" si="10"/>
        <v>21.220400000000001</v>
      </c>
      <c r="K32" s="53">
        <f>SUMIFS(REALIZADO[META_SMARTPHONE],REALIZADO[COORDENAÇÃO],$P$7)</f>
        <v>1296000</v>
      </c>
      <c r="L32" s="78">
        <f>SUMIFS(REALIZADO[AT_SMARTPHONE],REALIZADO[COORDENAÇÃO],$P$7)</f>
        <v>175436.05</v>
      </c>
      <c r="M32" s="50">
        <f t="shared" si="11"/>
        <v>0.1353673225308642</v>
      </c>
      <c r="N32" s="12">
        <f>IF($M$32&gt;=FATORES!$B$56,FATORES!$D$56,0)</f>
        <v>0</v>
      </c>
      <c r="O32" s="14">
        <f t="shared" si="12"/>
        <v>0</v>
      </c>
      <c r="P32" s="13">
        <f t="shared" si="13"/>
        <v>21.220400000000001</v>
      </c>
      <c r="Q32" s="15">
        <f>IF($D$8=2,P32*0.05,0)</f>
        <v>0</v>
      </c>
      <c r="R32" s="15">
        <f>IF($D$8=3,P32*0.15,0)</f>
        <v>0</v>
      </c>
      <c r="S32" s="99"/>
      <c r="T32" s="125"/>
      <c r="U32" s="125"/>
    </row>
    <row r="33" spans="2:21" x14ac:dyDescent="0.35">
      <c r="B33" s="47" t="s">
        <v>232</v>
      </c>
      <c r="C33" s="121">
        <f>SUMIFS(REALIZADO[META_ACESSORIO],REALIZADO[PDV],MONTSERRAT!$M$7)</f>
        <v>50000</v>
      </c>
      <c r="D33" s="86">
        <f>SUMIFS(REALIZADO[AT_ACESSORIOS_A],REALIZADO[PDV],MONTSERRAT!$M$7)</f>
        <v>0</v>
      </c>
      <c r="E33" s="123">
        <f>IFERROR((D33+D34)/C33,0)</f>
        <v>5.1279999999999999E-2</v>
      </c>
      <c r="F33" s="12">
        <f>VLOOKUP($E$33,FATORES!$B$44:$E$46,3)</f>
        <v>5.0000000000000001E-4</v>
      </c>
      <c r="G33" s="12">
        <f>IFERROR(VLOOKUP($E$33,FATORES!$B$47:$E$48,3),0)</f>
        <v>0</v>
      </c>
      <c r="H33" s="65">
        <f t="shared" si="9"/>
        <v>0</v>
      </c>
      <c r="I33" s="65">
        <f t="shared" si="8"/>
        <v>0</v>
      </c>
      <c r="J33" s="65">
        <f t="shared" si="10"/>
        <v>0</v>
      </c>
      <c r="K33" s="121">
        <f>SUMIFS(REALIZADO[META_ACESSORIO],REALIZADO[COORDENAÇÃO],$P$7)</f>
        <v>141750</v>
      </c>
      <c r="L33" s="86">
        <f>SUMIFS(REALIZADO[AT_ACESSORIOS_A],REALIZADO[COORDENAÇÃO],$P$7)</f>
        <v>0</v>
      </c>
      <c r="M33" s="97">
        <f>IFERROR((L33+L34)/K33,0)</f>
        <v>0.11075132275132275</v>
      </c>
      <c r="N33" s="12">
        <f>IF($M$33&gt;=FATORES!$B$49,FATORES!$D$49,0)</f>
        <v>0</v>
      </c>
      <c r="O33" s="14">
        <f t="shared" si="12"/>
        <v>0</v>
      </c>
      <c r="P33" s="13">
        <f t="shared" si="13"/>
        <v>0</v>
      </c>
      <c r="Q33" s="15">
        <f>IF($E$8=2,P33*0.05,0)</f>
        <v>0</v>
      </c>
      <c r="R33" s="15">
        <f>IF($E$8=3,P33*0.15,0)</f>
        <v>0</v>
      </c>
      <c r="S33" s="99"/>
      <c r="T33" s="125"/>
      <c r="U33" s="125"/>
    </row>
    <row r="34" spans="2:21" x14ac:dyDescent="0.35">
      <c r="B34" s="47" t="s">
        <v>233</v>
      </c>
      <c r="C34" s="122"/>
      <c r="D34" s="87">
        <f>SUMIFS(REALIZADO[AT_ACESSORIOS_B],REALIZADO[PDV],MONTSERRAT!$M$7)</f>
        <v>2564</v>
      </c>
      <c r="E34" s="123"/>
      <c r="F34" s="12">
        <f>VLOOKUP($E$33,FATORES!$B$44:$E$46,4)</f>
        <v>2.5000000000000001E-4</v>
      </c>
      <c r="G34" s="12">
        <f>IFERROR(VLOOKUP($E$33,FATORES!$B$47:$E$48,4),0)</f>
        <v>0</v>
      </c>
      <c r="H34" s="65">
        <f t="shared" si="9"/>
        <v>0.64100000000000001</v>
      </c>
      <c r="I34" s="65">
        <f t="shared" si="8"/>
        <v>0</v>
      </c>
      <c r="J34" s="65">
        <f t="shared" si="10"/>
        <v>0.64100000000000001</v>
      </c>
      <c r="K34" s="122"/>
      <c r="L34" s="87">
        <f>SUMIFS(REALIZADO[AT_ACESSORIOS_B],REALIZADO[COORDENAÇÃO],$P$7)</f>
        <v>15699</v>
      </c>
      <c r="M34" s="97"/>
      <c r="N34" s="12">
        <f>IF($M$33&gt;=FATORES!$B$49,FATORES!$E$49,0)</f>
        <v>0</v>
      </c>
      <c r="O34" s="14">
        <f t="shared" si="12"/>
        <v>0</v>
      </c>
      <c r="P34" s="13">
        <f t="shared" si="13"/>
        <v>0.64100000000000001</v>
      </c>
      <c r="Q34" s="15">
        <f>IF($E$8=2,P34*0.05,0)</f>
        <v>0</v>
      </c>
      <c r="R34" s="15">
        <f>IF($E$8=3,P34*0.15,0)</f>
        <v>0</v>
      </c>
      <c r="S34" s="99"/>
      <c r="T34" s="125"/>
      <c r="U34" s="125"/>
    </row>
    <row r="35" spans="2:21" x14ac:dyDescent="0.35">
      <c r="B35" s="46" t="s">
        <v>234</v>
      </c>
      <c r="C35" s="121">
        <f>SUMIFS(REALIZADO[META_ESSENCIAIS],REALIZADO[PDV],MONTSERRAT!$M$7)</f>
        <v>30000</v>
      </c>
      <c r="D35" s="86">
        <f>SUMIFS(REALIZADO[AT_ESSENCIAIS_A],REALIZADO[PDV],MONTSERRAT!$M$7)</f>
        <v>3319</v>
      </c>
      <c r="E35" s="123">
        <f>IFERROR((D35+D36)/C35,0)</f>
        <v>0.20103333333333334</v>
      </c>
      <c r="F35" s="12">
        <f>VLOOKUP($E$35,FATORES!$B$34:$E$36,3)</f>
        <v>5.0000000000000001E-4</v>
      </c>
      <c r="G35" s="12">
        <f>IFERROR(VLOOKUP($E$35,FATORES!$B$37:$E$38,3),0)</f>
        <v>0</v>
      </c>
      <c r="H35" s="65">
        <f t="shared" si="9"/>
        <v>1.6595</v>
      </c>
      <c r="I35" s="65">
        <f t="shared" si="8"/>
        <v>0</v>
      </c>
      <c r="J35" s="65">
        <f t="shared" si="10"/>
        <v>1.6595</v>
      </c>
      <c r="K35" s="121">
        <f>SUMIFS(REALIZADO[META_ESSENCIAIS],REALIZADO[COORDENAÇÃO],$P$7)</f>
        <v>80500.0003</v>
      </c>
      <c r="L35" s="86">
        <f>SUMIFS(REALIZADO[AT_ESSENCIAIS_A],REALIZADO[COORDENAÇÃO],$P$7)</f>
        <v>5749.95</v>
      </c>
      <c r="M35" s="97">
        <f>IFERROR((L35+L36)/K35,0)</f>
        <v>0.15028074478156242</v>
      </c>
      <c r="N35" s="12">
        <f>IF($M$35&gt;=FATORES!$B$39,FATORES!$D$39,0)</f>
        <v>0</v>
      </c>
      <c r="O35" s="14">
        <f t="shared" si="12"/>
        <v>0</v>
      </c>
      <c r="P35" s="13">
        <f t="shared" si="13"/>
        <v>1.6595</v>
      </c>
      <c r="Q35" s="15">
        <f>IF($F$8=2,P35*0.05,0)</f>
        <v>0</v>
      </c>
      <c r="R35" s="15">
        <f>IF($F$8=3,P35*0.15,0)</f>
        <v>0</v>
      </c>
      <c r="S35" s="99"/>
      <c r="T35" s="125"/>
      <c r="U35" s="125"/>
    </row>
    <row r="36" spans="2:21" x14ac:dyDescent="0.35">
      <c r="B36" s="46" t="s">
        <v>235</v>
      </c>
      <c r="C36" s="122"/>
      <c r="D36" s="87">
        <f>SUMIFS(REALIZADO[AT_ESSENCIAIS_B],REALIZADO[PDV],MONTSERRAT!$M$7)</f>
        <v>2712</v>
      </c>
      <c r="E36" s="123"/>
      <c r="F36" s="12">
        <f>VLOOKUP($E$35,FATORES!$B$34:$E$36,4)</f>
        <v>2.5000000000000001E-4</v>
      </c>
      <c r="G36" s="12">
        <f>IFERROR(VLOOKUP($E$35,FATORES!$B$37:$E$38,4),0)</f>
        <v>0</v>
      </c>
      <c r="H36" s="65">
        <f t="shared" si="9"/>
        <v>0.67800000000000005</v>
      </c>
      <c r="I36" s="65">
        <f t="shared" si="8"/>
        <v>0</v>
      </c>
      <c r="J36" s="65">
        <f t="shared" si="10"/>
        <v>0.67800000000000005</v>
      </c>
      <c r="K36" s="122"/>
      <c r="L36" s="87">
        <f>SUMIFS(REALIZADO[AT_ESSENCIAIS_B],REALIZADO[COORDENAÇÃO],$P$7)</f>
        <v>6347.65</v>
      </c>
      <c r="M36" s="97"/>
      <c r="N36" s="12">
        <f>IF($M$35&gt;=FATORES!$B$39,FATORES!$E$39,0)</f>
        <v>0</v>
      </c>
      <c r="O36" s="14">
        <f t="shared" si="12"/>
        <v>0</v>
      </c>
      <c r="P36" s="13">
        <f t="shared" si="13"/>
        <v>0.67800000000000005</v>
      </c>
      <c r="Q36" s="15">
        <f>IF($F$8=2,P36*0.05,0)</f>
        <v>0</v>
      </c>
      <c r="R36" s="15">
        <f>IF($F$8=3,P36*0.15,0)</f>
        <v>0</v>
      </c>
      <c r="S36" s="99"/>
      <c r="T36" s="125"/>
      <c r="U36" s="125"/>
    </row>
    <row r="37" spans="2:21" x14ac:dyDescent="0.35">
      <c r="B37" s="46" t="s">
        <v>212</v>
      </c>
      <c r="C37" s="57">
        <f>SUMIFS(REALIZADO[META_SEGUROS],REALIZADO[PDV],MONTSERRAT!$M$7)</f>
        <v>3050</v>
      </c>
      <c r="D37" s="79">
        <f>SUMIFS(REALIZADO[AT_SEGUROS],REALIZADO[PDV],MONTSERRAT!$M$7)</f>
        <v>530.09999999999991</v>
      </c>
      <c r="E37" s="83">
        <f>IFERROR(D37/C37,0)</f>
        <v>0.17380327868852455</v>
      </c>
      <c r="F37" s="83">
        <f>VLOOKUP($E$37,FATORES!$O$32:$Q$34,3)</f>
        <v>5.0000000000000001E-3</v>
      </c>
      <c r="G37" s="12">
        <f>IFERROR(VLOOKUP($E$37,FATORES!$O$35:$Q$36,3),0)</f>
        <v>0</v>
      </c>
      <c r="H37" s="65">
        <f t="shared" si="9"/>
        <v>2.6504999999999996</v>
      </c>
      <c r="I37" s="65">
        <f t="shared" si="8"/>
        <v>0</v>
      </c>
      <c r="J37" s="65">
        <f t="shared" si="10"/>
        <v>2.6504999999999996</v>
      </c>
      <c r="K37" s="57">
        <f>SUMIFS(REALIZADO[META_SEGUROS],REALIZADO[COORDENAÇÃO],$P$7)</f>
        <v>8560.0000999999993</v>
      </c>
      <c r="L37" s="79">
        <f>SUMIFS(REALIZADO[AT_SEGUROS],REALIZADO[COORDENAÇÃO],$P$7)</f>
        <v>887.5999999999998</v>
      </c>
      <c r="M37" s="50">
        <f t="shared" ref="M37:M38" si="14">IFERROR(L37/K37,0)</f>
        <v>0.1036915875736964</v>
      </c>
      <c r="N37" s="12">
        <f>IF($M$37&gt;=FATORES!$O$37,FATORES!$Q$37,0)</f>
        <v>0</v>
      </c>
      <c r="O37" s="14">
        <f t="shared" si="12"/>
        <v>0</v>
      </c>
      <c r="P37" s="13">
        <f t="shared" si="13"/>
        <v>2.6504999999999996</v>
      </c>
      <c r="Q37" s="15">
        <f>IF($G$8=2,P37*0.05,0)</f>
        <v>0.13252499999999998</v>
      </c>
      <c r="R37" s="15">
        <f>IF($G$8=3,P37*0.15,0)</f>
        <v>0</v>
      </c>
      <c r="S37" s="99"/>
      <c r="T37" s="125"/>
      <c r="U37" s="125"/>
    </row>
    <row r="38" spans="2:21" x14ac:dyDescent="0.35">
      <c r="B38" s="48" t="s">
        <v>14</v>
      </c>
      <c r="C38" s="76">
        <f>SUMIFS(REALIZADO[META_SVA],REALIZADO[PDV],MONTSERRAT!$M$7)</f>
        <v>2850</v>
      </c>
      <c r="D38" s="77">
        <f>SUMIFS(REALIZADO[AT_SVA],REALIZADO[PDV],MONTSERRAT!$M$7)</f>
        <v>650.89</v>
      </c>
      <c r="E38" s="82">
        <f>IFERROR(D38/C38,0)</f>
        <v>0.22838245614035088</v>
      </c>
      <c r="F38" s="16">
        <f>IF($E$38&gt;=0,FATORES!$Q$40)</f>
        <v>5.0000000000000001E-3</v>
      </c>
      <c r="G38" s="16">
        <f>IFERROR(VLOOKUP($E$38,FATORES!$O$43:$Q$44,3),0)</f>
        <v>0</v>
      </c>
      <c r="H38" s="17">
        <f t="shared" si="9"/>
        <v>3.2544499999999998</v>
      </c>
      <c r="I38" s="65">
        <f t="shared" si="8"/>
        <v>0</v>
      </c>
      <c r="J38" s="17">
        <f t="shared" si="10"/>
        <v>3.2544499999999998</v>
      </c>
      <c r="K38" s="76">
        <f>SUMIFS(REALIZADO[META_SVA],REALIZADO[COORDENAÇÃO],$P$7)</f>
        <v>7799.9998999999989</v>
      </c>
      <c r="L38" s="77">
        <f>SUMIFS(REALIZADO[AT_SVA],REALIZADO[COORDENAÇÃO],$P$7)</f>
        <v>1187.3599999999999</v>
      </c>
      <c r="M38" s="51">
        <f t="shared" si="14"/>
        <v>0.15222564297725183</v>
      </c>
      <c r="N38" s="16">
        <f>IF($M$38&gt;=FATORES!$O$45,FATORES!$Q$45,0)</f>
        <v>0</v>
      </c>
      <c r="O38" s="14">
        <f t="shared" si="12"/>
        <v>0</v>
      </c>
      <c r="P38" s="18">
        <f t="shared" si="13"/>
        <v>3.2544499999999998</v>
      </c>
      <c r="Q38" s="19">
        <f>IF($H$8=2,P38*0.05,0)</f>
        <v>0</v>
      </c>
      <c r="R38" s="19">
        <f>IF($H$8=3,P38*0.15,0)</f>
        <v>0</v>
      </c>
      <c r="S38" s="100"/>
      <c r="T38" s="126"/>
      <c r="U38" s="126"/>
    </row>
    <row r="39" spans="2:21" x14ac:dyDescent="0.35">
      <c r="B39" s="66"/>
      <c r="C39" s="67"/>
      <c r="D39" s="67"/>
      <c r="E39" s="67"/>
      <c r="F39" s="67"/>
      <c r="G39" s="67"/>
      <c r="H39" s="67"/>
      <c r="I39" s="67"/>
      <c r="J39" s="68"/>
      <c r="K39" s="69"/>
      <c r="L39" s="67"/>
      <c r="M39" s="67"/>
      <c r="N39" s="67"/>
      <c r="O39" s="67"/>
      <c r="P39" s="70">
        <f>SUM(P30:P38)</f>
        <v>57.506399999999999</v>
      </c>
      <c r="Q39" s="70">
        <f t="shared" ref="Q39:R39" si="15">SUM(Q30:Q38)</f>
        <v>0.13252499999999998</v>
      </c>
      <c r="R39" s="70">
        <f t="shared" si="15"/>
        <v>0</v>
      </c>
      <c r="S39" s="71" t="str">
        <f>IF($P$7="ARIEL",IF(MIN(E30,E32,E33,E34,E35,E37,E38)&gt;=100%,SUM(P39:R39)*S30,""),IF(MIN(E30:E38)&gt;=100%,SUM(P39:R39)*S30,""))</f>
        <v/>
      </c>
      <c r="T39" s="153"/>
      <c r="U39" s="153"/>
    </row>
    <row r="41" spans="2:21" ht="18.5" x14ac:dyDescent="0.35">
      <c r="B41" s="236" t="s">
        <v>239</v>
      </c>
      <c r="C41" s="237"/>
      <c r="D41" s="237"/>
      <c r="E41" s="237"/>
      <c r="F41" s="237"/>
      <c r="G41" s="237"/>
      <c r="H41" s="237"/>
      <c r="I41" s="237"/>
      <c r="J41" s="237"/>
      <c r="K41" s="237"/>
      <c r="L41" s="237"/>
      <c r="M41" s="237"/>
      <c r="N41" s="237"/>
      <c r="O41" s="237"/>
      <c r="P41" s="237"/>
      <c r="Q41" s="237"/>
      <c r="R41" s="237"/>
      <c r="S41" s="237"/>
      <c r="T41" s="237"/>
      <c r="U41" s="238"/>
    </row>
    <row r="42" spans="2:21" x14ac:dyDescent="0.35">
      <c r="B42" s="232" t="s">
        <v>9</v>
      </c>
      <c r="C42" s="233"/>
      <c r="D42" s="233"/>
      <c r="E42" s="233"/>
      <c r="F42" s="233"/>
      <c r="G42" s="233"/>
      <c r="H42" s="233"/>
      <c r="I42" s="233"/>
      <c r="J42" s="234"/>
      <c r="K42" s="244" t="s">
        <v>54</v>
      </c>
      <c r="L42" s="245"/>
      <c r="M42" s="245"/>
      <c r="N42" s="245"/>
      <c r="O42" s="245"/>
      <c r="P42" s="90"/>
      <c r="Q42" s="90"/>
      <c r="R42" s="90"/>
      <c r="S42" s="90"/>
      <c r="T42" s="246"/>
      <c r="U42" s="246"/>
    </row>
    <row r="43" spans="2:21" ht="14.5" customHeight="1" x14ac:dyDescent="0.35">
      <c r="B43" s="114" t="s">
        <v>214</v>
      </c>
      <c r="C43" s="116" t="s">
        <v>237</v>
      </c>
      <c r="D43" s="117"/>
      <c r="E43" s="104"/>
      <c r="F43" s="118" t="s">
        <v>216</v>
      </c>
      <c r="G43" s="118" t="s">
        <v>217</v>
      </c>
      <c r="H43" s="118" t="s">
        <v>218</v>
      </c>
      <c r="I43" s="118" t="s">
        <v>219</v>
      </c>
      <c r="J43" s="118" t="s">
        <v>220</v>
      </c>
      <c r="K43" s="104" t="s">
        <v>238</v>
      </c>
      <c r="L43" s="105"/>
      <c r="M43" s="105"/>
      <c r="N43" s="106" t="s">
        <v>222</v>
      </c>
      <c r="O43" s="106" t="s">
        <v>223</v>
      </c>
      <c r="P43" s="106" t="s">
        <v>224</v>
      </c>
      <c r="Q43" s="106" t="s">
        <v>225</v>
      </c>
      <c r="R43" s="106" t="s">
        <v>226</v>
      </c>
      <c r="S43" s="106" t="s">
        <v>227</v>
      </c>
      <c r="T43" s="249" t="s">
        <v>240</v>
      </c>
      <c r="U43" s="247" t="s">
        <v>241</v>
      </c>
    </row>
    <row r="44" spans="2:21" x14ac:dyDescent="0.35">
      <c r="B44" s="115"/>
      <c r="C44" s="94" t="s">
        <v>229</v>
      </c>
      <c r="D44" s="120" t="s">
        <v>230</v>
      </c>
      <c r="E44" s="120"/>
      <c r="F44" s="118"/>
      <c r="G44" s="118"/>
      <c r="H44" s="118"/>
      <c r="I44" s="118"/>
      <c r="J44" s="118"/>
      <c r="K44" s="52" t="s">
        <v>229</v>
      </c>
      <c r="L44" s="120" t="s">
        <v>230</v>
      </c>
      <c r="M44" s="120"/>
      <c r="N44" s="106"/>
      <c r="O44" s="106"/>
      <c r="P44" s="106"/>
      <c r="Q44" s="106"/>
      <c r="R44" s="106"/>
      <c r="S44" s="106"/>
      <c r="T44" s="138"/>
      <c r="U44" s="248"/>
    </row>
    <row r="45" spans="2:21" x14ac:dyDescent="0.35">
      <c r="B45" s="45" t="s">
        <v>2</v>
      </c>
      <c r="C45" s="53">
        <v>23900</v>
      </c>
      <c r="D45" s="54">
        <v>23900</v>
      </c>
      <c r="E45" s="49">
        <f>IFERROR(D45/C45,0)</f>
        <v>1</v>
      </c>
      <c r="F45" s="8">
        <f>VLOOKUP($E$45,FATORES!$I$32:$K$34,3)</f>
        <v>0.04</v>
      </c>
      <c r="G45" s="8">
        <f>IFERROR(VLOOKUP(E45,FATORES!$I$35:$K$36,3),0)</f>
        <v>0.08</v>
      </c>
      <c r="H45" s="9">
        <f>D45*F45</f>
        <v>956</v>
      </c>
      <c r="I45" s="9">
        <f t="shared" ref="I45:I53" si="16">IF($P$7="ARIEL",
   IF(AND($E$45&gt;=69.5%, AND($E$47&gt;=69.5%, $E$48&gt;=69.5%, $E$48&gt;=69.5%, $E$50&gt;=69.5%, $E$50&gt;=69.5%, $E$52&gt;=69.5%, $E$53&gt;=69.5%)),
      D45*G45,
      0),
   IF(AND($E$45&gt;=69.5%, $E$46&gt;=69.5%, $E$47&gt;=69.5%, $E$48&gt;=69.5%, $E$48&gt;=69.5%, $E$50&gt;=69.5%, $E$50&gt;=69.5%, $E$52&gt;=69.5%, $E$53&gt;=69.5%),
      D45*G45,
      0)
)</f>
        <v>1912</v>
      </c>
      <c r="J45" s="9">
        <f>H45+I45</f>
        <v>2868</v>
      </c>
      <c r="K45" s="53">
        <f>SUMIFS(REALIZADO[META_MOVEL],REALIZADO[COORDENAÇÃO],$P$7)</f>
        <v>83640</v>
      </c>
      <c r="L45" s="54"/>
      <c r="M45" s="49">
        <f>IFERROR(L45/K45,0)</f>
        <v>0</v>
      </c>
      <c r="N45" s="8">
        <f>IF($M$45&gt;=FATORES!$I$37,FATORES!$K$37,0)</f>
        <v>0</v>
      </c>
      <c r="O45" s="14">
        <f>IF(E45&gt;=100%,
IF($P$7="ARIEL",
   IF(AND($E$45&gt;=69.5%, AND($E$47&gt;=69.5%, $E$48&gt;=69.5%, $E$48&gt;=69.5%, $E$50&gt;=69.5%, $E$50&gt;=69.5%, $E$52&gt;=69.5%, $E$53&gt;=69.5%)),
      D45*N45,
      0),
   IF(AND($E$45&gt;=69.5%, $E$46&gt;=69.5%, $E$47&gt;=69.5%, $E$48&gt;=69.5%, $E$48&gt;=69.5%, $E$50&gt;=69.5%, $E$50&gt;=69.5%, $E$52&gt;=69.5%, $E$53&gt;=69.5%),
      D45*N45,
      0)
),0)</f>
        <v>0</v>
      </c>
      <c r="P45" s="10">
        <f>J45+O45</f>
        <v>2868</v>
      </c>
      <c r="Q45" s="11">
        <f>IF($B$8=2,P45*0.05,0)</f>
        <v>0</v>
      </c>
      <c r="R45" s="11">
        <f>IF($B$8=3,P45*0.15,0)</f>
        <v>0</v>
      </c>
      <c r="S45" s="98">
        <v>0.1</v>
      </c>
      <c r="T45" s="101">
        <f>SUM($P$54:$S$54)</f>
        <v>5965.9175000000005</v>
      </c>
      <c r="U45" s="124">
        <f>T45*0.75</f>
        <v>4474.4381250000006</v>
      </c>
    </row>
    <row r="46" spans="2:21" x14ac:dyDescent="0.35">
      <c r="B46" s="46" t="s">
        <v>13</v>
      </c>
      <c r="C46" s="55">
        <v>10000</v>
      </c>
      <c r="D46" s="56">
        <v>10000</v>
      </c>
      <c r="E46" s="50">
        <f>IFERROR(D46/C46,0)</f>
        <v>1</v>
      </c>
      <c r="F46" s="12">
        <f>VLOOKUP($E$46,FATORES!$I$40:$K$42,3)</f>
        <v>0.04</v>
      </c>
      <c r="G46" s="12">
        <f>IFERROR(VLOOKUP(E46,FATORES!$I$43:$K$44,3),0)</f>
        <v>0.1</v>
      </c>
      <c r="H46" s="65">
        <f t="shared" ref="H46:H53" si="17">D46*F46</f>
        <v>400</v>
      </c>
      <c r="I46" s="65">
        <f t="shared" si="16"/>
        <v>1000</v>
      </c>
      <c r="J46" s="65">
        <f t="shared" ref="J46:J53" si="18">H46+I46</f>
        <v>1400</v>
      </c>
      <c r="K46" s="55">
        <f>SUMIFS(REALIZADO[META_FIXA],REALIZADO[COORDENAÇÃO],$P$7)</f>
        <v>36849.999799999998</v>
      </c>
      <c r="L46" s="56"/>
      <c r="M46" s="50">
        <f t="shared" ref="M46:M53" si="19">IFERROR(L46/K46,0)</f>
        <v>0</v>
      </c>
      <c r="N46" s="12">
        <f>IF($M$46&gt;=FATORES!$I$45,FATORES!$K$45,0)</f>
        <v>0</v>
      </c>
      <c r="O46" s="14">
        <f t="shared" ref="O46:O53" si="20">IF(E46&gt;=100%,
IF($P$7="ARIEL",
   IF(AND($E$45&gt;=69.5%, AND($E$47&gt;=69.5%, $E$48&gt;=69.5%, $E$48&gt;=69.5%, $E$50&gt;=69.5%, $E$50&gt;=69.5%, $E$52&gt;=69.5%, $E$53&gt;=69.5%)),
      D46*N46,
      0),
   IF(AND($E$45&gt;=69.5%, $E$46&gt;=69.5%, $E$47&gt;=69.5%, $E$48&gt;=69.5%, $E$48&gt;=69.5%, $E$50&gt;=69.5%, $E$50&gt;=69.5%, $E$52&gt;=69.5%, $E$53&gt;=69.5%),
      D46*N46,
      0)
),0)</f>
        <v>0</v>
      </c>
      <c r="P46" s="13">
        <f t="shared" ref="P46:P53" si="21">J46+O46</f>
        <v>1400</v>
      </c>
      <c r="Q46" s="15">
        <f>IF($C$8=2,P46*0.05,0)</f>
        <v>0</v>
      </c>
      <c r="R46" s="15">
        <f>IF($C$8=3,P46*0.15,0)</f>
        <v>0</v>
      </c>
      <c r="S46" s="99"/>
      <c r="T46" s="102"/>
      <c r="U46" s="125"/>
    </row>
    <row r="47" spans="2:21" x14ac:dyDescent="0.35">
      <c r="B47" s="46" t="s">
        <v>231</v>
      </c>
      <c r="C47" s="55">
        <v>480000</v>
      </c>
      <c r="D47" s="56">
        <v>605519</v>
      </c>
      <c r="E47" s="50">
        <f>IFERROR(D47/C47,0)</f>
        <v>1.2614979166666667</v>
      </c>
      <c r="F47" s="12">
        <f>VLOOKUP($E$47,FATORES!$B$53:$D$54,3)</f>
        <v>5.0000000000000001E-4</v>
      </c>
      <c r="G47" s="12">
        <f>IFERROR(VLOOKUP(E47,FATORES!$B$55:$D$55,3),0)</f>
        <v>1E-3</v>
      </c>
      <c r="H47" s="65">
        <f t="shared" si="17"/>
        <v>302.7595</v>
      </c>
      <c r="I47" s="65">
        <f t="shared" si="16"/>
        <v>605.51900000000001</v>
      </c>
      <c r="J47" s="65">
        <f t="shared" si="18"/>
        <v>908.27850000000001</v>
      </c>
      <c r="K47" s="55">
        <f>SUMIFS(REALIZADO[META_SMARTPHONE],REALIZADO[COORDENAÇÃO],$P$7)</f>
        <v>1296000</v>
      </c>
      <c r="L47" s="56"/>
      <c r="M47" s="50">
        <f t="shared" si="19"/>
        <v>0</v>
      </c>
      <c r="N47" s="12">
        <f>IF($M$47&gt;=FATORES!$B$56,FATORES!$D$56,0)</f>
        <v>0</v>
      </c>
      <c r="O47" s="14">
        <f t="shared" si="20"/>
        <v>0</v>
      </c>
      <c r="P47" s="13">
        <f t="shared" si="21"/>
        <v>908.27850000000001</v>
      </c>
      <c r="Q47" s="15">
        <f>IF($D$8=2,P47*0.05,0)</f>
        <v>0</v>
      </c>
      <c r="R47" s="15">
        <f>IF($D$8=3,P47*0.15,0)</f>
        <v>0</v>
      </c>
      <c r="S47" s="99"/>
      <c r="T47" s="102"/>
      <c r="U47" s="125"/>
    </row>
    <row r="48" spans="2:21" x14ac:dyDescent="0.35">
      <c r="B48" s="47" t="s">
        <v>232</v>
      </c>
      <c r="C48" s="96">
        <v>29000</v>
      </c>
      <c r="D48" s="56">
        <v>2499</v>
      </c>
      <c r="E48" s="97">
        <f>IFERROR((D48+D49)/C48,0)</f>
        <v>2.2435172413793105</v>
      </c>
      <c r="F48" s="12">
        <f>VLOOKUP($E$48,FATORES!$B$44:$E$46,3)</f>
        <v>1.5E-3</v>
      </c>
      <c r="G48" s="12">
        <f>IFERROR(VLOOKUP(E48,FATORES!$B$47:$E$48,3),0)</f>
        <v>7.0000000000000001E-3</v>
      </c>
      <c r="H48" s="65">
        <f t="shared" si="17"/>
        <v>3.7484999999999999</v>
      </c>
      <c r="I48" s="65">
        <f t="shared" si="16"/>
        <v>17.493000000000002</v>
      </c>
      <c r="J48" s="65">
        <f t="shared" si="18"/>
        <v>21.241500000000002</v>
      </c>
      <c r="K48" s="96">
        <f>SUMIFS(REALIZADO[META_ACESSORIO],REALIZADO[COORDENAÇÃO],$P$7)</f>
        <v>141750</v>
      </c>
      <c r="L48" s="56"/>
      <c r="M48" s="97">
        <f>IFERROR((L48+L49)/K48,0)</f>
        <v>0</v>
      </c>
      <c r="N48" s="12">
        <f>IF($M$48&gt;=FATORES!$B$49,FATORES!$D$49,0)</f>
        <v>0</v>
      </c>
      <c r="O48" s="14">
        <f t="shared" si="20"/>
        <v>0</v>
      </c>
      <c r="P48" s="13">
        <f t="shared" si="21"/>
        <v>21.241500000000002</v>
      </c>
      <c r="Q48" s="15">
        <f>IF($E$8=2,P48*0.05,0)</f>
        <v>0</v>
      </c>
      <c r="R48" s="15">
        <f>IF($E$8=3,P48*0.15,0)</f>
        <v>0</v>
      </c>
      <c r="S48" s="99"/>
      <c r="T48" s="102"/>
      <c r="U48" s="125"/>
    </row>
    <row r="49" spans="2:21" x14ac:dyDescent="0.35">
      <c r="B49" s="47" t="s">
        <v>233</v>
      </c>
      <c r="C49" s="96"/>
      <c r="D49" s="56">
        <v>62563</v>
      </c>
      <c r="E49" s="97"/>
      <c r="F49" s="12">
        <f>VLOOKUP($E$48,FATORES!$B$44:$E$46,4)</f>
        <v>7.5000000000000002E-4</v>
      </c>
      <c r="G49" s="12">
        <f>IFERROR(VLOOKUP(E48,FATORES!$B$47:$E$48,4),0)</f>
        <v>3.5000000000000001E-3</v>
      </c>
      <c r="H49" s="65">
        <f t="shared" si="17"/>
        <v>46.922249999999998</v>
      </c>
      <c r="I49" s="65">
        <f t="shared" si="16"/>
        <v>218.97050000000002</v>
      </c>
      <c r="J49" s="65">
        <f t="shared" si="18"/>
        <v>265.89275000000004</v>
      </c>
      <c r="K49" s="96"/>
      <c r="L49" s="56"/>
      <c r="M49" s="97"/>
      <c r="N49" s="12">
        <f>IF($M$48&gt;=FATORES!$B$49,FATORES!$E$49,0)</f>
        <v>0</v>
      </c>
      <c r="O49" s="14">
        <f t="shared" si="20"/>
        <v>0</v>
      </c>
      <c r="P49" s="13">
        <f t="shared" si="21"/>
        <v>265.89275000000004</v>
      </c>
      <c r="Q49" s="15">
        <f>IF($E$8=2,P49*0.05,0)</f>
        <v>0</v>
      </c>
      <c r="R49" s="15">
        <f>IF($E$8=3,P49*0.15,0)</f>
        <v>0</v>
      </c>
      <c r="S49" s="99"/>
      <c r="T49" s="102"/>
      <c r="U49" s="125"/>
    </row>
    <row r="50" spans="2:21" x14ac:dyDescent="0.35">
      <c r="B50" s="46" t="s">
        <v>234</v>
      </c>
      <c r="C50" s="96">
        <v>29000</v>
      </c>
      <c r="D50" s="56">
        <v>8720</v>
      </c>
      <c r="E50" s="97">
        <f>IFERROR((D50+D51)/C50,0)</f>
        <v>0.89527586206896548</v>
      </c>
      <c r="F50" s="12">
        <f>VLOOKUP($E$50,FATORES!$B$34:$E$36,3)</f>
        <v>1E-3</v>
      </c>
      <c r="G50" s="12">
        <f>IFERROR(VLOOKUP(E50,FATORES!$B$37:$E$38,3),0)</f>
        <v>0</v>
      </c>
      <c r="H50" s="65">
        <f t="shared" si="17"/>
        <v>8.7200000000000006</v>
      </c>
      <c r="I50" s="65">
        <f t="shared" si="16"/>
        <v>0</v>
      </c>
      <c r="J50" s="65">
        <f t="shared" si="18"/>
        <v>8.7200000000000006</v>
      </c>
      <c r="K50" s="96">
        <f>SUMIFS(REALIZADO[META_ESSENCIAIS],REALIZADO[COORDENAÇÃO],$P$7)</f>
        <v>80500.0003</v>
      </c>
      <c r="L50" s="56"/>
      <c r="M50" s="97">
        <f>IFERROR((L50+L51)/K50,0)</f>
        <v>0</v>
      </c>
      <c r="N50" s="12">
        <f>IF($M$50&gt;=FATORES!$B$39,FATORES!$D$39,0)</f>
        <v>0</v>
      </c>
      <c r="O50" s="14">
        <f t="shared" si="20"/>
        <v>0</v>
      </c>
      <c r="P50" s="13">
        <f t="shared" si="21"/>
        <v>8.7200000000000006</v>
      </c>
      <c r="Q50" s="15">
        <f>IF($F$8=2,P50*0.05,0)</f>
        <v>0</v>
      </c>
      <c r="R50" s="15">
        <f>IF($F$8=3,P50*0.15,0)</f>
        <v>0</v>
      </c>
      <c r="S50" s="99"/>
      <c r="T50" s="102"/>
      <c r="U50" s="125"/>
    </row>
    <row r="51" spans="2:21" x14ac:dyDescent="0.35">
      <c r="B51" s="46" t="s">
        <v>235</v>
      </c>
      <c r="C51" s="96"/>
      <c r="D51" s="56">
        <v>17243</v>
      </c>
      <c r="E51" s="97"/>
      <c r="F51" s="12">
        <f>VLOOKUP($E$50,FATORES!$B$34:$E$36,4)</f>
        <v>5.0000000000000001E-4</v>
      </c>
      <c r="G51" s="12">
        <f>IFERROR(VLOOKUP(E50,FATORES!$B$37:$E$38,4),0)</f>
        <v>0</v>
      </c>
      <c r="H51" s="65">
        <f t="shared" si="17"/>
        <v>8.6215000000000011</v>
      </c>
      <c r="I51" s="65">
        <f t="shared" si="16"/>
        <v>0</v>
      </c>
      <c r="J51" s="65">
        <f t="shared" si="18"/>
        <v>8.6215000000000011</v>
      </c>
      <c r="K51" s="96"/>
      <c r="L51" s="56"/>
      <c r="M51" s="97"/>
      <c r="N51" s="12">
        <f>IF($M$50&gt;=FATORES!$B$39,FATORES!$E$39,0)</f>
        <v>0</v>
      </c>
      <c r="O51" s="14">
        <f t="shared" si="20"/>
        <v>0</v>
      </c>
      <c r="P51" s="13">
        <f t="shared" si="21"/>
        <v>8.6215000000000011</v>
      </c>
      <c r="Q51" s="15">
        <f>IF($F$8=2,P51*0.05,0)</f>
        <v>0</v>
      </c>
      <c r="R51" s="15">
        <f>IF($F$8=3,P51*0.15,0)</f>
        <v>0</v>
      </c>
      <c r="S51" s="99"/>
      <c r="T51" s="102"/>
      <c r="U51" s="125"/>
    </row>
    <row r="52" spans="2:21" x14ac:dyDescent="0.35">
      <c r="B52" s="46" t="s">
        <v>212</v>
      </c>
      <c r="C52" s="55">
        <v>2900</v>
      </c>
      <c r="D52" s="56">
        <v>3218.9</v>
      </c>
      <c r="E52" s="50">
        <f>IFERROR(D52/C52,0)</f>
        <v>1.1099655172413794</v>
      </c>
      <c r="F52" s="83">
        <f>VLOOKUP($E$52,FATORES!$O$32:$Q$34,3)</f>
        <v>0.04</v>
      </c>
      <c r="G52" s="12">
        <f>IFERROR(VLOOKUP(E52,FATORES!$O$35:$Q$36,3),0)</f>
        <v>0.1</v>
      </c>
      <c r="H52" s="65">
        <f t="shared" si="17"/>
        <v>128.756</v>
      </c>
      <c r="I52" s="65">
        <f t="shared" si="16"/>
        <v>321.89000000000004</v>
      </c>
      <c r="J52" s="65">
        <f t="shared" si="18"/>
        <v>450.64600000000007</v>
      </c>
      <c r="K52" s="55">
        <f>SUMIFS(REALIZADO[META_SEGUROS],REALIZADO[COORDENAÇÃO],$P$7)</f>
        <v>8560.0000999999993</v>
      </c>
      <c r="L52" s="56"/>
      <c r="M52" s="50">
        <f t="shared" si="19"/>
        <v>0</v>
      </c>
      <c r="N52" s="12">
        <f>IF($M$52&gt;=FATORES!$O$37,FATORES!$Q$37,0)</f>
        <v>0</v>
      </c>
      <c r="O52" s="14">
        <f t="shared" si="20"/>
        <v>0</v>
      </c>
      <c r="P52" s="13">
        <f t="shared" si="21"/>
        <v>450.64600000000007</v>
      </c>
      <c r="Q52" s="15">
        <f>IF($G$8=2,P52*0.05,0)</f>
        <v>22.532300000000006</v>
      </c>
      <c r="R52" s="15">
        <f>IF($G$8=3,P52*0.15,0)</f>
        <v>0</v>
      </c>
      <c r="S52" s="99"/>
      <c r="T52" s="102"/>
      <c r="U52" s="125"/>
    </row>
    <row r="53" spans="2:21" x14ac:dyDescent="0.35">
      <c r="B53" s="48" t="s">
        <v>14</v>
      </c>
      <c r="C53" s="57">
        <v>2600</v>
      </c>
      <c r="D53" s="58">
        <v>2396.9899999999998</v>
      </c>
      <c r="E53" s="51">
        <f>IFERROR(D53/C53,0)</f>
        <v>0.92191923076923066</v>
      </c>
      <c r="F53" s="16">
        <f>IF($E$53&gt;=0,FATORES!$Q$40)</f>
        <v>5.0000000000000001E-3</v>
      </c>
      <c r="G53" s="16">
        <f>IFERROR(VLOOKUP(E53,FATORES!$O$43:$Q$44,3),0)</f>
        <v>0</v>
      </c>
      <c r="H53" s="17">
        <f t="shared" si="17"/>
        <v>11.98495</v>
      </c>
      <c r="I53" s="65">
        <f t="shared" si="16"/>
        <v>0</v>
      </c>
      <c r="J53" s="17">
        <f t="shared" si="18"/>
        <v>11.98495</v>
      </c>
      <c r="K53" s="57">
        <f>SUMIFS(REALIZADO[META_SVA],REALIZADO[COORDENAÇÃO],$P$7)</f>
        <v>7799.9998999999989</v>
      </c>
      <c r="L53" s="58"/>
      <c r="M53" s="51">
        <f t="shared" si="19"/>
        <v>0</v>
      </c>
      <c r="N53" s="16">
        <f>IF($M$53&gt;=FATORES!$O$45,FATORES!$Q$45,0)</f>
        <v>0</v>
      </c>
      <c r="O53" s="14">
        <f t="shared" si="20"/>
        <v>0</v>
      </c>
      <c r="P53" s="18">
        <f t="shared" si="21"/>
        <v>11.98495</v>
      </c>
      <c r="Q53" s="19">
        <f>IF($H$8=2,P53*0.05,0)</f>
        <v>0</v>
      </c>
      <c r="R53" s="19">
        <f>IF($H$8=3,P53*0.15,0)</f>
        <v>0</v>
      </c>
      <c r="S53" s="100"/>
      <c r="T53" s="103"/>
      <c r="U53" s="126"/>
    </row>
    <row r="54" spans="2:21" x14ac:dyDescent="0.35">
      <c r="B54" s="66"/>
      <c r="C54" s="67"/>
      <c r="D54" s="67"/>
      <c r="E54" s="67"/>
      <c r="F54" s="67"/>
      <c r="G54" s="67"/>
      <c r="H54" s="67"/>
      <c r="I54" s="67"/>
      <c r="J54" s="68"/>
      <c r="K54" s="69"/>
      <c r="L54" s="67"/>
      <c r="M54" s="67"/>
      <c r="N54" s="67"/>
      <c r="O54" s="67"/>
      <c r="P54" s="70">
        <f>SUM(P45:P53)</f>
        <v>5943.3852000000006</v>
      </c>
      <c r="Q54" s="70">
        <f t="shared" ref="Q54:R54" si="22">SUM(Q45:Q53)</f>
        <v>22.532300000000006</v>
      </c>
      <c r="R54" s="70">
        <f t="shared" si="22"/>
        <v>0</v>
      </c>
      <c r="S54" s="71" t="str">
        <f>IF($P$7="ARIEL",IF(MIN(E45,E47,E48,E49,E50,E52,E53)&gt;=99.99%,SUM(P54:R54)*S45,""),IF(MIN(E45:E53)&gt;=99.99%,SUM(P54:R54)*S45,""))</f>
        <v/>
      </c>
      <c r="T54" s="153"/>
      <c r="U54" s="153"/>
    </row>
  </sheetData>
  <sheetProtection algorithmName="SHA-512" hashValue="DlhgvhNJ9bN8zWGV+9rErNzZNOsdcAIzXCa9lWxZDtDfycKyF8e93tdn/Jmra/Ch+9R8xqH/7vF0Dcp2Kl8Tcg==" saltValue="GeqGCGAmA7MzCRkRKJTYNw==" spinCount="100000" sheet="1" objects="1" scenarios="1"/>
  <protectedRanges>
    <protectedRange sqref="B8:H8 C45:D53 K45:L53" name="Intervalo1"/>
  </protectedRanges>
  <mergeCells count="104">
    <mergeCell ref="B2:U4"/>
    <mergeCell ref="B11:U11"/>
    <mergeCell ref="K12:U12"/>
    <mergeCell ref="B13:B14"/>
    <mergeCell ref="C13:E13"/>
    <mergeCell ref="F13:F14"/>
    <mergeCell ref="G13:G14"/>
    <mergeCell ref="H13:H14"/>
    <mergeCell ref="I13:I14"/>
    <mergeCell ref="B6:H6"/>
    <mergeCell ref="M6:N6"/>
    <mergeCell ref="M7:N7"/>
    <mergeCell ref="B12:J12"/>
    <mergeCell ref="K18:K19"/>
    <mergeCell ref="M18:M19"/>
    <mergeCell ref="C20:C21"/>
    <mergeCell ref="E20:E21"/>
    <mergeCell ref="K20:K21"/>
    <mergeCell ref="M20:M21"/>
    <mergeCell ref="R13:R14"/>
    <mergeCell ref="S13:S14"/>
    <mergeCell ref="T13:T14"/>
    <mergeCell ref="D14:E14"/>
    <mergeCell ref="L14:M14"/>
    <mergeCell ref="S15:S23"/>
    <mergeCell ref="T15:T23"/>
    <mergeCell ref="J13:J14"/>
    <mergeCell ref="K13:M13"/>
    <mergeCell ref="N13:N14"/>
    <mergeCell ref="O13:O14"/>
    <mergeCell ref="P13:P14"/>
    <mergeCell ref="Q13:Q14"/>
    <mergeCell ref="B27:J27"/>
    <mergeCell ref="B28:B29"/>
    <mergeCell ref="C28:E28"/>
    <mergeCell ref="F28:F29"/>
    <mergeCell ref="G28:G29"/>
    <mergeCell ref="H28:H29"/>
    <mergeCell ref="I28:I29"/>
    <mergeCell ref="J28:J29"/>
    <mergeCell ref="C18:C19"/>
    <mergeCell ref="E18:E19"/>
    <mergeCell ref="T28:T29"/>
    <mergeCell ref="D29:E29"/>
    <mergeCell ref="L29:M29"/>
    <mergeCell ref="S30:S38"/>
    <mergeCell ref="T30:T38"/>
    <mergeCell ref="K28:M28"/>
    <mergeCell ref="N28:N29"/>
    <mergeCell ref="O28:O29"/>
    <mergeCell ref="P28:P29"/>
    <mergeCell ref="Q28:Q29"/>
    <mergeCell ref="R28:R29"/>
    <mergeCell ref="C33:C34"/>
    <mergeCell ref="E33:E34"/>
    <mergeCell ref="K33:K34"/>
    <mergeCell ref="M33:M34"/>
    <mergeCell ref="C35:C36"/>
    <mergeCell ref="E35:E36"/>
    <mergeCell ref="K35:K36"/>
    <mergeCell ref="M35:M36"/>
    <mergeCell ref="S28:S29"/>
    <mergeCell ref="K43:M43"/>
    <mergeCell ref="N43:N44"/>
    <mergeCell ref="O43:O44"/>
    <mergeCell ref="P43:P44"/>
    <mergeCell ref="Q43:Q44"/>
    <mergeCell ref="R43:R44"/>
    <mergeCell ref="B41:U41"/>
    <mergeCell ref="T42:U42"/>
    <mergeCell ref="B42:J42"/>
    <mergeCell ref="K42:O42"/>
    <mergeCell ref="B43:B44"/>
    <mergeCell ref="C43:E43"/>
    <mergeCell ref="F43:F44"/>
    <mergeCell ref="G43:G44"/>
    <mergeCell ref="H43:H44"/>
    <mergeCell ref="I43:I44"/>
    <mergeCell ref="J43:J44"/>
    <mergeCell ref="L44:M44"/>
    <mergeCell ref="T54:U54"/>
    <mergeCell ref="T24:U24"/>
    <mergeCell ref="U13:U14"/>
    <mergeCell ref="U15:U23"/>
    <mergeCell ref="U30:U38"/>
    <mergeCell ref="U45:U53"/>
    <mergeCell ref="U28:U29"/>
    <mergeCell ref="U43:U44"/>
    <mergeCell ref="B26:U26"/>
    <mergeCell ref="K27:U27"/>
    <mergeCell ref="T39:U39"/>
    <mergeCell ref="C48:C49"/>
    <mergeCell ref="E48:E49"/>
    <mergeCell ref="K48:K49"/>
    <mergeCell ref="M48:M49"/>
    <mergeCell ref="C50:C51"/>
    <mergeCell ref="E50:E51"/>
    <mergeCell ref="K50:K51"/>
    <mergeCell ref="M50:M51"/>
    <mergeCell ref="S43:S44"/>
    <mergeCell ref="T43:T44"/>
    <mergeCell ref="D44:E44"/>
    <mergeCell ref="S45:S53"/>
    <mergeCell ref="T45:T53"/>
  </mergeCells>
  <conditionalFormatting sqref="E15:E18 E20 E22:E23">
    <cfRule type="cellIs" dxfId="126" priority="22" operator="between">
      <formula>0.7</formula>
      <formula>1</formula>
    </cfRule>
    <cfRule type="cellIs" dxfId="125" priority="23" operator="greaterThanOrEqual">
      <formula>1</formula>
    </cfRule>
    <cfRule type="cellIs" dxfId="124" priority="24" operator="lessThan">
      <formula>0.7</formula>
    </cfRule>
  </conditionalFormatting>
  <conditionalFormatting sqref="E30:E33 E35 E37:E38">
    <cfRule type="cellIs" dxfId="123" priority="10" operator="between">
      <formula>0.7</formula>
      <formula>1</formula>
    </cfRule>
    <cfRule type="cellIs" dxfId="122" priority="11" operator="greaterThanOrEqual">
      <formula>1</formula>
    </cfRule>
    <cfRule type="cellIs" dxfId="121" priority="12" operator="lessThan">
      <formula>0.7</formula>
    </cfRule>
  </conditionalFormatting>
  <conditionalFormatting sqref="E45:E48 E50 E52:E53">
    <cfRule type="cellIs" dxfId="120" priority="34" operator="between">
      <formula>0.7</formula>
      <formula>1</formula>
    </cfRule>
    <cfRule type="cellIs" dxfId="119" priority="35" operator="greaterThanOrEqual">
      <formula>1</formula>
    </cfRule>
    <cfRule type="cellIs" dxfId="118" priority="36" operator="lessThan">
      <formula>0.7</formula>
    </cfRule>
  </conditionalFormatting>
  <conditionalFormatting sqref="M15:M18">
    <cfRule type="cellIs" dxfId="117" priority="16" operator="between">
      <formula>0.7</formula>
      <formula>1</formula>
    </cfRule>
    <cfRule type="cellIs" dxfId="116" priority="17" operator="greaterThanOrEqual">
      <formula>1</formula>
    </cfRule>
    <cfRule type="cellIs" dxfId="115" priority="18" operator="lessThan">
      <formula>0.7</formula>
    </cfRule>
  </conditionalFormatting>
  <conditionalFormatting sqref="M20">
    <cfRule type="cellIs" dxfId="114" priority="13" operator="between">
      <formula>0.7</formula>
      <formula>1</formula>
    </cfRule>
    <cfRule type="cellIs" dxfId="113" priority="14" operator="greaterThanOrEqual">
      <formula>1</formula>
    </cfRule>
    <cfRule type="cellIs" dxfId="112" priority="15" operator="lessThan">
      <formula>0.7</formula>
    </cfRule>
  </conditionalFormatting>
  <conditionalFormatting sqref="M22:M23">
    <cfRule type="cellIs" dxfId="111" priority="19" operator="between">
      <formula>0.7</formula>
      <formula>1</formula>
    </cfRule>
    <cfRule type="cellIs" dxfId="110" priority="20" operator="greaterThanOrEqual">
      <formula>1</formula>
    </cfRule>
    <cfRule type="cellIs" dxfId="109" priority="21" operator="lessThan">
      <formula>0.7</formula>
    </cfRule>
  </conditionalFormatting>
  <conditionalFormatting sqref="M30:M33">
    <cfRule type="cellIs" dxfId="108" priority="4" operator="between">
      <formula>0.7</formula>
      <formula>1</formula>
    </cfRule>
    <cfRule type="cellIs" dxfId="107" priority="5" operator="greaterThanOrEqual">
      <formula>1</formula>
    </cfRule>
    <cfRule type="cellIs" dxfId="106" priority="6" operator="lessThan">
      <formula>0.7</formula>
    </cfRule>
  </conditionalFormatting>
  <conditionalFormatting sqref="M35">
    <cfRule type="cellIs" dxfId="105" priority="1" operator="between">
      <formula>0.7</formula>
      <formula>1</formula>
    </cfRule>
    <cfRule type="cellIs" dxfId="104" priority="2" operator="greaterThanOrEqual">
      <formula>1</formula>
    </cfRule>
    <cfRule type="cellIs" dxfId="103" priority="3" operator="lessThan">
      <formula>0.7</formula>
    </cfRule>
  </conditionalFormatting>
  <conditionalFormatting sqref="M37:M38">
    <cfRule type="cellIs" dxfId="102" priority="7" operator="between">
      <formula>0.7</formula>
      <formula>1</formula>
    </cfRule>
    <cfRule type="cellIs" dxfId="101" priority="8" operator="greaterThanOrEqual">
      <formula>1</formula>
    </cfRule>
    <cfRule type="cellIs" dxfId="100" priority="9" operator="lessThan">
      <formula>0.7</formula>
    </cfRule>
  </conditionalFormatting>
  <conditionalFormatting sqref="M45:M48">
    <cfRule type="cellIs" dxfId="99" priority="28" operator="between">
      <formula>0.7</formula>
      <formula>1</formula>
    </cfRule>
    <cfRule type="cellIs" dxfId="98" priority="29" operator="greaterThanOrEqual">
      <formula>1</formula>
    </cfRule>
    <cfRule type="cellIs" dxfId="97" priority="30" operator="lessThan">
      <formula>0.7</formula>
    </cfRule>
  </conditionalFormatting>
  <conditionalFormatting sqref="M50">
    <cfRule type="cellIs" dxfId="96" priority="25" operator="between">
      <formula>0.7</formula>
      <formula>1</formula>
    </cfRule>
    <cfRule type="cellIs" dxfId="95" priority="26" operator="greaterThanOrEqual">
      <formula>1</formula>
    </cfRule>
    <cfRule type="cellIs" dxfId="94" priority="27" operator="lessThan">
      <formula>0.7</formula>
    </cfRule>
  </conditionalFormatting>
  <conditionalFormatting sqref="M52:M53">
    <cfRule type="cellIs" dxfId="93" priority="31" operator="between">
      <formula>0.7</formula>
      <formula>1</formula>
    </cfRule>
    <cfRule type="cellIs" dxfId="92" priority="32" operator="greaterThanOrEqual">
      <formula>1</formula>
    </cfRule>
    <cfRule type="cellIs" dxfId="91" priority="33" operator="lessThan">
      <formula>0.7</formula>
    </cfRule>
  </conditionalFormatting>
  <dataValidations count="1">
    <dataValidation type="list" allowBlank="1" showInputMessage="1" showErrorMessage="1" sqref="B8:H8" xr:uid="{6A65A08F-6D67-40ED-B05B-538F8DBDA267}">
      <formula1>$V$6:$X$6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48AEB-93F1-4BBA-832E-3DC0339C1A65}">
  <dimension ref="B1:X54"/>
  <sheetViews>
    <sheetView showGridLines="0" topLeftCell="A31" zoomScale="70" zoomScaleNormal="70" workbookViewId="0">
      <selection activeCell="D54" sqref="D54"/>
    </sheetView>
  </sheetViews>
  <sheetFormatPr defaultRowHeight="14.5" x14ac:dyDescent="0.35"/>
  <cols>
    <col min="1" max="1" width="2.1796875" customWidth="1"/>
    <col min="2" max="2" width="16.453125" customWidth="1"/>
    <col min="3" max="3" width="15" bestFit="1" customWidth="1"/>
    <col min="4" max="4" width="14.54296875" customWidth="1"/>
    <col min="5" max="5" width="13.453125" bestFit="1" customWidth="1"/>
    <col min="6" max="6" width="14" customWidth="1"/>
    <col min="7" max="7" width="18.7265625" customWidth="1"/>
    <col min="8" max="8" width="15" customWidth="1"/>
    <col min="9" max="9" width="20" customWidth="1"/>
    <col min="10" max="10" width="21.1796875" customWidth="1"/>
    <col min="11" max="12" width="16.453125" customWidth="1"/>
    <col min="13" max="13" width="9.7265625" customWidth="1"/>
    <col min="14" max="14" width="20.54296875" customWidth="1"/>
    <col min="15" max="15" width="21" customWidth="1"/>
    <col min="16" max="16" width="15.26953125" customWidth="1"/>
    <col min="17" max="17" width="13" bestFit="1" customWidth="1"/>
    <col min="18" max="18" width="10.453125" bestFit="1" customWidth="1"/>
    <col min="19" max="19" width="12.7265625" bestFit="1" customWidth="1"/>
    <col min="20" max="20" width="14.453125" customWidth="1"/>
    <col min="21" max="21" width="13.81640625" hidden="1" customWidth="1"/>
  </cols>
  <sheetData>
    <row r="1" spans="2:24" x14ac:dyDescent="0.35">
      <c r="B1" s="59"/>
    </row>
    <row r="2" spans="2:24" ht="14.5" customHeight="1" x14ac:dyDescent="0.35">
      <c r="B2" s="146" t="s">
        <v>207</v>
      </c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</row>
    <row r="3" spans="2:24" ht="14.5" customHeight="1" x14ac:dyDescent="0.35">
      <c r="B3" s="146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7"/>
    </row>
    <row r="4" spans="2:24" ht="14.5" customHeight="1" x14ac:dyDescent="0.35">
      <c r="B4" s="146"/>
      <c r="C4" s="147"/>
      <c r="D4" s="147"/>
      <c r="E4" s="147"/>
      <c r="F4" s="147"/>
      <c r="G4" s="147"/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7"/>
      <c r="U4" s="147"/>
    </row>
    <row r="5" spans="2:24" x14ac:dyDescent="0.35">
      <c r="B5" s="60"/>
    </row>
    <row r="6" spans="2:24" ht="14.5" customHeight="1" x14ac:dyDescent="0.35">
      <c r="B6" s="152" t="s">
        <v>208</v>
      </c>
      <c r="C6" s="153"/>
      <c r="D6" s="153"/>
      <c r="E6" s="153"/>
      <c r="F6" s="153"/>
      <c r="G6" s="153"/>
      <c r="H6" s="154"/>
      <c r="M6" s="155" t="s">
        <v>54</v>
      </c>
      <c r="N6" s="156"/>
      <c r="P6" s="74" t="s">
        <v>23</v>
      </c>
      <c r="V6" s="1">
        <v>0</v>
      </c>
      <c r="W6" s="1">
        <v>2</v>
      </c>
      <c r="X6" s="1">
        <v>3</v>
      </c>
    </row>
    <row r="7" spans="2:24" ht="14.5" customHeight="1" x14ac:dyDescent="0.35">
      <c r="B7" s="62" t="s">
        <v>209</v>
      </c>
      <c r="C7" s="2" t="s">
        <v>13</v>
      </c>
      <c r="D7" s="2" t="s">
        <v>210</v>
      </c>
      <c r="E7" s="2" t="s">
        <v>16</v>
      </c>
      <c r="F7" s="2" t="s">
        <v>211</v>
      </c>
      <c r="G7" s="2" t="s">
        <v>212</v>
      </c>
      <c r="H7" s="3" t="s">
        <v>14</v>
      </c>
      <c r="M7" s="157" t="s">
        <v>49</v>
      </c>
      <c r="N7" s="158"/>
      <c r="P7" s="75" t="s">
        <v>45</v>
      </c>
    </row>
    <row r="8" spans="2:24" ht="14.5" customHeight="1" x14ac:dyDescent="0.35">
      <c r="B8" s="63">
        <v>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5">
        <v>0</v>
      </c>
    </row>
    <row r="9" spans="2:24" x14ac:dyDescent="0.35">
      <c r="B9" s="84"/>
      <c r="C9" s="85"/>
      <c r="D9" s="85"/>
      <c r="E9" s="85"/>
      <c r="F9" s="85"/>
      <c r="G9" s="85"/>
      <c r="H9" s="85"/>
    </row>
    <row r="10" spans="2:24" x14ac:dyDescent="0.35">
      <c r="B10" s="84"/>
      <c r="C10" s="85"/>
      <c r="D10" s="85"/>
      <c r="E10" s="85"/>
      <c r="F10" s="85"/>
      <c r="G10" s="85"/>
      <c r="H10" s="85"/>
    </row>
    <row r="11" spans="2:24" ht="18.5" x14ac:dyDescent="0.35">
      <c r="B11" s="252" t="s">
        <v>213</v>
      </c>
      <c r="C11" s="253"/>
      <c r="D11" s="253"/>
      <c r="E11" s="253"/>
      <c r="F11" s="253"/>
      <c r="G11" s="253"/>
      <c r="H11" s="253"/>
      <c r="I11" s="253"/>
      <c r="J11" s="253"/>
      <c r="K11" s="253"/>
      <c r="L11" s="253"/>
      <c r="M11" s="253"/>
      <c r="N11" s="253"/>
      <c r="O11" s="253"/>
      <c r="P11" s="253"/>
      <c r="Q11" s="253"/>
      <c r="R11" s="253"/>
      <c r="S11" s="253"/>
      <c r="T11" s="253"/>
      <c r="U11" s="253"/>
    </row>
    <row r="12" spans="2:24" x14ac:dyDescent="0.35">
      <c r="B12" s="129" t="s">
        <v>9</v>
      </c>
      <c r="C12" s="130"/>
      <c r="D12" s="130"/>
      <c r="E12" s="130"/>
      <c r="F12" s="130"/>
      <c r="G12" s="130"/>
      <c r="H12" s="130"/>
      <c r="I12" s="130"/>
      <c r="J12" s="131"/>
      <c r="K12" s="112" t="s">
        <v>54</v>
      </c>
      <c r="L12" s="113"/>
      <c r="M12" s="113"/>
      <c r="N12" s="113"/>
      <c r="O12" s="113"/>
      <c r="P12" s="113"/>
      <c r="Q12" s="113"/>
      <c r="R12" s="113"/>
      <c r="S12" s="113"/>
      <c r="T12" s="113"/>
      <c r="U12" s="219"/>
    </row>
    <row r="13" spans="2:24" ht="14.5" customHeight="1" x14ac:dyDescent="0.35">
      <c r="B13" s="115" t="s">
        <v>214</v>
      </c>
      <c r="C13" s="116" t="s">
        <v>215</v>
      </c>
      <c r="D13" s="117"/>
      <c r="E13" s="104"/>
      <c r="F13" s="135" t="s">
        <v>216</v>
      </c>
      <c r="G13" s="135" t="s">
        <v>217</v>
      </c>
      <c r="H13" s="135" t="s">
        <v>218</v>
      </c>
      <c r="I13" s="135" t="s">
        <v>219</v>
      </c>
      <c r="J13" s="135" t="s">
        <v>220</v>
      </c>
      <c r="K13" s="229" t="s">
        <v>221</v>
      </c>
      <c r="L13" s="230"/>
      <c r="M13" s="231"/>
      <c r="N13" s="228" t="s">
        <v>222</v>
      </c>
      <c r="O13" s="127" t="s">
        <v>223</v>
      </c>
      <c r="P13" s="228" t="s">
        <v>224</v>
      </c>
      <c r="Q13" s="228" t="s">
        <v>225</v>
      </c>
      <c r="R13" s="228" t="s">
        <v>226</v>
      </c>
      <c r="S13" s="228" t="s">
        <v>227</v>
      </c>
      <c r="T13" s="249" t="s">
        <v>240</v>
      </c>
      <c r="U13" s="247" t="s">
        <v>241</v>
      </c>
    </row>
    <row r="14" spans="2:24" x14ac:dyDescent="0.35">
      <c r="B14" s="134"/>
      <c r="C14" s="94" t="s">
        <v>229</v>
      </c>
      <c r="D14" s="139" t="s">
        <v>230</v>
      </c>
      <c r="E14" s="140"/>
      <c r="F14" s="136"/>
      <c r="G14" s="136"/>
      <c r="H14" s="136"/>
      <c r="I14" s="136"/>
      <c r="J14" s="136"/>
      <c r="K14" s="52" t="s">
        <v>229</v>
      </c>
      <c r="L14" s="139" t="s">
        <v>230</v>
      </c>
      <c r="M14" s="140"/>
      <c r="N14" s="128"/>
      <c r="O14" s="128"/>
      <c r="P14" s="128"/>
      <c r="Q14" s="128"/>
      <c r="R14" s="128"/>
      <c r="S14" s="128"/>
      <c r="T14" s="138"/>
      <c r="U14" s="248"/>
    </row>
    <row r="15" spans="2:24" x14ac:dyDescent="0.35">
      <c r="B15" s="45" t="s">
        <v>2</v>
      </c>
      <c r="C15" s="76">
        <f>SUMIFS(REALIZADO[META_MOVEL],REALIZADO[PDV],'PORTO CANOA'!$M$7)</f>
        <v>6690</v>
      </c>
      <c r="D15" s="77">
        <f>SUMIFS(PROJEÇÃO[PROJ_MOVEL],PROJEÇÃO[PDV],'PORTO CANOA'!$M$7)</f>
        <v>5669.9166999999998</v>
      </c>
      <c r="E15" s="49">
        <f>IFERROR(D15/C15,0)</f>
        <v>0.8475211808669656</v>
      </c>
      <c r="F15" s="8">
        <f>VLOOKUP($E$15,FATORES!$I$32:$K$34,3)</f>
        <v>0.02</v>
      </c>
      <c r="G15" s="8">
        <f>IFERROR(VLOOKUP($E$15,FATORES!$I$35:$K$36,3),0)</f>
        <v>0</v>
      </c>
      <c r="H15" s="9">
        <f>D15*F15</f>
        <v>113.39833399999999</v>
      </c>
      <c r="I15" s="9">
        <f t="shared" ref="I15:I23" si="0">IF($P$7="ARIEL",
   IF(AND($E$15&gt;=69.5%, AND($E$17&gt;=69.5%, $E$18&gt;=69.5%, $E$18&gt;=69.5%, $E$20&gt;=69.5%, $E$20&gt;=69.5%, $E$22&gt;=69.5%, $E$23&gt;=69.5%)),
      D15*G15,
      0),
   IF(AND($E$15&gt;=69.5%, $E$16&gt;=69.5%, $E$17&gt;=69.5%, $E$18&gt;=69.5%, $E$18&gt;=69.5%, $E$20&gt;=69.5%, $E$20&gt;=69.5%, $E$22&gt;=69.5%, $E$23&gt;=69.5%),
      D15*G15,
      0)
)</f>
        <v>0</v>
      </c>
      <c r="J15" s="9">
        <f>H15+I15</f>
        <v>113.39833399999999</v>
      </c>
      <c r="K15" s="76">
        <f>SUMIFS(REALIZADO[META_MOVEL],REALIZADO[COORDENAÇÃO],$P$7)</f>
        <v>83640</v>
      </c>
      <c r="L15" s="77">
        <f>SUMIFS(PROJEÇÃO[PROJ_MOVEL],PROJEÇÃO[COORDENAÇÃO],$P$7)</f>
        <v>77669.213200000013</v>
      </c>
      <c r="M15" s="49">
        <f>IFERROR(L15/K15,0)</f>
        <v>0.92861326159732205</v>
      </c>
      <c r="N15" s="8">
        <f>IF($M$15&gt;=FATORES!$I$37,FATORES!$K$37,0)</f>
        <v>0</v>
      </c>
      <c r="O15" s="14">
        <f>IF(E15&gt;=100%,
   IF($P$7="ARIEL",
      IF(AND($E$15&gt;=69.5%,$E$17&gt;=69.5%,$E$18&gt;=69.5%,$E$20&gt;=69.5%,$E$22&gt;=69.5%,$E$23&gt;=69.5%),
         D15*N15,
         0
      ),
      IF(AND($E$15&gt;=69.5%,$E$16&gt;=69.5%,$E$17&gt;=69.5%,$E$18&gt;=69.5%,$E$20&gt;=69.5%,$E$22&gt;=69.5%,$E$23&gt;=69.5%),
         D15*N15,
         0
      )
   ),
0)</f>
        <v>0</v>
      </c>
      <c r="P15" s="10">
        <f>J15+O15</f>
        <v>113.39833399999999</v>
      </c>
      <c r="Q15" s="11">
        <f>IF($B$8=2,P15*0.05,0)</f>
        <v>0</v>
      </c>
      <c r="R15" s="11">
        <f>IF($B$8=3,P15*0.15,0)</f>
        <v>0</v>
      </c>
      <c r="S15" s="98">
        <v>0.1</v>
      </c>
      <c r="T15" s="124">
        <f>SUM(P24:S24)</f>
        <v>324.585444725</v>
      </c>
      <c r="U15" s="124">
        <f>T15*0.75</f>
        <v>243.43908354375</v>
      </c>
    </row>
    <row r="16" spans="2:24" x14ac:dyDescent="0.35">
      <c r="B16" s="46" t="s">
        <v>13</v>
      </c>
      <c r="C16" s="76">
        <f>SUMIFS(REALIZADO[META_FIXA],REALIZADO[PDV],'PORTO CANOA'!$M$7)</f>
        <v>2800</v>
      </c>
      <c r="D16" s="77">
        <f>SUMIFS(PROJEÇÃO[PROJ_FIXA],PROJEÇÃO[PDV],'PORTO CANOA'!$M$7)</f>
        <v>3460.1111000000001</v>
      </c>
      <c r="E16" s="50">
        <f>IFERROR(D16/C16,0)</f>
        <v>1.2357539642857143</v>
      </c>
      <c r="F16" s="12">
        <f>VLOOKUP($E$16,FATORES!$I$40:$K$42,3)</f>
        <v>0.04</v>
      </c>
      <c r="G16" s="12">
        <f>IFERROR(VLOOKUP($E$16,FATORES!$I$43:$K$44,3),0)</f>
        <v>0.15</v>
      </c>
      <c r="H16" s="65">
        <f t="shared" ref="H16:H23" si="1">D16*F16</f>
        <v>138.40444400000001</v>
      </c>
      <c r="I16" s="65">
        <f t="shared" si="0"/>
        <v>0</v>
      </c>
      <c r="J16" s="65">
        <f t="shared" ref="J16:J23" si="2">H16+I16</f>
        <v>138.40444400000001</v>
      </c>
      <c r="K16" s="76">
        <f>SUMIFS(REALIZADO[META_FIXA],REALIZADO[COORDENAÇÃO],$P$7)</f>
        <v>36849.999799999998</v>
      </c>
      <c r="L16" s="77">
        <f>SUMIFS(PROJEÇÃO[PROJ_FIXA],PROJEÇÃO[COORDENAÇÃO],$P$7)</f>
        <v>42376.122200000013</v>
      </c>
      <c r="M16" s="50">
        <f t="shared" ref="M16:M17" si="3">IFERROR(L16/K16,0)</f>
        <v>1.1499626168247636</v>
      </c>
      <c r="N16" s="12">
        <f>IF($M$16&gt;=FATORES!$I$45,FATORES!$K$45,0)</f>
        <v>0.03</v>
      </c>
      <c r="O16" s="14">
        <f t="shared" ref="O16:O23" si="4">IF(E16&gt;=100%,
   IF($P$7="ARIEL",
      IF(AND($E$15&gt;=69.5%,$E$17&gt;=69.5%,$E$18&gt;=69.5%,$E$20&gt;=69.5%,$E$22&gt;=69.5%,$E$23&gt;=69.5%),
         D16*N16,
         0
      ),
      IF(AND($E$15&gt;=69.5%,$E$16&gt;=69.5%,$E$17&gt;=69.5%,$E$18&gt;=69.5%,$E$20&gt;=69.5%,$E$22&gt;=69.5%,$E$23&gt;=69.5%),
         D16*N16,
         0
      )
   ),
0)</f>
        <v>0</v>
      </c>
      <c r="P16" s="13">
        <f t="shared" ref="P16:P23" si="5">J16+O16</f>
        <v>138.40444400000001</v>
      </c>
      <c r="Q16" s="15">
        <f>IF($C$8=2,P16*0.05,0)</f>
        <v>0</v>
      </c>
      <c r="R16" s="15">
        <f>IF($C$8=3,P16*0.15,0)</f>
        <v>0</v>
      </c>
      <c r="S16" s="99"/>
      <c r="T16" s="125"/>
      <c r="U16" s="125"/>
    </row>
    <row r="17" spans="2:21" x14ac:dyDescent="0.35">
      <c r="B17" s="46" t="s">
        <v>231</v>
      </c>
      <c r="C17" s="53">
        <f>SUMIFS(REALIZADO[META_SMARTPHONE],REALIZADO[PDV],'PORTO CANOA'!$M$7)</f>
        <v>83000</v>
      </c>
      <c r="D17" s="78">
        <f>SUMIFS(PROJEÇÃO[PROJ_APARELHO],PROJEÇÃO[PDV],'PORTO CANOA'!$M$7)</f>
        <v>102097.55560000001</v>
      </c>
      <c r="E17" s="50">
        <f>IFERROR(D17/C17,0)</f>
        <v>1.2300910313253013</v>
      </c>
      <c r="F17" s="12">
        <f>VLOOKUP($E$17,FATORES!$B$53:$D$54,3)</f>
        <v>5.0000000000000001E-4</v>
      </c>
      <c r="G17" s="12">
        <f>IFERROR(VLOOKUP($E$17,FATORES!$B$55:$D$55,3),0)</f>
        <v>1E-3</v>
      </c>
      <c r="H17" s="65">
        <f t="shared" si="1"/>
        <v>51.048777800000003</v>
      </c>
      <c r="I17" s="65">
        <f t="shared" si="0"/>
        <v>0</v>
      </c>
      <c r="J17" s="65">
        <f t="shared" si="2"/>
        <v>51.048777800000003</v>
      </c>
      <c r="K17" s="53">
        <f>SUMIFS(REALIZADO[META_SMARTPHONE],REALIZADO[COORDENAÇÃO],$P$7)</f>
        <v>1296000</v>
      </c>
      <c r="L17" s="78">
        <f>SUMIFS(PROJEÇÃO[PROJ_APARELHO],PROJEÇÃO[COORDENAÇÃO],$P$7)</f>
        <v>1267838.5443</v>
      </c>
      <c r="M17" s="50">
        <f t="shared" si="3"/>
        <v>0.97827048171296294</v>
      </c>
      <c r="N17" s="12">
        <f>IF($M$17&gt;=FATORES!$B$56,FATORES!$D$56,0)</f>
        <v>0</v>
      </c>
      <c r="O17" s="14">
        <f t="shared" si="4"/>
        <v>0</v>
      </c>
      <c r="P17" s="13">
        <f t="shared" si="5"/>
        <v>51.048777800000003</v>
      </c>
      <c r="Q17" s="15">
        <f>IF($D$8=2,P17*0.05,0)</f>
        <v>0</v>
      </c>
      <c r="R17" s="15">
        <f>IF($D$8=3,P17*0.15,0)</f>
        <v>0</v>
      </c>
      <c r="S17" s="99"/>
      <c r="T17" s="125"/>
      <c r="U17" s="125"/>
    </row>
    <row r="18" spans="2:21" x14ac:dyDescent="0.35">
      <c r="B18" s="47" t="s">
        <v>232</v>
      </c>
      <c r="C18" s="121">
        <f>SUMIFS(REALIZADO[META_ACESSORIO],REALIZADO[PDV],'PORTO CANOA'!$M$7)</f>
        <v>6700</v>
      </c>
      <c r="D18" s="86">
        <f>SUMIFS(PROJEÇÃO[PROJ_ELETRO_A],PROJEÇÃO[PDV],'PORTO CANOA'!$M$7)</f>
        <v>0</v>
      </c>
      <c r="E18" s="123">
        <f>IFERROR((D18+D19)/C18,0)</f>
        <v>2.5787064626865668</v>
      </c>
      <c r="F18" s="12">
        <f>VLOOKUP($E$18,FATORES!$B$44:$E$46,3)</f>
        <v>1.5E-3</v>
      </c>
      <c r="G18" s="12">
        <f>IFERROR(VLOOKUP($E$18,FATORES!$B$47:$E$48,3),0)</f>
        <v>7.0000000000000001E-3</v>
      </c>
      <c r="H18" s="65">
        <f t="shared" si="1"/>
        <v>0</v>
      </c>
      <c r="I18" s="65">
        <f t="shared" si="0"/>
        <v>0</v>
      </c>
      <c r="J18" s="65">
        <f t="shared" si="2"/>
        <v>0</v>
      </c>
      <c r="K18" s="121">
        <f>SUMIFS(REALIZADO[META_ACESSORIO],REALIZADO[COORDENAÇÃO],$P$7)</f>
        <v>141750</v>
      </c>
      <c r="L18" s="86">
        <f>SUMIFS(PROJEÇÃO[PROJ_ELETRO_A],PROJEÇÃO[COORDENAÇÃO],$P$7)</f>
        <v>2847.8889000000004</v>
      </c>
      <c r="M18" s="97">
        <f>IFERROR((L18+L19)/K18,0)</f>
        <v>1.1761539851851854</v>
      </c>
      <c r="N18" s="12">
        <f>IF($M$18&gt;=FATORES!$B$49,FATORES!$D$49,0)</f>
        <v>2.5000000000000001E-3</v>
      </c>
      <c r="O18" s="14">
        <f t="shared" si="4"/>
        <v>0</v>
      </c>
      <c r="P18" s="13">
        <f t="shared" si="5"/>
        <v>0</v>
      </c>
      <c r="Q18" s="15">
        <f>IF($E$8=2,P18*0.05,0)</f>
        <v>0</v>
      </c>
      <c r="R18" s="15">
        <f>IF($E$8=3,P18*0.15,0)</f>
        <v>0</v>
      </c>
      <c r="S18" s="99"/>
      <c r="T18" s="125"/>
      <c r="U18" s="125"/>
    </row>
    <row r="19" spans="2:21" x14ac:dyDescent="0.35">
      <c r="B19" s="47" t="s">
        <v>233</v>
      </c>
      <c r="C19" s="122"/>
      <c r="D19" s="87">
        <f>SUMIFS(PROJEÇÃO[PROJ_ELETRO_B],PROJEÇÃO[PDV],'PORTO CANOA'!$M$7)</f>
        <v>17277.333299999998</v>
      </c>
      <c r="E19" s="123"/>
      <c r="F19" s="12">
        <f>VLOOKUP($E$18,FATORES!$B$44:$E$46,4)</f>
        <v>7.5000000000000002E-4</v>
      </c>
      <c r="G19" s="12">
        <f>IFERROR(VLOOKUP($E$18,FATORES!$B$47:$E$48,4),0)</f>
        <v>3.5000000000000001E-3</v>
      </c>
      <c r="H19" s="65">
        <f t="shared" si="1"/>
        <v>12.957999975</v>
      </c>
      <c r="I19" s="65">
        <f t="shared" si="0"/>
        <v>0</v>
      </c>
      <c r="J19" s="65">
        <f t="shared" si="2"/>
        <v>12.957999975</v>
      </c>
      <c r="K19" s="122"/>
      <c r="L19" s="87">
        <f>SUMIFS(PROJEÇÃO[PROJ_ELETRO_B],PROJEÇÃO[COORDENAÇÃO],$P$7)</f>
        <v>163871.93850000005</v>
      </c>
      <c r="M19" s="97"/>
      <c r="N19" s="12">
        <f>IF($M$18&gt;=FATORES!$B$49,FATORES!$E$49,0)</f>
        <v>1.25E-3</v>
      </c>
      <c r="O19" s="14">
        <f t="shared" si="4"/>
        <v>0</v>
      </c>
      <c r="P19" s="13">
        <f t="shared" si="5"/>
        <v>12.957999975</v>
      </c>
      <c r="Q19" s="15">
        <f>IF($E$8=2,P19*0.05,0)</f>
        <v>0</v>
      </c>
      <c r="R19" s="15">
        <f>IF($E$8=3,P19*0.15,0)</f>
        <v>0</v>
      </c>
      <c r="S19" s="99"/>
      <c r="T19" s="125"/>
      <c r="U19" s="125"/>
    </row>
    <row r="20" spans="2:21" x14ac:dyDescent="0.35">
      <c r="B20" s="46" t="s">
        <v>234</v>
      </c>
      <c r="C20" s="121">
        <f>SUMIFS(REALIZADO[META_ESSENCIAIS],REALIZADO[PDV],'PORTO CANOA'!$M$7)</f>
        <v>4500</v>
      </c>
      <c r="D20" s="86">
        <f>SUMIFS(PROJEÇÃO[PROJ_ESSEN_A],PROJEÇÃO[PDV],'PORTO CANOA'!$M$7)</f>
        <v>1125.2221999999999</v>
      </c>
      <c r="E20" s="123">
        <f>IFERROR((D20+D21)/C20,0)</f>
        <v>1.2052098666666666</v>
      </c>
      <c r="F20" s="12">
        <f>VLOOKUP($E$20,FATORES!$B$34:$E$36,3)</f>
        <v>1.5E-3</v>
      </c>
      <c r="G20" s="12">
        <f>IFERROR(VLOOKUP($E$20,FATORES!$B$37:$E$38,3),0)</f>
        <v>6.0000000000000001E-3</v>
      </c>
      <c r="H20" s="65">
        <f t="shared" si="1"/>
        <v>1.6878332999999999</v>
      </c>
      <c r="I20" s="65">
        <f t="shared" si="0"/>
        <v>0</v>
      </c>
      <c r="J20" s="65">
        <f t="shared" si="2"/>
        <v>1.6878332999999999</v>
      </c>
      <c r="K20" s="121">
        <f>SUMIFS(REALIZADO[META_ESSENCIAIS],REALIZADO[COORDENAÇÃO],$P$7)</f>
        <v>80500.0003</v>
      </c>
      <c r="L20" s="86">
        <f>SUMIFS(PROJEÇÃO[PROJ_ESSEN_A],PROJEÇÃO[COORDENAÇÃO],$P$7)</f>
        <v>32670.500100000008</v>
      </c>
      <c r="M20" s="97">
        <f>IFERROR((L20+L21)/K20,0)</f>
        <v>0.97865446467582207</v>
      </c>
      <c r="N20" s="12">
        <f>IF($M$20&gt;=FATORES!$B$39,FATORES!$D$39,0)</f>
        <v>0</v>
      </c>
      <c r="O20" s="14">
        <f t="shared" si="4"/>
        <v>0</v>
      </c>
      <c r="P20" s="13">
        <f t="shared" si="5"/>
        <v>1.6878332999999999</v>
      </c>
      <c r="Q20" s="15">
        <f>IF($F$8=2,P20*0.05,0)</f>
        <v>0</v>
      </c>
      <c r="R20" s="15">
        <f>IF($F$8=3,P20*0.15,0)</f>
        <v>0</v>
      </c>
      <c r="S20" s="99"/>
      <c r="T20" s="125"/>
      <c r="U20" s="125"/>
    </row>
    <row r="21" spans="2:21" x14ac:dyDescent="0.35">
      <c r="B21" s="46" t="s">
        <v>235</v>
      </c>
      <c r="C21" s="122"/>
      <c r="D21" s="87">
        <f>SUMIFS(PROJEÇÃO[PROJ_ESSEN_B],PROJEÇÃO[PDV],'PORTO CANOA'!$M$7)</f>
        <v>4298.2222000000002</v>
      </c>
      <c r="E21" s="123"/>
      <c r="F21" s="12">
        <f>VLOOKUP($E$20,FATORES!$B$34:$E$36,4)</f>
        <v>7.5000000000000002E-4</v>
      </c>
      <c r="G21" s="12">
        <f>IFERROR(VLOOKUP($E$20,FATORES!$B$37:$E$38,4),0)</f>
        <v>3.0000000000000001E-3</v>
      </c>
      <c r="H21" s="65">
        <f t="shared" si="1"/>
        <v>3.2236666500000002</v>
      </c>
      <c r="I21" s="65">
        <f t="shared" si="0"/>
        <v>0</v>
      </c>
      <c r="J21" s="65">
        <f t="shared" si="2"/>
        <v>3.2236666500000002</v>
      </c>
      <c r="K21" s="122"/>
      <c r="L21" s="87">
        <f>SUMIFS(PROJEÇÃO[PROJ_ESSEN_B],PROJEÇÃO[COORDENAÇÃO],$P$7)</f>
        <v>46111.184600000001</v>
      </c>
      <c r="M21" s="97"/>
      <c r="N21" s="12">
        <f>IF($M$20&gt;=FATORES!$B$39,FATORES!$E$39,0)</f>
        <v>0</v>
      </c>
      <c r="O21" s="14">
        <f t="shared" si="4"/>
        <v>0</v>
      </c>
      <c r="P21" s="13">
        <f t="shared" si="5"/>
        <v>3.2236666500000002</v>
      </c>
      <c r="Q21" s="15">
        <f>IF($F$8=2,P21*0.05,0)</f>
        <v>0</v>
      </c>
      <c r="R21" s="15">
        <f>IF($F$8=3,P21*0.15,0)</f>
        <v>0</v>
      </c>
      <c r="S21" s="99"/>
      <c r="T21" s="125"/>
      <c r="U21" s="125"/>
    </row>
    <row r="22" spans="2:21" x14ac:dyDescent="0.35">
      <c r="B22" s="46" t="s">
        <v>212</v>
      </c>
      <c r="C22" s="57">
        <f>SUMIFS(REALIZADO[META_SEGUROS],REALIZADO[PDV],'PORTO CANOA'!$M$7)</f>
        <v>600</v>
      </c>
      <c r="D22" s="79">
        <f>SUMIFS(PROJEÇÃO[PROJ_SEGURO],PROJEÇÃO[PDV],'PORTO CANOA'!$M$7)</f>
        <v>402.16669999999999</v>
      </c>
      <c r="E22" s="83">
        <f>IFERROR(D22/C22,0)</f>
        <v>0.67027783333333335</v>
      </c>
      <c r="F22" s="83">
        <f>VLOOKUP($E$22,FATORES!$O$32:$Q$34,3)</f>
        <v>5.0000000000000001E-3</v>
      </c>
      <c r="G22" s="12">
        <f>IFERROR(VLOOKUP($E$22,FATORES!$O$35:$Q$36,3),0)</f>
        <v>0</v>
      </c>
      <c r="H22" s="65">
        <f t="shared" si="1"/>
        <v>2.0108334999999999</v>
      </c>
      <c r="I22" s="65">
        <f t="shared" si="0"/>
        <v>0</v>
      </c>
      <c r="J22" s="65">
        <f t="shared" si="2"/>
        <v>2.0108334999999999</v>
      </c>
      <c r="K22" s="57">
        <f>SUMIFS(REALIZADO[META_SEGUROS],REALIZADO[COORDENAÇÃO],$P$7)</f>
        <v>8560.0000999999993</v>
      </c>
      <c r="L22" s="79">
        <f>SUMIFS(PROJEÇÃO[PROJ_SEGURO],PROJEÇÃO[COORDENAÇÃO],$P$7)</f>
        <v>8140.4447</v>
      </c>
      <c r="M22" s="50">
        <f t="shared" ref="M22:M23" si="6">IFERROR(L22/K22,0)</f>
        <v>0.95098651926417621</v>
      </c>
      <c r="N22" s="12">
        <f>IF($M$22&gt;=FATORES!$O$37,FATORES!$Q$37,0)</f>
        <v>0</v>
      </c>
      <c r="O22" s="14">
        <f t="shared" si="4"/>
        <v>0</v>
      </c>
      <c r="P22" s="13">
        <f t="shared" si="5"/>
        <v>2.0108334999999999</v>
      </c>
      <c r="Q22" s="15">
        <f>IF($G$8=2,P22*0.05,0)</f>
        <v>0</v>
      </c>
      <c r="R22" s="15">
        <f>IF($G$8=3,P22*0.15,0)</f>
        <v>0</v>
      </c>
      <c r="S22" s="99"/>
      <c r="T22" s="125"/>
      <c r="U22" s="125"/>
    </row>
    <row r="23" spans="2:21" x14ac:dyDescent="0.35">
      <c r="B23" s="48" t="s">
        <v>14</v>
      </c>
      <c r="C23" s="76">
        <f>SUMIFS(REALIZADO[META_SVA],REALIZADO[PDV],'PORTO CANOA'!$M$7)</f>
        <v>450</v>
      </c>
      <c r="D23" s="77">
        <f>SUMIFS(PROJEÇÃO[PROJ_SVA],PROJEÇÃO[PDV],'PORTO CANOA'!$M$7)</f>
        <v>370.71109999999999</v>
      </c>
      <c r="E23" s="82">
        <f>IFERROR(D23/C23,0)</f>
        <v>0.82380244444444439</v>
      </c>
      <c r="F23" s="16">
        <f>IF($E$23&gt;=0,FATORES!$Q$40)</f>
        <v>5.0000000000000001E-3</v>
      </c>
      <c r="G23" s="16">
        <f>IFERROR(VLOOKUP($E$23,FATORES!$O$43:$Q$44,3),0)</f>
        <v>0</v>
      </c>
      <c r="H23" s="17">
        <f t="shared" si="1"/>
        <v>1.8535554999999999</v>
      </c>
      <c r="I23" s="65">
        <f t="shared" si="0"/>
        <v>0</v>
      </c>
      <c r="J23" s="17">
        <f t="shared" si="2"/>
        <v>1.8535554999999999</v>
      </c>
      <c r="K23" s="76">
        <f>SUMIFS(REALIZADO[META_SVA],REALIZADO[COORDENAÇÃO],$P$7)</f>
        <v>7799.9998999999989</v>
      </c>
      <c r="L23" s="77">
        <f>SUMIFS(PROJEÇÃO[PROJ_SVA],PROJEÇÃO[COORDENAÇÃO],$P$7)</f>
        <v>10286.177699999998</v>
      </c>
      <c r="M23" s="51">
        <f t="shared" si="6"/>
        <v>1.3187407476761634</v>
      </c>
      <c r="N23" s="16">
        <f>IF($M$23&gt;=FATORES!$O$45,FATORES!$Q$45,0)</f>
        <v>5.0000000000000001E-3</v>
      </c>
      <c r="O23" s="14">
        <f t="shared" si="4"/>
        <v>0</v>
      </c>
      <c r="P23" s="18">
        <f t="shared" si="5"/>
        <v>1.8535554999999999</v>
      </c>
      <c r="Q23" s="19">
        <f>IF($H$8=2,P23*0.05,0)</f>
        <v>0</v>
      </c>
      <c r="R23" s="19">
        <f>IF($H$8=3,P23*0.15,0)</f>
        <v>0</v>
      </c>
      <c r="S23" s="100"/>
      <c r="T23" s="126"/>
      <c r="U23" s="126"/>
    </row>
    <row r="24" spans="2:21" x14ac:dyDescent="0.35">
      <c r="B24" s="66"/>
      <c r="C24" s="67"/>
      <c r="D24" s="67"/>
      <c r="E24" s="67"/>
      <c r="F24" s="67"/>
      <c r="G24" s="67"/>
      <c r="H24" s="67"/>
      <c r="I24" s="67"/>
      <c r="J24" s="68"/>
      <c r="K24" s="69"/>
      <c r="L24" s="67"/>
      <c r="M24" s="67"/>
      <c r="N24" s="67"/>
      <c r="O24" s="67"/>
      <c r="P24" s="70">
        <f>SUM(P15:P23)</f>
        <v>324.585444725</v>
      </c>
      <c r="Q24" s="70">
        <f t="shared" ref="Q24:R24" si="7">SUM(Q15:Q23)</f>
        <v>0</v>
      </c>
      <c r="R24" s="70">
        <f t="shared" si="7"/>
        <v>0</v>
      </c>
      <c r="S24" s="71" t="str">
        <f>IF($P$7="ARIEL",IF(MIN(E15,E17,E18,E19,E20,E22,E23)&gt;=100%,SUM(P24:R24)*S15,""),IF(MIN(E15:E23)&gt;=100%,SUM(P24:R24)*S15,""))</f>
        <v/>
      </c>
      <c r="T24" s="153"/>
      <c r="U24" s="153"/>
    </row>
    <row r="25" spans="2:21" ht="16.149999999999999" customHeight="1" x14ac:dyDescent="0.35">
      <c r="B25" s="80"/>
      <c r="C25" s="6"/>
      <c r="D25" s="6"/>
      <c r="E25" s="6"/>
      <c r="F25" s="6"/>
      <c r="G25" s="6"/>
      <c r="H25" s="6"/>
    </row>
    <row r="26" spans="2:21" ht="18.5" x14ac:dyDescent="0.35">
      <c r="B26" s="240" t="s">
        <v>236</v>
      </c>
      <c r="C26" s="241"/>
      <c r="D26" s="241"/>
      <c r="E26" s="241"/>
      <c r="F26" s="241"/>
      <c r="G26" s="241"/>
      <c r="H26" s="241"/>
      <c r="I26" s="241"/>
      <c r="J26" s="241"/>
      <c r="K26" s="241"/>
      <c r="L26" s="241"/>
      <c r="M26" s="241"/>
      <c r="N26" s="241"/>
      <c r="O26" s="241"/>
      <c r="P26" s="241"/>
      <c r="Q26" s="241"/>
      <c r="R26" s="241"/>
      <c r="S26" s="241"/>
      <c r="T26" s="241"/>
      <c r="U26" s="242"/>
    </row>
    <row r="27" spans="2:21" x14ac:dyDescent="0.35">
      <c r="B27" s="232" t="s">
        <v>9</v>
      </c>
      <c r="C27" s="233"/>
      <c r="D27" s="233"/>
      <c r="E27" s="233"/>
      <c r="F27" s="233"/>
      <c r="G27" s="233"/>
      <c r="H27" s="233"/>
      <c r="I27" s="233"/>
      <c r="J27" s="234"/>
      <c r="K27" s="225" t="s">
        <v>54</v>
      </c>
      <c r="L27" s="156"/>
      <c r="M27" s="156"/>
      <c r="N27" s="156"/>
      <c r="O27" s="156"/>
      <c r="P27" s="156"/>
      <c r="Q27" s="156"/>
      <c r="R27" s="156"/>
      <c r="S27" s="156"/>
      <c r="T27" s="156"/>
      <c r="U27" s="156"/>
    </row>
    <row r="28" spans="2:21" ht="14.5" customHeight="1" x14ac:dyDescent="0.35">
      <c r="B28" s="115" t="s">
        <v>214</v>
      </c>
      <c r="C28" s="116" t="s">
        <v>237</v>
      </c>
      <c r="D28" s="117"/>
      <c r="E28" s="104"/>
      <c r="F28" s="135" t="s">
        <v>216</v>
      </c>
      <c r="G28" s="135" t="s">
        <v>217</v>
      </c>
      <c r="H28" s="135" t="s">
        <v>218</v>
      </c>
      <c r="I28" s="135" t="s">
        <v>219</v>
      </c>
      <c r="J28" s="135" t="s">
        <v>220</v>
      </c>
      <c r="K28" s="116" t="s">
        <v>238</v>
      </c>
      <c r="L28" s="117"/>
      <c r="M28" s="104"/>
      <c r="N28" s="127" t="s">
        <v>222</v>
      </c>
      <c r="O28" s="127" t="s">
        <v>223</v>
      </c>
      <c r="P28" s="127" t="s">
        <v>224</v>
      </c>
      <c r="Q28" s="127" t="s">
        <v>225</v>
      </c>
      <c r="R28" s="127" t="s">
        <v>226</v>
      </c>
      <c r="S28" s="127" t="s">
        <v>227</v>
      </c>
      <c r="T28" s="137" t="s">
        <v>240</v>
      </c>
      <c r="U28" s="251" t="s">
        <v>241</v>
      </c>
    </row>
    <row r="29" spans="2:21" ht="14.5" customHeight="1" x14ac:dyDescent="0.35">
      <c r="B29" s="134"/>
      <c r="C29" s="94" t="s">
        <v>229</v>
      </c>
      <c r="D29" s="139" t="s">
        <v>230</v>
      </c>
      <c r="E29" s="140"/>
      <c r="F29" s="136"/>
      <c r="G29" s="136"/>
      <c r="H29" s="136"/>
      <c r="I29" s="136"/>
      <c r="J29" s="136"/>
      <c r="K29" s="52" t="s">
        <v>229</v>
      </c>
      <c r="L29" s="139" t="s">
        <v>230</v>
      </c>
      <c r="M29" s="140"/>
      <c r="N29" s="128"/>
      <c r="O29" s="128"/>
      <c r="P29" s="128"/>
      <c r="Q29" s="128"/>
      <c r="R29" s="128"/>
      <c r="S29" s="128"/>
      <c r="T29" s="138"/>
      <c r="U29" s="248"/>
    </row>
    <row r="30" spans="2:21" x14ac:dyDescent="0.35">
      <c r="B30" s="45" t="s">
        <v>2</v>
      </c>
      <c r="C30" s="76">
        <f>SUMIFS(REALIZADO[META_MOVEL],REALIZADO[PDV],'PORTO CANOA'!$M$7)</f>
        <v>6690</v>
      </c>
      <c r="D30" s="77">
        <f>SUMIFS(REALIZADO[AT_MOVEL],REALIZADO[PDV],'PORTO CANOA'!$M$7)</f>
        <v>558</v>
      </c>
      <c r="E30" s="49">
        <f>IFERROR(D30/C30,0)</f>
        <v>8.3408071748878918E-2</v>
      </c>
      <c r="F30" s="8">
        <f>VLOOKUP($E$30,FATORES!$I$32:$K$34,3)</f>
        <v>5.0000000000000001E-3</v>
      </c>
      <c r="G30" s="8">
        <f>IFERROR(VLOOKUP($E$30,FATORES!$I$35:$K$36,3),0)</f>
        <v>0</v>
      </c>
      <c r="H30" s="9">
        <f>D30*F30</f>
        <v>2.79</v>
      </c>
      <c r="I30" s="9">
        <f t="shared" ref="I30:I38" si="8">IF($P$7="ARIEL",
   IF(AND($E$30&gt;=69.5%, AND($E$32&gt;=69.5%, $E$33&gt;=69.5%, $E$33&gt;=69.5%, $E$35&gt;=69.5%, $E$35&gt;=69.5%, $E$37&gt;=69.5%, $E$38&gt;=69.5%)),
      D30*G30,
      0),
   IF(AND($E$30&gt;=69.5%, $E$31&gt;=69.5%, $E$32&gt;=69.5%, $E$33&gt;=69.5%, $E$33&gt;=69.5%, $E$35&gt;=69.5%, $E$35&gt;=69.5%, $E$37&gt;=69.5%, $E$38&gt;=69.5%),
      D30*G30,
      0)
)</f>
        <v>0</v>
      </c>
      <c r="J30" s="9">
        <f>H30+I30</f>
        <v>2.79</v>
      </c>
      <c r="K30" s="76">
        <f>SUMIFS(REALIZADO[META_MOVEL],REALIZADO[COORDENAÇÃO],$P$7)</f>
        <v>83640</v>
      </c>
      <c r="L30" s="77">
        <f>SUMIFS(REALIZADO[AT_MOVEL],REALIZADO[COORDENAÇÃO],$P$7)</f>
        <v>10363.76</v>
      </c>
      <c r="M30" s="49">
        <f>IFERROR(L30/K30,0)</f>
        <v>0.1239091343854615</v>
      </c>
      <c r="N30" s="8">
        <f>IF($M$30&gt;=FATORES!$I$37,FATORES!$K$37,0)</f>
        <v>0</v>
      </c>
      <c r="O30" s="14">
        <f>IF(E30&gt;=100%,
IF($P$7="ARIEL",
IF(AND($E$30&gt;=69.5%,$E$32&gt;=69.5%,$E$33&gt;=69.5%,$E$35&gt;=69.5%,$E$37&gt;=69.5%,$E$38&gt;=69.5%),
D30*N30,
0),
IF(AND($E$30&gt;=69.5%,$E$31&gt;=69.5%,$E$32&gt;=69.5%,$E$33&gt;=69.5%,$E$35&gt;=69.5%,$E$37&gt;=69.5%,$E$38&gt;=69.5%),
D30*N30,
0)
),0)</f>
        <v>0</v>
      </c>
      <c r="P30" s="10">
        <f>J30+O30</f>
        <v>2.79</v>
      </c>
      <c r="Q30" s="11">
        <f>IF($B$8=2,P30*0.05,0)</f>
        <v>0</v>
      </c>
      <c r="R30" s="11">
        <f>IF($B$8=3,P30*0.15,0)</f>
        <v>0</v>
      </c>
      <c r="S30" s="98">
        <v>0.1</v>
      </c>
      <c r="T30" s="124">
        <f>SUM(P39:S39)</f>
        <v>4.1107499999999995</v>
      </c>
      <c r="U30" s="101">
        <f>T30*0.75</f>
        <v>3.0830624999999996</v>
      </c>
    </row>
    <row r="31" spans="2:21" x14ac:dyDescent="0.35">
      <c r="B31" s="46" t="s">
        <v>13</v>
      </c>
      <c r="C31" s="76">
        <f>SUMIFS(REALIZADO[META_FIXA],REALIZADO[PDV],'PORTO CANOA'!$M$7)</f>
        <v>2800</v>
      </c>
      <c r="D31" s="77">
        <f>SUMIFS(REALIZADO[AT_FIXA],REALIZADO[PDV],'PORTO CANOA'!$M$7)</f>
        <v>200</v>
      </c>
      <c r="E31" s="50">
        <f>IFERROR(D31/C31,0)</f>
        <v>7.1428571428571425E-2</v>
      </c>
      <c r="F31" s="12">
        <f>VLOOKUP($E$31,FATORES!$I$40:$K$42,3)</f>
        <v>5.0000000000000001E-3</v>
      </c>
      <c r="G31" s="12">
        <f>IFERROR(VLOOKUP($E$31,FATORES!$I$43:$K$44,3),0)</f>
        <v>0</v>
      </c>
      <c r="H31" s="65">
        <f t="shared" ref="H31:H38" si="9">D31*F31</f>
        <v>1</v>
      </c>
      <c r="I31" s="65">
        <f t="shared" si="8"/>
        <v>0</v>
      </c>
      <c r="J31" s="65">
        <f t="shared" ref="J31:J38" si="10">H31+I31</f>
        <v>1</v>
      </c>
      <c r="K31" s="76">
        <f>SUMIFS(REALIZADO[META_FIXA],REALIZADO[COORDENAÇÃO],$P$7)</f>
        <v>36849.999799999998</v>
      </c>
      <c r="L31" s="77">
        <f>SUMIFS(REALIZADO[AT_FIXA],REALIZADO[COORDENAÇÃO],$P$7)</f>
        <v>4391.01</v>
      </c>
      <c r="M31" s="50">
        <f t="shared" ref="M31:M32" si="11">IFERROR(L31/K31,0)</f>
        <v>0.11915902371321045</v>
      </c>
      <c r="N31" s="12">
        <f>IF($M$31&gt;=FATORES!$I$45,FATORES!$K$45,0)</f>
        <v>0</v>
      </c>
      <c r="O31" s="14">
        <f t="shared" ref="O31:O38" si="12">IF(E31&gt;=100%,
IF($P$7="ARIEL",
IF(AND($E$30&gt;=69.5%,$E$32&gt;=69.5%,$E$33&gt;=69.5%,$E$35&gt;=69.5%,$E$37&gt;=69.5%,$E$38&gt;=69.5%),
D31*N31,
0),
IF(AND($E$30&gt;=69.5%,$E$31&gt;=69.5%,$E$32&gt;=69.5%,$E$33&gt;=69.5%,$E$35&gt;=69.5%,$E$37&gt;=69.5%,$E$38&gt;=69.5%),
D31*N31,
0)
),0)</f>
        <v>0</v>
      </c>
      <c r="P31" s="13">
        <f t="shared" ref="P31:P38" si="13">J31+O31</f>
        <v>1</v>
      </c>
      <c r="Q31" s="15">
        <f>IF($C$8=2,P31*0.05,0)</f>
        <v>0</v>
      </c>
      <c r="R31" s="15">
        <f>IF($C$8=3,P31*0.15,0)</f>
        <v>0</v>
      </c>
      <c r="S31" s="99"/>
      <c r="T31" s="125"/>
      <c r="U31" s="102"/>
    </row>
    <row r="32" spans="2:21" x14ac:dyDescent="0.35">
      <c r="B32" s="46" t="s">
        <v>231</v>
      </c>
      <c r="C32" s="53">
        <f>SUMIFS(REALIZADO[META_SMARTPHONE],REALIZADO[PDV],'PORTO CANOA'!$M$7)</f>
        <v>83000</v>
      </c>
      <c r="D32" s="78">
        <f>SUMIFS(REALIZADO[AT_SMARTPHONE],REALIZADO[PDV],'PORTO CANOA'!$M$7)</f>
        <v>0</v>
      </c>
      <c r="E32" s="50">
        <f>IFERROR(D32/C32,0)</f>
        <v>0</v>
      </c>
      <c r="F32" s="12">
        <f>VLOOKUP($E$32,FATORES!$B$53:$D$54,3)</f>
        <v>2.0000000000000001E-4</v>
      </c>
      <c r="G32" s="12">
        <f>IFERROR(VLOOKUP($E$32,FATORES!$B$55:$D$55,3),0)</f>
        <v>0</v>
      </c>
      <c r="H32" s="65">
        <f t="shared" si="9"/>
        <v>0</v>
      </c>
      <c r="I32" s="65">
        <f t="shared" si="8"/>
        <v>0</v>
      </c>
      <c r="J32" s="65">
        <f t="shared" si="10"/>
        <v>0</v>
      </c>
      <c r="K32" s="53">
        <f>SUMIFS(REALIZADO[META_SMARTPHONE],REALIZADO[COORDENAÇÃO],$P$7)</f>
        <v>1296000</v>
      </c>
      <c r="L32" s="78">
        <f>SUMIFS(REALIZADO[AT_SMARTPHONE],REALIZADO[COORDENAÇÃO],$P$7)</f>
        <v>175436.05</v>
      </c>
      <c r="M32" s="50">
        <f t="shared" si="11"/>
        <v>0.1353673225308642</v>
      </c>
      <c r="N32" s="12">
        <f>IF($M$32&gt;=FATORES!$B$56,FATORES!$D$56,0)</f>
        <v>0</v>
      </c>
      <c r="O32" s="14">
        <f t="shared" si="12"/>
        <v>0</v>
      </c>
      <c r="P32" s="13">
        <f t="shared" si="13"/>
        <v>0</v>
      </c>
      <c r="Q32" s="15">
        <f>IF($D$8=2,P32*0.05,0)</f>
        <v>0</v>
      </c>
      <c r="R32" s="15">
        <f>IF($D$8=3,P32*0.15,0)</f>
        <v>0</v>
      </c>
      <c r="S32" s="99"/>
      <c r="T32" s="125"/>
      <c r="U32" s="102"/>
    </row>
    <row r="33" spans="2:21" x14ac:dyDescent="0.35">
      <c r="B33" s="47" t="s">
        <v>232</v>
      </c>
      <c r="C33" s="121">
        <f>SUMIFS(REALIZADO[META_ACESSORIO],REALIZADO[PDV],'PORTO CANOA'!$M$7)</f>
        <v>6700</v>
      </c>
      <c r="D33" s="86">
        <f>SUMIFS(REALIZADO[AT_ACESSORIOS_A],REALIZADO[PDV],'PORTO CANOA'!$M$7)</f>
        <v>0</v>
      </c>
      <c r="E33" s="123">
        <f>IFERROR((D33+D34)/C33,0)</f>
        <v>3.4179104477611938E-2</v>
      </c>
      <c r="F33" s="12">
        <f>VLOOKUP($E$33,FATORES!$B$44:$E$46,3)</f>
        <v>5.0000000000000001E-4</v>
      </c>
      <c r="G33" s="12">
        <f>IFERROR(VLOOKUP($E$33,FATORES!$B$47:$E$48,3),0)</f>
        <v>0</v>
      </c>
      <c r="H33" s="65">
        <f t="shared" si="9"/>
        <v>0</v>
      </c>
      <c r="I33" s="65">
        <f t="shared" si="8"/>
        <v>0</v>
      </c>
      <c r="J33" s="65">
        <f t="shared" si="10"/>
        <v>0</v>
      </c>
      <c r="K33" s="121">
        <f>SUMIFS(REALIZADO[META_ACESSORIO],REALIZADO[COORDENAÇÃO],$P$7)</f>
        <v>141750</v>
      </c>
      <c r="L33" s="86">
        <f>SUMIFS(REALIZADO[AT_ACESSORIOS_A],REALIZADO[COORDENAÇÃO],$P$7)</f>
        <v>0</v>
      </c>
      <c r="M33" s="97">
        <f>IFERROR((L33+L34)/K33,0)</f>
        <v>0.11075132275132275</v>
      </c>
      <c r="N33" s="12">
        <f>IF($M$33&gt;=FATORES!$B$49,FATORES!$D$49,0)</f>
        <v>0</v>
      </c>
      <c r="O33" s="14">
        <f t="shared" si="12"/>
        <v>0</v>
      </c>
      <c r="P33" s="13">
        <f t="shared" si="13"/>
        <v>0</v>
      </c>
      <c r="Q33" s="15">
        <f>IF($E$8=2,P33*0.05,0)</f>
        <v>0</v>
      </c>
      <c r="R33" s="15">
        <f>IF($E$8=3,P33*0.15,0)</f>
        <v>0</v>
      </c>
      <c r="S33" s="99"/>
      <c r="T33" s="125"/>
      <c r="U33" s="102"/>
    </row>
    <row r="34" spans="2:21" x14ac:dyDescent="0.35">
      <c r="B34" s="47" t="s">
        <v>233</v>
      </c>
      <c r="C34" s="122"/>
      <c r="D34" s="87">
        <f>SUMIFS(REALIZADO[AT_ACESSORIOS_B],REALIZADO[PDV],'PORTO CANOA'!$M$7)</f>
        <v>229</v>
      </c>
      <c r="E34" s="123"/>
      <c r="F34" s="12">
        <f>VLOOKUP($E$33,FATORES!$B$44:$E$46,4)</f>
        <v>2.5000000000000001E-4</v>
      </c>
      <c r="G34" s="12">
        <f>IFERROR(VLOOKUP($E$33,FATORES!$B$47:$E$48,4),0)</f>
        <v>0</v>
      </c>
      <c r="H34" s="65">
        <f t="shared" si="9"/>
        <v>5.7250000000000002E-2</v>
      </c>
      <c r="I34" s="65">
        <f t="shared" si="8"/>
        <v>0</v>
      </c>
      <c r="J34" s="65">
        <f t="shared" si="10"/>
        <v>5.7250000000000002E-2</v>
      </c>
      <c r="K34" s="122"/>
      <c r="L34" s="87">
        <f>SUMIFS(REALIZADO[AT_ACESSORIOS_B],REALIZADO[COORDENAÇÃO],$P$7)</f>
        <v>15699</v>
      </c>
      <c r="M34" s="97"/>
      <c r="N34" s="12">
        <f>IF($M$33&gt;=FATORES!$B$49,FATORES!$E$49,0)</f>
        <v>0</v>
      </c>
      <c r="O34" s="14">
        <f t="shared" si="12"/>
        <v>0</v>
      </c>
      <c r="P34" s="13">
        <f t="shared" si="13"/>
        <v>5.7250000000000002E-2</v>
      </c>
      <c r="Q34" s="15">
        <f>IF($E$8=2,P34*0.05,0)</f>
        <v>0</v>
      </c>
      <c r="R34" s="15">
        <f>IF($E$8=3,P34*0.15,0)</f>
        <v>0</v>
      </c>
      <c r="S34" s="99"/>
      <c r="T34" s="125"/>
      <c r="U34" s="102"/>
    </row>
    <row r="35" spans="2:21" x14ac:dyDescent="0.35">
      <c r="B35" s="46" t="s">
        <v>234</v>
      </c>
      <c r="C35" s="121">
        <f>SUMIFS(REALIZADO[META_ESSENCIAIS],REALIZADO[PDV],'PORTO CANOA'!$M$7)</f>
        <v>4500</v>
      </c>
      <c r="D35" s="86">
        <f>SUMIFS(REALIZADO[AT_ESSENCIAIS_A],REALIZADO[PDV],'PORTO CANOA'!$M$7)</f>
        <v>0</v>
      </c>
      <c r="E35" s="123">
        <f>IFERROR((D35+D36)/C35,0)</f>
        <v>0.10133333333333333</v>
      </c>
      <c r="F35" s="12">
        <f>VLOOKUP($E$35,FATORES!$B$34:$E$36,3)</f>
        <v>5.0000000000000001E-4</v>
      </c>
      <c r="G35" s="12">
        <f>IFERROR(VLOOKUP($E$35,FATORES!$B$37:$E$38,3),0)</f>
        <v>0</v>
      </c>
      <c r="H35" s="65">
        <f t="shared" si="9"/>
        <v>0</v>
      </c>
      <c r="I35" s="65">
        <f t="shared" si="8"/>
        <v>0</v>
      </c>
      <c r="J35" s="65">
        <f t="shared" si="10"/>
        <v>0</v>
      </c>
      <c r="K35" s="121">
        <f>SUMIFS(REALIZADO[META_ESSENCIAIS],REALIZADO[COORDENAÇÃO],$P$7)</f>
        <v>80500.0003</v>
      </c>
      <c r="L35" s="86">
        <f>SUMIFS(REALIZADO[AT_ESSENCIAIS_A],REALIZADO[COORDENAÇÃO],$P$7)</f>
        <v>5749.95</v>
      </c>
      <c r="M35" s="97">
        <f>IFERROR((L35+L36)/K35,0)</f>
        <v>0.15028074478156242</v>
      </c>
      <c r="N35" s="12">
        <f>IF($M$35&gt;=FATORES!$B$39,FATORES!$D$39,0)</f>
        <v>0</v>
      </c>
      <c r="O35" s="14">
        <f t="shared" si="12"/>
        <v>0</v>
      </c>
      <c r="P35" s="13">
        <f t="shared" si="13"/>
        <v>0</v>
      </c>
      <c r="Q35" s="15">
        <f>IF($F$8=2,P35*0.05,0)</f>
        <v>0</v>
      </c>
      <c r="R35" s="15">
        <f>IF($F$8=3,P35*0.15,0)</f>
        <v>0</v>
      </c>
      <c r="S35" s="99"/>
      <c r="T35" s="125"/>
      <c r="U35" s="102"/>
    </row>
    <row r="36" spans="2:21" x14ac:dyDescent="0.35">
      <c r="B36" s="46" t="s">
        <v>235</v>
      </c>
      <c r="C36" s="122"/>
      <c r="D36" s="87">
        <f>SUMIFS(REALIZADO[AT_ESSENCIAIS_B],REALIZADO[PDV],'PORTO CANOA'!$M$7)</f>
        <v>456</v>
      </c>
      <c r="E36" s="123"/>
      <c r="F36" s="12">
        <f>VLOOKUP($E$35,FATORES!$B$34:$E$36,4)</f>
        <v>2.5000000000000001E-4</v>
      </c>
      <c r="G36" s="12">
        <f>IFERROR(VLOOKUP($E$35,FATORES!$B$37:$E$38,4),0)</f>
        <v>0</v>
      </c>
      <c r="H36" s="65">
        <f t="shared" si="9"/>
        <v>0.114</v>
      </c>
      <c r="I36" s="65">
        <f t="shared" si="8"/>
        <v>0</v>
      </c>
      <c r="J36" s="65">
        <f t="shared" si="10"/>
        <v>0.114</v>
      </c>
      <c r="K36" s="122"/>
      <c r="L36" s="87">
        <f>SUMIFS(REALIZADO[AT_ESSENCIAIS_B],REALIZADO[COORDENAÇÃO],$P$7)</f>
        <v>6347.65</v>
      </c>
      <c r="M36" s="97"/>
      <c r="N36" s="12">
        <f>IF($M$35&gt;=FATORES!$B$39,FATORES!$E$39,0)</f>
        <v>0</v>
      </c>
      <c r="O36" s="14">
        <f t="shared" si="12"/>
        <v>0</v>
      </c>
      <c r="P36" s="13">
        <f t="shared" si="13"/>
        <v>0.114</v>
      </c>
      <c r="Q36" s="15">
        <f>IF($F$8=2,P36*0.05,0)</f>
        <v>0</v>
      </c>
      <c r="R36" s="15">
        <f>IF($F$8=3,P36*0.15,0)</f>
        <v>0</v>
      </c>
      <c r="S36" s="99"/>
      <c r="T36" s="125"/>
      <c r="U36" s="102"/>
    </row>
    <row r="37" spans="2:21" x14ac:dyDescent="0.35">
      <c r="B37" s="46" t="s">
        <v>212</v>
      </c>
      <c r="C37" s="57">
        <f>SUMIFS(REALIZADO[META_SEGUROS],REALIZADO[PDV],'PORTO CANOA'!$M$7)</f>
        <v>600</v>
      </c>
      <c r="D37" s="79">
        <f>SUMIFS(REALIZADO[AT_SEGUROS],REALIZADO[PDV],'PORTO CANOA'!$M$7)</f>
        <v>0</v>
      </c>
      <c r="E37" s="83">
        <f>IFERROR(D37/C37,0)</f>
        <v>0</v>
      </c>
      <c r="F37" s="83">
        <f>VLOOKUP($E$37,FATORES!$O$32:$Q$34,3)</f>
        <v>5.0000000000000001E-3</v>
      </c>
      <c r="G37" s="12">
        <f>IFERROR(VLOOKUP($E$37,FATORES!$O$35:$Q$36,3),0)</f>
        <v>0</v>
      </c>
      <c r="H37" s="65">
        <f t="shared" si="9"/>
        <v>0</v>
      </c>
      <c r="I37" s="65">
        <f t="shared" si="8"/>
        <v>0</v>
      </c>
      <c r="J37" s="65">
        <f t="shared" si="10"/>
        <v>0</v>
      </c>
      <c r="K37" s="57">
        <f>SUMIFS(REALIZADO[META_SEGUROS],REALIZADO[COORDENAÇÃO],$P$7)</f>
        <v>8560.0000999999993</v>
      </c>
      <c r="L37" s="79">
        <f>SUMIFS(REALIZADO[AT_SEGUROS],REALIZADO[COORDENAÇÃO],$P$7)</f>
        <v>887.5999999999998</v>
      </c>
      <c r="M37" s="50">
        <f t="shared" ref="M37:M38" si="14">IFERROR(L37/K37,0)</f>
        <v>0.1036915875736964</v>
      </c>
      <c r="N37" s="12">
        <f>IF($M$37&gt;=FATORES!$O$37,FATORES!$Q$37,0)</f>
        <v>0</v>
      </c>
      <c r="O37" s="14">
        <f t="shared" si="12"/>
        <v>0</v>
      </c>
      <c r="P37" s="13">
        <f t="shared" si="13"/>
        <v>0</v>
      </c>
      <c r="Q37" s="15">
        <f>IF($G$8=2,P37*0.05,0)</f>
        <v>0</v>
      </c>
      <c r="R37" s="15">
        <f>IF($G$8=3,P37*0.15,0)</f>
        <v>0</v>
      </c>
      <c r="S37" s="99"/>
      <c r="T37" s="125"/>
      <c r="U37" s="102"/>
    </row>
    <row r="38" spans="2:21" x14ac:dyDescent="0.35">
      <c r="B38" s="48" t="s">
        <v>14</v>
      </c>
      <c r="C38" s="76">
        <f>SUMIFS(REALIZADO[META_SVA],REALIZADO[PDV],'PORTO CANOA'!$M$7)</f>
        <v>450</v>
      </c>
      <c r="D38" s="77">
        <f>SUMIFS(REALIZADO[AT_SVA],REALIZADO[PDV],'PORTO CANOA'!$M$7)</f>
        <v>29.9</v>
      </c>
      <c r="E38" s="82">
        <f>IFERROR(D38/C38,0)</f>
        <v>6.6444444444444445E-2</v>
      </c>
      <c r="F38" s="16">
        <f>IF($E$38&gt;=0,FATORES!$Q$40)</f>
        <v>5.0000000000000001E-3</v>
      </c>
      <c r="G38" s="16">
        <f>IFERROR(VLOOKUP($E$38,FATORES!$O$43:$Q$44,3),0)</f>
        <v>0</v>
      </c>
      <c r="H38" s="17">
        <f t="shared" si="9"/>
        <v>0.14949999999999999</v>
      </c>
      <c r="I38" s="65">
        <f t="shared" si="8"/>
        <v>0</v>
      </c>
      <c r="J38" s="17">
        <f t="shared" si="10"/>
        <v>0.14949999999999999</v>
      </c>
      <c r="K38" s="76">
        <f>SUMIFS(REALIZADO[META_SVA],REALIZADO[COORDENAÇÃO],$P$7)</f>
        <v>7799.9998999999989</v>
      </c>
      <c r="L38" s="77">
        <f>SUMIFS(REALIZADO[AT_SVA],REALIZADO[COORDENAÇÃO],$P$7)</f>
        <v>1187.3599999999999</v>
      </c>
      <c r="M38" s="51">
        <f t="shared" si="14"/>
        <v>0.15222564297725183</v>
      </c>
      <c r="N38" s="16">
        <f>IF($M$38&gt;=FATORES!$O$45,FATORES!$Q$45,0)</f>
        <v>0</v>
      </c>
      <c r="O38" s="14">
        <f t="shared" si="12"/>
        <v>0</v>
      </c>
      <c r="P38" s="18">
        <f t="shared" si="13"/>
        <v>0.14949999999999999</v>
      </c>
      <c r="Q38" s="19">
        <f>IF($H$8=2,P38*0.05,0)</f>
        <v>0</v>
      </c>
      <c r="R38" s="19">
        <f>IF($H$8=3,P38*0.15,0)</f>
        <v>0</v>
      </c>
      <c r="S38" s="100"/>
      <c r="T38" s="126"/>
      <c r="U38" s="103"/>
    </row>
    <row r="39" spans="2:21" x14ac:dyDescent="0.35">
      <c r="B39" s="66"/>
      <c r="C39" s="67"/>
      <c r="D39" s="67"/>
      <c r="E39" s="67"/>
      <c r="F39" s="67"/>
      <c r="G39" s="67"/>
      <c r="H39" s="67"/>
      <c r="I39" s="67"/>
      <c r="J39" s="68"/>
      <c r="K39" s="69"/>
      <c r="L39" s="67"/>
      <c r="M39" s="67"/>
      <c r="N39" s="67"/>
      <c r="O39" s="67"/>
      <c r="P39" s="70">
        <f>SUM(P30:P38)</f>
        <v>4.1107499999999995</v>
      </c>
      <c r="Q39" s="70">
        <f t="shared" ref="Q39:R39" si="15">SUM(Q30:Q38)</f>
        <v>0</v>
      </c>
      <c r="R39" s="70">
        <f t="shared" si="15"/>
        <v>0</v>
      </c>
      <c r="S39" s="71" t="str">
        <f>IF($P$7="ARIEL",IF(MIN(E30,E32,E33,E34,E35,E37,E38)&gt;=100%,SUM(P39:R39)*S30,""),IF(MIN(E30:E38)&gt;=100%,SUM(P39:R39)*S30,""))</f>
        <v/>
      </c>
      <c r="T39" s="153"/>
      <c r="U39" s="153"/>
    </row>
    <row r="41" spans="2:21" ht="18.5" x14ac:dyDescent="0.35">
      <c r="B41" s="236" t="s">
        <v>239</v>
      </c>
      <c r="C41" s="237"/>
      <c r="D41" s="237"/>
      <c r="E41" s="237"/>
      <c r="F41" s="237"/>
      <c r="G41" s="237"/>
      <c r="H41" s="237"/>
      <c r="I41" s="237"/>
      <c r="J41" s="237"/>
      <c r="K41" s="237"/>
      <c r="L41" s="237"/>
      <c r="M41" s="237"/>
      <c r="N41" s="237"/>
      <c r="O41" s="237"/>
      <c r="P41" s="237"/>
      <c r="Q41" s="237"/>
      <c r="R41" s="237"/>
      <c r="S41" s="237"/>
      <c r="T41" s="237"/>
      <c r="U41" s="238"/>
    </row>
    <row r="42" spans="2:21" x14ac:dyDescent="0.35">
      <c r="B42" s="232" t="s">
        <v>9</v>
      </c>
      <c r="C42" s="233"/>
      <c r="D42" s="233"/>
      <c r="E42" s="233"/>
      <c r="F42" s="233"/>
      <c r="G42" s="233"/>
      <c r="H42" s="233"/>
      <c r="I42" s="233"/>
      <c r="J42" s="234"/>
      <c r="K42" s="244" t="s">
        <v>54</v>
      </c>
      <c r="L42" s="245"/>
      <c r="M42" s="245"/>
      <c r="N42" s="245"/>
      <c r="O42" s="245"/>
      <c r="P42" s="90"/>
      <c r="Q42" s="90"/>
      <c r="R42" s="90"/>
      <c r="S42" s="90"/>
      <c r="T42" s="246"/>
      <c r="U42" s="246"/>
    </row>
    <row r="43" spans="2:21" ht="14.5" customHeight="1" x14ac:dyDescent="0.35">
      <c r="B43" s="114" t="s">
        <v>214</v>
      </c>
      <c r="C43" s="116" t="s">
        <v>237</v>
      </c>
      <c r="D43" s="117"/>
      <c r="E43" s="104"/>
      <c r="F43" s="118" t="s">
        <v>216</v>
      </c>
      <c r="G43" s="118" t="s">
        <v>217</v>
      </c>
      <c r="H43" s="118" t="s">
        <v>218</v>
      </c>
      <c r="I43" s="118" t="s">
        <v>219</v>
      </c>
      <c r="J43" s="118" t="s">
        <v>220</v>
      </c>
      <c r="K43" s="104" t="s">
        <v>238</v>
      </c>
      <c r="L43" s="105"/>
      <c r="M43" s="105"/>
      <c r="N43" s="106" t="s">
        <v>222</v>
      </c>
      <c r="O43" s="106" t="s">
        <v>223</v>
      </c>
      <c r="P43" s="106" t="s">
        <v>224</v>
      </c>
      <c r="Q43" s="106" t="s">
        <v>225</v>
      </c>
      <c r="R43" s="106" t="s">
        <v>226</v>
      </c>
      <c r="S43" s="106" t="s">
        <v>227</v>
      </c>
      <c r="T43" s="137" t="s">
        <v>240</v>
      </c>
      <c r="U43" s="251" t="s">
        <v>241</v>
      </c>
    </row>
    <row r="44" spans="2:21" x14ac:dyDescent="0.35">
      <c r="B44" s="115"/>
      <c r="C44" s="94" t="s">
        <v>229</v>
      </c>
      <c r="D44" s="120" t="s">
        <v>230</v>
      </c>
      <c r="E44" s="120"/>
      <c r="F44" s="118"/>
      <c r="G44" s="118"/>
      <c r="H44" s="118"/>
      <c r="I44" s="118"/>
      <c r="J44" s="118"/>
      <c r="K44" s="52" t="s">
        <v>229</v>
      </c>
      <c r="L44" s="120" t="s">
        <v>230</v>
      </c>
      <c r="M44" s="120"/>
      <c r="N44" s="106"/>
      <c r="O44" s="106"/>
      <c r="P44" s="106"/>
      <c r="Q44" s="106"/>
      <c r="R44" s="106"/>
      <c r="S44" s="106"/>
      <c r="T44" s="138"/>
      <c r="U44" s="248"/>
    </row>
    <row r="45" spans="2:21" x14ac:dyDescent="0.35">
      <c r="B45" s="45" t="s">
        <v>2</v>
      </c>
      <c r="C45" s="53">
        <v>6690</v>
      </c>
      <c r="D45" s="54">
        <v>7000</v>
      </c>
      <c r="E45" s="49">
        <f>IFERROR(D45/C45,0)</f>
        <v>1.0463378176382661</v>
      </c>
      <c r="F45" s="8">
        <f>VLOOKUP($E$45,FATORES!$I$32:$K$34,3)</f>
        <v>0.04</v>
      </c>
      <c r="G45" s="8">
        <f>IFERROR(VLOOKUP(E45,FATORES!$I$35:$K$36,3),0)</f>
        <v>0.08</v>
      </c>
      <c r="H45" s="9">
        <f>D45*F45</f>
        <v>280</v>
      </c>
      <c r="I45" s="9">
        <f t="shared" ref="I45:I53" si="16">IF($P$7="ARIEL",
   IF(AND($E$45&gt;=69.5%, AND($E$47&gt;=69.5%, $E$48&gt;=69.5%, $E$48&gt;=69.5%, $E$50&gt;=69.5%, $E$50&gt;=69.5%, $E$52&gt;=69.5%, $E$53&gt;=69.5%)),
      D45*G45,
      0),
   IF(AND($E$45&gt;=69.5%, $E$46&gt;=69.5%, $E$47&gt;=69.5%, $E$48&gt;=69.5%, $E$48&gt;=69.5%, $E$50&gt;=69.5%, $E$50&gt;=69.5%, $E$52&gt;=69.5%, $E$53&gt;=69.5%),
      D45*G45,
      0)
)</f>
        <v>0</v>
      </c>
      <c r="J45" s="9">
        <f>H45+I45</f>
        <v>280</v>
      </c>
      <c r="K45" s="53"/>
      <c r="L45" s="54"/>
      <c r="M45" s="49">
        <f>IFERROR(L45/K45,0)</f>
        <v>0</v>
      </c>
      <c r="N45" s="8">
        <f>IF($M$45&gt;=FATORES!$I$37,FATORES!$K$37,0)</f>
        <v>0</v>
      </c>
      <c r="O45" s="14">
        <f>IF(E45&gt;=100%,
IF($P$7="ARIEL",
   IF(AND($E$45&gt;=69.5%, AND($E$47&gt;=69.5%, $E$48&gt;=69.5%, $E$48&gt;=69.5%, $E$50&gt;=69.5%, $E$50&gt;=69.5%, $E$52&gt;=69.5%, $E$53&gt;=69.5%)),
      D45*N45,
      0),
   IF(AND($E$45&gt;=69.5%, $E$46&gt;=69.5%, $E$47&gt;=69.5%, $E$48&gt;=69.5%, $E$48&gt;=69.5%, $E$50&gt;=69.5%, $E$50&gt;=69.5%, $E$52&gt;=69.5%, $E$53&gt;=69.5%),
      D45*N45,
      0)
),0)</f>
        <v>0</v>
      </c>
      <c r="P45" s="10">
        <f>J45+O45</f>
        <v>280</v>
      </c>
      <c r="Q45" s="11">
        <f>IF($B$8=2,P45*0.05,0)</f>
        <v>0</v>
      </c>
      <c r="R45" s="11">
        <f>IF($B$8=3,P45*0.15,0)</f>
        <v>0</v>
      </c>
      <c r="S45" s="98">
        <v>0.1</v>
      </c>
      <c r="T45" s="101">
        <f>SUM($P$54:$S$54)</f>
        <v>476.34999999999997</v>
      </c>
      <c r="U45" s="101">
        <f>T45*0.75</f>
        <v>357.26249999999999</v>
      </c>
    </row>
    <row r="46" spans="2:21" x14ac:dyDescent="0.35">
      <c r="B46" s="46" t="s">
        <v>13</v>
      </c>
      <c r="C46" s="55">
        <v>2500</v>
      </c>
      <c r="D46" s="56">
        <v>2750</v>
      </c>
      <c r="E46" s="50">
        <f>IFERROR(D46/C46,0)</f>
        <v>1.1000000000000001</v>
      </c>
      <c r="F46" s="12">
        <f>VLOOKUP($E$46,FATORES!$I$40:$K$42,3)</f>
        <v>0.04</v>
      </c>
      <c r="G46" s="12">
        <f>IFERROR(VLOOKUP(E46,FATORES!$I$43:$K$44,3),0)</f>
        <v>0.1</v>
      </c>
      <c r="H46" s="65">
        <f t="shared" ref="H46:H53" si="17">D46*F46</f>
        <v>110</v>
      </c>
      <c r="I46" s="65">
        <f t="shared" si="16"/>
        <v>0</v>
      </c>
      <c r="J46" s="65">
        <f t="shared" ref="J46:J53" si="18">H46+I46</f>
        <v>110</v>
      </c>
      <c r="K46" s="55"/>
      <c r="L46" s="56"/>
      <c r="M46" s="50">
        <f t="shared" ref="M46:M53" si="19">IFERROR(L46/K46,0)</f>
        <v>0</v>
      </c>
      <c r="N46" s="12">
        <f>IF($M$46&gt;=FATORES!$I$45,FATORES!$K$45,0)</f>
        <v>0</v>
      </c>
      <c r="O46" s="14">
        <f t="shared" ref="O46:O53" si="20">IF(E46&gt;=100%,
IF($P$7="ARIEL",
   IF(AND($E$45&gt;=69.5%, AND($E$47&gt;=69.5%, $E$48&gt;=69.5%, $E$48&gt;=69.5%, $E$50&gt;=69.5%, $E$50&gt;=69.5%, $E$52&gt;=69.5%, $E$53&gt;=69.5%)),
      D46*N46,
      0),
   IF(AND($E$45&gt;=69.5%, $E$46&gt;=69.5%, $E$47&gt;=69.5%, $E$48&gt;=69.5%, $E$48&gt;=69.5%, $E$50&gt;=69.5%, $E$50&gt;=69.5%, $E$52&gt;=69.5%, $E$53&gt;=69.5%),
      D46*N46,
      0)
),0)</f>
        <v>0</v>
      </c>
      <c r="P46" s="13">
        <f t="shared" ref="P46:P53" si="21">J46+O46</f>
        <v>110</v>
      </c>
      <c r="Q46" s="15">
        <f>IF($C$8=2,P46*0.05,0)</f>
        <v>0</v>
      </c>
      <c r="R46" s="15">
        <f>IF($C$8=3,P46*0.15,0)</f>
        <v>0</v>
      </c>
      <c r="S46" s="99"/>
      <c r="T46" s="102"/>
      <c r="U46" s="102"/>
    </row>
    <row r="47" spans="2:21" x14ac:dyDescent="0.35">
      <c r="B47" s="46" t="s">
        <v>231</v>
      </c>
      <c r="C47" s="55">
        <v>83000</v>
      </c>
      <c r="D47" s="56">
        <v>83500</v>
      </c>
      <c r="E47" s="50">
        <f>IFERROR(D47/C47,0)</f>
        <v>1.0060240963855422</v>
      </c>
      <c r="F47" s="12">
        <f>VLOOKUP($E$47,FATORES!$B$53:$D$54,3)</f>
        <v>5.0000000000000001E-4</v>
      </c>
      <c r="G47" s="12">
        <f>IFERROR(VLOOKUP(E47,FATORES!$B$55:$D$55,3),0)</f>
        <v>1E-3</v>
      </c>
      <c r="H47" s="65">
        <f t="shared" si="17"/>
        <v>41.75</v>
      </c>
      <c r="I47" s="65">
        <f t="shared" si="16"/>
        <v>0</v>
      </c>
      <c r="J47" s="65">
        <f t="shared" si="18"/>
        <v>41.75</v>
      </c>
      <c r="K47" s="55"/>
      <c r="L47" s="56"/>
      <c r="M47" s="50">
        <f t="shared" si="19"/>
        <v>0</v>
      </c>
      <c r="N47" s="12">
        <f>IF($M$47&gt;=FATORES!$B$56,FATORES!$D$56,0)</f>
        <v>0</v>
      </c>
      <c r="O47" s="14">
        <f t="shared" si="20"/>
        <v>0</v>
      </c>
      <c r="P47" s="13">
        <f t="shared" si="21"/>
        <v>41.75</v>
      </c>
      <c r="Q47" s="15">
        <f>IF($D$8=2,P47*0.05,0)</f>
        <v>0</v>
      </c>
      <c r="R47" s="15">
        <f>IF($D$8=3,P47*0.15,0)</f>
        <v>0</v>
      </c>
      <c r="S47" s="99"/>
      <c r="T47" s="102"/>
      <c r="U47" s="102"/>
    </row>
    <row r="48" spans="2:21" x14ac:dyDescent="0.35">
      <c r="B48" s="47" t="s">
        <v>232</v>
      </c>
      <c r="C48" s="96">
        <v>6700</v>
      </c>
      <c r="D48" s="56">
        <v>6800</v>
      </c>
      <c r="E48" s="97">
        <f>IFERROR((D48+D49)/C48,0)</f>
        <v>1.0149253731343284</v>
      </c>
      <c r="F48" s="12">
        <f>VLOOKUP($E$48,FATORES!$B$44:$E$46,3)</f>
        <v>1.5E-3</v>
      </c>
      <c r="G48" s="12">
        <f>IFERROR(VLOOKUP(E48,FATORES!$B$47:$E$48,3),0)</f>
        <v>6.0000000000000001E-3</v>
      </c>
      <c r="H48" s="65">
        <f t="shared" si="17"/>
        <v>10.200000000000001</v>
      </c>
      <c r="I48" s="65">
        <f t="shared" si="16"/>
        <v>0</v>
      </c>
      <c r="J48" s="65">
        <f t="shared" si="18"/>
        <v>10.200000000000001</v>
      </c>
      <c r="K48" s="96"/>
      <c r="L48" s="56"/>
      <c r="M48" s="97">
        <f>IFERROR((L48+L49)/K48,0)</f>
        <v>0</v>
      </c>
      <c r="N48" s="12">
        <f>IF($M$48&gt;=FATORES!$B$49,FATORES!$D$49,0)</f>
        <v>0</v>
      </c>
      <c r="O48" s="14">
        <f t="shared" si="20"/>
        <v>0</v>
      </c>
      <c r="P48" s="13">
        <f t="shared" si="21"/>
        <v>10.200000000000001</v>
      </c>
      <c r="Q48" s="15">
        <f>IF($E$8=2,P48*0.05,0)</f>
        <v>0</v>
      </c>
      <c r="R48" s="15">
        <f>IF($E$8=3,P48*0.15,0)</f>
        <v>0</v>
      </c>
      <c r="S48" s="99"/>
      <c r="T48" s="102"/>
      <c r="U48" s="102"/>
    </row>
    <row r="49" spans="2:21" x14ac:dyDescent="0.35">
      <c r="B49" s="47" t="s">
        <v>233</v>
      </c>
      <c r="C49" s="96"/>
      <c r="D49" s="56"/>
      <c r="E49" s="97"/>
      <c r="F49" s="12">
        <f>VLOOKUP($E$48,FATORES!$B$44:$E$46,4)</f>
        <v>7.5000000000000002E-4</v>
      </c>
      <c r="G49" s="12">
        <f>IFERROR(VLOOKUP(E48,FATORES!$B$47:$E$48,4),0)</f>
        <v>3.0000000000000001E-3</v>
      </c>
      <c r="H49" s="65">
        <f t="shared" si="17"/>
        <v>0</v>
      </c>
      <c r="I49" s="65">
        <f t="shared" si="16"/>
        <v>0</v>
      </c>
      <c r="J49" s="65">
        <f t="shared" si="18"/>
        <v>0</v>
      </c>
      <c r="K49" s="96"/>
      <c r="L49" s="56"/>
      <c r="M49" s="97"/>
      <c r="N49" s="12">
        <f>IF($M$48&gt;=FATORES!$B$49,FATORES!$E$49,0)</f>
        <v>0</v>
      </c>
      <c r="O49" s="14">
        <f t="shared" si="20"/>
        <v>0</v>
      </c>
      <c r="P49" s="13">
        <f t="shared" si="21"/>
        <v>0</v>
      </c>
      <c r="Q49" s="15">
        <f>IF($E$8=2,P49*0.05,0)</f>
        <v>0</v>
      </c>
      <c r="R49" s="15">
        <f>IF($E$8=3,P49*0.15,0)</f>
        <v>0</v>
      </c>
      <c r="S49" s="99"/>
      <c r="T49" s="102"/>
      <c r="U49" s="102"/>
    </row>
    <row r="50" spans="2:21" x14ac:dyDescent="0.35">
      <c r="B50" s="46" t="s">
        <v>234</v>
      </c>
      <c r="C50" s="96">
        <v>4500</v>
      </c>
      <c r="D50" s="56">
        <v>4600</v>
      </c>
      <c r="E50" s="97">
        <f>IFERROR((D50+D51)/C50,0)</f>
        <v>1.0222222222222221</v>
      </c>
      <c r="F50" s="12">
        <f>VLOOKUP($E$50,FATORES!$B$34:$E$36,3)</f>
        <v>1.5E-3</v>
      </c>
      <c r="G50" s="12">
        <f>IFERROR(VLOOKUP(E50,FATORES!$B$37:$E$38,3),0)</f>
        <v>6.0000000000000001E-3</v>
      </c>
      <c r="H50" s="65">
        <f t="shared" si="17"/>
        <v>6.9</v>
      </c>
      <c r="I50" s="65">
        <f t="shared" si="16"/>
        <v>0</v>
      </c>
      <c r="J50" s="65">
        <f t="shared" si="18"/>
        <v>6.9</v>
      </c>
      <c r="K50" s="96"/>
      <c r="L50" s="56"/>
      <c r="M50" s="97">
        <f>IFERROR((L50+L51)/K50,0)</f>
        <v>0</v>
      </c>
      <c r="N50" s="12">
        <f>IF($M$50&gt;=FATORES!$B$39,FATORES!$D$39,0)</f>
        <v>0</v>
      </c>
      <c r="O50" s="14">
        <f t="shared" si="20"/>
        <v>0</v>
      </c>
      <c r="P50" s="13">
        <f t="shared" si="21"/>
        <v>6.9</v>
      </c>
      <c r="Q50" s="15">
        <f>IF($F$8=2,P50*0.05,0)</f>
        <v>0</v>
      </c>
      <c r="R50" s="15">
        <f>IF($F$8=3,P50*0.15,0)</f>
        <v>0</v>
      </c>
      <c r="S50" s="99"/>
      <c r="T50" s="102"/>
      <c r="U50" s="102"/>
    </row>
    <row r="51" spans="2:21" x14ac:dyDescent="0.35">
      <c r="B51" s="46" t="s">
        <v>235</v>
      </c>
      <c r="C51" s="96"/>
      <c r="D51" s="56"/>
      <c r="E51" s="97"/>
      <c r="F51" s="12">
        <f>VLOOKUP($E$50,FATORES!$B$34:$E$36,4)</f>
        <v>7.5000000000000002E-4</v>
      </c>
      <c r="G51" s="12">
        <f>IFERROR(VLOOKUP(E50,FATORES!$B$37:$E$38,4),0)</f>
        <v>3.0000000000000001E-3</v>
      </c>
      <c r="H51" s="65">
        <f t="shared" si="17"/>
        <v>0</v>
      </c>
      <c r="I51" s="65">
        <f t="shared" si="16"/>
        <v>0</v>
      </c>
      <c r="J51" s="65">
        <f t="shared" si="18"/>
        <v>0</v>
      </c>
      <c r="K51" s="96"/>
      <c r="L51" s="56"/>
      <c r="M51" s="97"/>
      <c r="N51" s="12">
        <f>IF($M$50&gt;=FATORES!$B$39,FATORES!$E$39,0)</f>
        <v>0</v>
      </c>
      <c r="O51" s="14">
        <f t="shared" si="20"/>
        <v>0</v>
      </c>
      <c r="P51" s="13">
        <f t="shared" si="21"/>
        <v>0</v>
      </c>
      <c r="Q51" s="15">
        <f>IF($F$8=2,P51*0.05,0)</f>
        <v>0</v>
      </c>
      <c r="R51" s="15">
        <f>IF($F$8=3,P51*0.15,0)</f>
        <v>0</v>
      </c>
      <c r="S51" s="99"/>
      <c r="T51" s="102"/>
      <c r="U51" s="102"/>
    </row>
    <row r="52" spans="2:21" x14ac:dyDescent="0.35">
      <c r="B52" s="46" t="s">
        <v>212</v>
      </c>
      <c r="C52" s="55">
        <v>600</v>
      </c>
      <c r="D52" s="56">
        <v>650</v>
      </c>
      <c r="E52" s="50">
        <f>IFERROR(D52/C52,0)</f>
        <v>1.0833333333333333</v>
      </c>
      <c r="F52" s="83">
        <f>VLOOKUP($E$52,FATORES!$O$32:$Q$34,3)</f>
        <v>0.04</v>
      </c>
      <c r="G52" s="12">
        <f>IFERROR(VLOOKUP(E52,FATORES!$O$35:$Q$36,3),0)</f>
        <v>0.1</v>
      </c>
      <c r="H52" s="65">
        <f t="shared" si="17"/>
        <v>26</v>
      </c>
      <c r="I52" s="65">
        <f t="shared" si="16"/>
        <v>0</v>
      </c>
      <c r="J52" s="65">
        <f t="shared" si="18"/>
        <v>26</v>
      </c>
      <c r="K52" s="55"/>
      <c r="L52" s="56"/>
      <c r="M52" s="50">
        <f t="shared" si="19"/>
        <v>0</v>
      </c>
      <c r="N52" s="12">
        <f>IF($M$52&gt;=FATORES!$O$37,FATORES!$Q$37,0)</f>
        <v>0</v>
      </c>
      <c r="O52" s="14">
        <f t="shared" si="20"/>
        <v>0</v>
      </c>
      <c r="P52" s="13">
        <f t="shared" si="21"/>
        <v>26</v>
      </c>
      <c r="Q52" s="15">
        <f>IF($G$8=2,P52*0.05,0)</f>
        <v>0</v>
      </c>
      <c r="R52" s="15">
        <f>IF($G$8=3,P52*0.15,0)</f>
        <v>0</v>
      </c>
      <c r="S52" s="99"/>
      <c r="T52" s="102"/>
      <c r="U52" s="102"/>
    </row>
    <row r="53" spans="2:21" x14ac:dyDescent="0.35">
      <c r="B53" s="48" t="s">
        <v>14</v>
      </c>
      <c r="C53" s="57">
        <v>450</v>
      </c>
      <c r="D53" s="58">
        <v>300</v>
      </c>
      <c r="E53" s="51">
        <f>IFERROR(D53/C53,0)</f>
        <v>0.66666666666666663</v>
      </c>
      <c r="F53" s="16">
        <f>IF($E$53&gt;=0,FATORES!$Q$40)</f>
        <v>5.0000000000000001E-3</v>
      </c>
      <c r="G53" s="16">
        <f>IFERROR(VLOOKUP(E53,FATORES!$O$43:$Q$44,3),0)</f>
        <v>0</v>
      </c>
      <c r="H53" s="17">
        <f t="shared" si="17"/>
        <v>1.5</v>
      </c>
      <c r="I53" s="65">
        <f t="shared" si="16"/>
        <v>0</v>
      </c>
      <c r="J53" s="17">
        <f t="shared" si="18"/>
        <v>1.5</v>
      </c>
      <c r="K53" s="57"/>
      <c r="L53" s="58"/>
      <c r="M53" s="51">
        <f t="shared" si="19"/>
        <v>0</v>
      </c>
      <c r="N53" s="16">
        <f>IF($M$53&gt;=FATORES!$O$45,FATORES!$Q$45,0)</f>
        <v>0</v>
      </c>
      <c r="O53" s="14">
        <f t="shared" si="20"/>
        <v>0</v>
      </c>
      <c r="P53" s="18">
        <f t="shared" si="21"/>
        <v>1.5</v>
      </c>
      <c r="Q53" s="19">
        <f>IF($H$8=2,P53*0.05,0)</f>
        <v>0</v>
      </c>
      <c r="R53" s="19">
        <f>IF($H$8=3,P53*0.15,0)</f>
        <v>0</v>
      </c>
      <c r="S53" s="100"/>
      <c r="T53" s="103"/>
      <c r="U53" s="103"/>
    </row>
    <row r="54" spans="2:21" x14ac:dyDescent="0.35">
      <c r="B54" s="66"/>
      <c r="C54" s="67"/>
      <c r="D54" s="67"/>
      <c r="E54" s="67"/>
      <c r="F54" s="67"/>
      <c r="G54" s="67"/>
      <c r="H54" s="67"/>
      <c r="I54" s="67"/>
      <c r="J54" s="68"/>
      <c r="K54" s="69"/>
      <c r="L54" s="67"/>
      <c r="M54" s="67"/>
      <c r="N54" s="67"/>
      <c r="O54" s="67"/>
      <c r="P54" s="70">
        <f>SUM(P45:P53)</f>
        <v>476.34999999999997</v>
      </c>
      <c r="Q54" s="70">
        <f t="shared" ref="Q54:R54" si="22">SUM(Q45:Q53)</f>
        <v>0</v>
      </c>
      <c r="R54" s="70">
        <f t="shared" si="22"/>
        <v>0</v>
      </c>
      <c r="S54" s="71" t="str">
        <f>IF($P$7="ARIEL",IF(MIN(E45,E47,E48,E49,E50,E52,E53)&gt;=99.99%,SUM(P54:R54)*S45,""),IF(MIN(E45:E53)&gt;=99.99%,SUM(P54:R54)*S45,""))</f>
        <v/>
      </c>
      <c r="T54" s="250"/>
      <c r="U54" s="250"/>
    </row>
  </sheetData>
  <sheetProtection algorithmName="SHA-512" hashValue="UdPlNYUIFqXQfTm5YI6kaUAechr7qmu1bib2i6iIVmnuNYyIOqHFWhw+7nawTn10sK8p1ri/M1LD8KgCOwDvuw==" saltValue="wM9Ivd0dbK8hDEfLCgBjNA==" spinCount="100000" sheet="1" objects="1" scenarios="1"/>
  <protectedRanges>
    <protectedRange sqref="B8:H8 C45:D53 K45:L53" name="Intervalo1"/>
  </protectedRanges>
  <mergeCells count="104">
    <mergeCell ref="B2:U4"/>
    <mergeCell ref="B11:U11"/>
    <mergeCell ref="K12:U12"/>
    <mergeCell ref="B13:B14"/>
    <mergeCell ref="C13:E13"/>
    <mergeCell ref="F13:F14"/>
    <mergeCell ref="G13:G14"/>
    <mergeCell ref="H13:H14"/>
    <mergeCell ref="I13:I14"/>
    <mergeCell ref="B6:H6"/>
    <mergeCell ref="M6:N6"/>
    <mergeCell ref="M7:N7"/>
    <mergeCell ref="B12:J12"/>
    <mergeCell ref="K18:K19"/>
    <mergeCell ref="M18:M19"/>
    <mergeCell ref="C20:C21"/>
    <mergeCell ref="E20:E21"/>
    <mergeCell ref="K20:K21"/>
    <mergeCell ref="M20:M21"/>
    <mergeCell ref="R13:R14"/>
    <mergeCell ref="S13:S14"/>
    <mergeCell ref="T13:T14"/>
    <mergeCell ref="D14:E14"/>
    <mergeCell ref="L14:M14"/>
    <mergeCell ref="S15:S23"/>
    <mergeCell ref="T15:T23"/>
    <mergeCell ref="J13:J14"/>
    <mergeCell ref="K13:M13"/>
    <mergeCell ref="N13:N14"/>
    <mergeCell ref="O13:O14"/>
    <mergeCell ref="P13:P14"/>
    <mergeCell ref="Q13:Q14"/>
    <mergeCell ref="B27:J27"/>
    <mergeCell ref="B28:B29"/>
    <mergeCell ref="C28:E28"/>
    <mergeCell ref="F28:F29"/>
    <mergeCell ref="G28:G29"/>
    <mergeCell ref="H28:H29"/>
    <mergeCell ref="I28:I29"/>
    <mergeCell ref="J28:J29"/>
    <mergeCell ref="C18:C19"/>
    <mergeCell ref="E18:E19"/>
    <mergeCell ref="T28:T29"/>
    <mergeCell ref="D29:E29"/>
    <mergeCell ref="L29:M29"/>
    <mergeCell ref="S30:S38"/>
    <mergeCell ref="T30:T38"/>
    <mergeCell ref="K28:M28"/>
    <mergeCell ref="N28:N29"/>
    <mergeCell ref="O28:O29"/>
    <mergeCell ref="P28:P29"/>
    <mergeCell ref="Q28:Q29"/>
    <mergeCell ref="R28:R29"/>
    <mergeCell ref="C33:C34"/>
    <mergeCell ref="E33:E34"/>
    <mergeCell ref="K33:K34"/>
    <mergeCell ref="M33:M34"/>
    <mergeCell ref="C35:C36"/>
    <mergeCell ref="E35:E36"/>
    <mergeCell ref="K35:K36"/>
    <mergeCell ref="M35:M36"/>
    <mergeCell ref="S28:S29"/>
    <mergeCell ref="T45:T53"/>
    <mergeCell ref="K43:M43"/>
    <mergeCell ref="N43:N44"/>
    <mergeCell ref="O43:O44"/>
    <mergeCell ref="P43:P44"/>
    <mergeCell ref="Q43:Q44"/>
    <mergeCell ref="R43:R44"/>
    <mergeCell ref="U43:U44"/>
    <mergeCell ref="B42:J42"/>
    <mergeCell ref="K42:O42"/>
    <mergeCell ref="B43:B44"/>
    <mergeCell ref="C43:E43"/>
    <mergeCell ref="F43:F44"/>
    <mergeCell ref="G43:G44"/>
    <mergeCell ref="H43:H44"/>
    <mergeCell ref="I43:I44"/>
    <mergeCell ref="J43:J44"/>
    <mergeCell ref="L44:M44"/>
    <mergeCell ref="B41:U41"/>
    <mergeCell ref="T42:U42"/>
    <mergeCell ref="T54:U54"/>
    <mergeCell ref="U45:U53"/>
    <mergeCell ref="U30:U38"/>
    <mergeCell ref="T39:U39"/>
    <mergeCell ref="U13:U14"/>
    <mergeCell ref="U15:U23"/>
    <mergeCell ref="T24:U24"/>
    <mergeCell ref="B26:U26"/>
    <mergeCell ref="K27:U27"/>
    <mergeCell ref="U28:U29"/>
    <mergeCell ref="C48:C49"/>
    <mergeCell ref="E48:E49"/>
    <mergeCell ref="K48:K49"/>
    <mergeCell ref="M48:M49"/>
    <mergeCell ref="C50:C51"/>
    <mergeCell ref="E50:E51"/>
    <mergeCell ref="K50:K51"/>
    <mergeCell ref="M50:M51"/>
    <mergeCell ref="S43:S44"/>
    <mergeCell ref="T43:T44"/>
    <mergeCell ref="D44:E44"/>
    <mergeCell ref="S45:S53"/>
  </mergeCells>
  <conditionalFormatting sqref="E15:E18 E20 E22:E23">
    <cfRule type="cellIs" dxfId="90" priority="22" operator="between">
      <formula>0.7</formula>
      <formula>1</formula>
    </cfRule>
    <cfRule type="cellIs" dxfId="89" priority="23" operator="greaterThanOrEqual">
      <formula>1</formula>
    </cfRule>
    <cfRule type="cellIs" dxfId="88" priority="24" operator="lessThan">
      <formula>0.7</formula>
    </cfRule>
  </conditionalFormatting>
  <conditionalFormatting sqref="E30:E33 E35 E37:E38">
    <cfRule type="cellIs" dxfId="87" priority="10" operator="between">
      <formula>0.7</formula>
      <formula>1</formula>
    </cfRule>
    <cfRule type="cellIs" dxfId="86" priority="11" operator="greaterThanOrEqual">
      <formula>1</formula>
    </cfRule>
    <cfRule type="cellIs" dxfId="85" priority="12" operator="lessThan">
      <formula>0.7</formula>
    </cfRule>
  </conditionalFormatting>
  <conditionalFormatting sqref="E45:E48 E50 E52:E53">
    <cfRule type="cellIs" dxfId="84" priority="34" operator="between">
      <formula>0.7</formula>
      <formula>1</formula>
    </cfRule>
    <cfRule type="cellIs" dxfId="83" priority="35" operator="greaterThanOrEqual">
      <formula>1</formula>
    </cfRule>
    <cfRule type="cellIs" dxfId="82" priority="36" operator="lessThan">
      <formula>0.7</formula>
    </cfRule>
  </conditionalFormatting>
  <conditionalFormatting sqref="M15:M18">
    <cfRule type="cellIs" dxfId="81" priority="16" operator="between">
      <formula>0.7</formula>
      <formula>1</formula>
    </cfRule>
    <cfRule type="cellIs" dxfId="80" priority="17" operator="greaterThanOrEqual">
      <formula>1</formula>
    </cfRule>
    <cfRule type="cellIs" dxfId="79" priority="18" operator="lessThan">
      <formula>0.7</formula>
    </cfRule>
  </conditionalFormatting>
  <conditionalFormatting sqref="M20">
    <cfRule type="cellIs" dxfId="78" priority="13" operator="between">
      <formula>0.7</formula>
      <formula>1</formula>
    </cfRule>
    <cfRule type="cellIs" dxfId="77" priority="14" operator="greaterThanOrEqual">
      <formula>1</formula>
    </cfRule>
    <cfRule type="cellIs" dxfId="76" priority="15" operator="lessThan">
      <formula>0.7</formula>
    </cfRule>
  </conditionalFormatting>
  <conditionalFormatting sqref="M22:M23">
    <cfRule type="cellIs" dxfId="75" priority="19" operator="between">
      <formula>0.7</formula>
      <formula>1</formula>
    </cfRule>
    <cfRule type="cellIs" dxfId="74" priority="20" operator="greaterThanOrEqual">
      <formula>1</formula>
    </cfRule>
    <cfRule type="cellIs" dxfId="73" priority="21" operator="lessThan">
      <formula>0.7</formula>
    </cfRule>
  </conditionalFormatting>
  <conditionalFormatting sqref="M30:M33">
    <cfRule type="cellIs" dxfId="72" priority="4" operator="between">
      <formula>0.7</formula>
      <formula>1</formula>
    </cfRule>
    <cfRule type="cellIs" dxfId="71" priority="5" operator="greaterThanOrEqual">
      <formula>1</formula>
    </cfRule>
    <cfRule type="cellIs" dxfId="70" priority="6" operator="lessThan">
      <formula>0.7</formula>
    </cfRule>
  </conditionalFormatting>
  <conditionalFormatting sqref="M35">
    <cfRule type="cellIs" dxfId="69" priority="1" operator="between">
      <formula>0.7</formula>
      <formula>1</formula>
    </cfRule>
    <cfRule type="cellIs" dxfId="68" priority="2" operator="greaterThanOrEqual">
      <formula>1</formula>
    </cfRule>
    <cfRule type="cellIs" dxfId="67" priority="3" operator="lessThan">
      <formula>0.7</formula>
    </cfRule>
  </conditionalFormatting>
  <conditionalFormatting sqref="M37:M38">
    <cfRule type="cellIs" dxfId="66" priority="7" operator="between">
      <formula>0.7</formula>
      <formula>1</formula>
    </cfRule>
    <cfRule type="cellIs" dxfId="65" priority="8" operator="greaterThanOrEqual">
      <formula>1</formula>
    </cfRule>
    <cfRule type="cellIs" dxfId="64" priority="9" operator="lessThan">
      <formula>0.7</formula>
    </cfRule>
  </conditionalFormatting>
  <conditionalFormatting sqref="M45:M48">
    <cfRule type="cellIs" dxfId="63" priority="28" operator="between">
      <formula>0.7</formula>
      <formula>1</formula>
    </cfRule>
    <cfRule type="cellIs" dxfId="62" priority="29" operator="greaterThanOrEqual">
      <formula>1</formula>
    </cfRule>
    <cfRule type="cellIs" dxfId="61" priority="30" operator="lessThan">
      <formula>0.7</formula>
    </cfRule>
  </conditionalFormatting>
  <conditionalFormatting sqref="M50">
    <cfRule type="cellIs" dxfId="60" priority="25" operator="between">
      <formula>0.7</formula>
      <formula>1</formula>
    </cfRule>
    <cfRule type="cellIs" dxfId="59" priority="26" operator="greaterThanOrEqual">
      <formula>1</formula>
    </cfRule>
    <cfRule type="cellIs" dxfId="58" priority="27" operator="lessThan">
      <formula>0.7</formula>
    </cfRule>
  </conditionalFormatting>
  <conditionalFormatting sqref="M52:M53">
    <cfRule type="cellIs" dxfId="57" priority="31" operator="between">
      <formula>0.7</formula>
      <formula>1</formula>
    </cfRule>
    <cfRule type="cellIs" dxfId="56" priority="32" operator="greaterThanOrEqual">
      <formula>1</formula>
    </cfRule>
    <cfRule type="cellIs" dxfId="55" priority="33" operator="lessThan">
      <formula>0.7</formula>
    </cfRule>
  </conditionalFormatting>
  <dataValidations count="1">
    <dataValidation type="list" allowBlank="1" showInputMessage="1" showErrorMessage="1" sqref="B8:H8" xr:uid="{1E3E6107-1128-4E3E-AB1E-91E1CD00F11C}">
      <formula1>$V$6:$X$6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441DC8-6B5F-4D4D-9B02-8D613DE7750D}">
  <dimension ref="B1:X54"/>
  <sheetViews>
    <sheetView showGridLines="0" topLeftCell="B1" zoomScale="70" zoomScaleNormal="70" workbookViewId="0">
      <selection activeCell="M7" sqref="M7:N7"/>
    </sheetView>
  </sheetViews>
  <sheetFormatPr defaultRowHeight="14.5" x14ac:dyDescent="0.35"/>
  <cols>
    <col min="1" max="1" width="2.1796875" customWidth="1"/>
    <col min="2" max="2" width="16.453125" customWidth="1"/>
    <col min="3" max="3" width="15" bestFit="1" customWidth="1"/>
    <col min="4" max="4" width="14.54296875" customWidth="1"/>
    <col min="5" max="5" width="13.453125" bestFit="1" customWidth="1"/>
    <col min="6" max="6" width="14" customWidth="1"/>
    <col min="7" max="7" width="18.7265625" customWidth="1"/>
    <col min="8" max="8" width="15" customWidth="1"/>
    <col min="9" max="9" width="20" customWidth="1"/>
    <col min="10" max="10" width="21.1796875" customWidth="1"/>
    <col min="11" max="12" width="16.453125" customWidth="1"/>
    <col min="13" max="13" width="9.7265625" customWidth="1"/>
    <col min="14" max="14" width="20.54296875" customWidth="1"/>
    <col min="15" max="15" width="21" customWidth="1"/>
    <col min="16" max="16" width="15.26953125" customWidth="1"/>
    <col min="17" max="17" width="13" bestFit="1" customWidth="1"/>
    <col min="18" max="18" width="10.453125" bestFit="1" customWidth="1"/>
    <col min="19" max="19" width="12.7265625" bestFit="1" customWidth="1"/>
    <col min="20" max="20" width="14.453125" customWidth="1"/>
    <col min="21" max="21" width="13.7265625" customWidth="1"/>
  </cols>
  <sheetData>
    <row r="1" spans="2:24" x14ac:dyDescent="0.35">
      <c r="B1" s="59"/>
    </row>
    <row r="2" spans="2:24" ht="14.5" customHeight="1" x14ac:dyDescent="0.35">
      <c r="B2" s="146" t="s">
        <v>207</v>
      </c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</row>
    <row r="3" spans="2:24" ht="14.5" customHeight="1" x14ac:dyDescent="0.35">
      <c r="B3" s="146"/>
      <c r="C3" s="147"/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7"/>
    </row>
    <row r="4" spans="2:24" ht="14.5" customHeight="1" x14ac:dyDescent="0.35">
      <c r="B4" s="146"/>
      <c r="C4" s="147"/>
      <c r="D4" s="147"/>
      <c r="E4" s="147"/>
      <c r="F4" s="147"/>
      <c r="G4" s="147"/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7"/>
      <c r="U4" s="147"/>
    </row>
    <row r="5" spans="2:24" x14ac:dyDescent="0.35">
      <c r="B5" s="60"/>
    </row>
    <row r="6" spans="2:24" ht="14.5" customHeight="1" x14ac:dyDescent="0.35">
      <c r="B6" s="152" t="s">
        <v>208</v>
      </c>
      <c r="C6" s="153"/>
      <c r="D6" s="153"/>
      <c r="E6" s="153"/>
      <c r="F6" s="153"/>
      <c r="G6" s="153"/>
      <c r="H6" s="154"/>
      <c r="M6" s="155" t="s">
        <v>54</v>
      </c>
      <c r="N6" s="156"/>
      <c r="P6" s="74" t="s">
        <v>23</v>
      </c>
      <c r="V6" s="1">
        <v>0</v>
      </c>
      <c r="W6" s="1">
        <v>2</v>
      </c>
      <c r="X6" s="1">
        <v>3</v>
      </c>
    </row>
    <row r="7" spans="2:24" ht="14.5" customHeight="1" x14ac:dyDescent="0.35">
      <c r="B7" s="62" t="s">
        <v>209</v>
      </c>
      <c r="C7" s="2" t="s">
        <v>13</v>
      </c>
      <c r="D7" s="2" t="s">
        <v>210</v>
      </c>
      <c r="E7" s="2" t="s">
        <v>16</v>
      </c>
      <c r="F7" s="2" t="s">
        <v>211</v>
      </c>
      <c r="G7" s="2" t="s">
        <v>212</v>
      </c>
      <c r="H7" s="3" t="s">
        <v>14</v>
      </c>
      <c r="M7" s="157" t="s">
        <v>50</v>
      </c>
      <c r="N7" s="158"/>
      <c r="P7" s="75" t="s">
        <v>45</v>
      </c>
    </row>
    <row r="8" spans="2:24" ht="14.5" customHeight="1" x14ac:dyDescent="0.35">
      <c r="B8" s="63">
        <v>3</v>
      </c>
      <c r="C8" s="4">
        <v>3</v>
      </c>
      <c r="D8" s="4">
        <v>3</v>
      </c>
      <c r="E8" s="4">
        <v>3</v>
      </c>
      <c r="F8" s="4">
        <v>3</v>
      </c>
      <c r="G8" s="4">
        <v>3</v>
      </c>
      <c r="H8" s="5">
        <v>3</v>
      </c>
    </row>
    <row r="9" spans="2:24" x14ac:dyDescent="0.35">
      <c r="B9" s="84"/>
      <c r="C9" s="85"/>
      <c r="D9" s="85"/>
      <c r="E9" s="85"/>
      <c r="F9" s="85"/>
      <c r="G9" s="85"/>
      <c r="H9" s="85"/>
    </row>
    <row r="10" spans="2:24" x14ac:dyDescent="0.35">
      <c r="B10" s="84"/>
      <c r="C10" s="85"/>
      <c r="D10" s="85"/>
      <c r="E10" s="85"/>
      <c r="F10" s="85"/>
      <c r="G10" s="85"/>
      <c r="H10" s="85"/>
    </row>
    <row r="11" spans="2:24" ht="18.5" x14ac:dyDescent="0.35">
      <c r="B11" s="252" t="s">
        <v>213</v>
      </c>
      <c r="C11" s="253"/>
      <c r="D11" s="253"/>
      <c r="E11" s="253"/>
      <c r="F11" s="253"/>
      <c r="G11" s="253"/>
      <c r="H11" s="253"/>
      <c r="I11" s="253"/>
      <c r="J11" s="253"/>
      <c r="K11" s="253"/>
      <c r="L11" s="253"/>
      <c r="M11" s="253"/>
      <c r="N11" s="253"/>
      <c r="O11" s="253"/>
      <c r="P11" s="253"/>
      <c r="Q11" s="253"/>
      <c r="R11" s="253"/>
      <c r="S11" s="253"/>
      <c r="T11" s="253"/>
      <c r="U11" s="253"/>
    </row>
    <row r="12" spans="2:24" x14ac:dyDescent="0.35">
      <c r="B12" s="129" t="s">
        <v>9</v>
      </c>
      <c r="C12" s="130"/>
      <c r="D12" s="130"/>
      <c r="E12" s="130"/>
      <c r="F12" s="130"/>
      <c r="G12" s="130"/>
      <c r="H12" s="130"/>
      <c r="I12" s="130"/>
      <c r="J12" s="130"/>
      <c r="K12" s="112" t="s">
        <v>54</v>
      </c>
      <c r="L12" s="113"/>
      <c r="M12" s="113"/>
      <c r="N12" s="113"/>
      <c r="O12" s="113"/>
      <c r="P12" s="113"/>
      <c r="Q12" s="113"/>
      <c r="R12" s="113"/>
      <c r="S12" s="113"/>
      <c r="T12" s="113"/>
      <c r="U12" s="219"/>
    </row>
    <row r="13" spans="2:24" ht="14.5" customHeight="1" x14ac:dyDescent="0.35">
      <c r="B13" s="115" t="s">
        <v>214</v>
      </c>
      <c r="C13" s="116" t="s">
        <v>215</v>
      </c>
      <c r="D13" s="117"/>
      <c r="E13" s="104"/>
      <c r="F13" s="135" t="s">
        <v>216</v>
      </c>
      <c r="G13" s="135" t="s">
        <v>217</v>
      </c>
      <c r="H13" s="135" t="s">
        <v>218</v>
      </c>
      <c r="I13" s="135" t="s">
        <v>219</v>
      </c>
      <c r="J13" s="135" t="s">
        <v>220</v>
      </c>
      <c r="K13" s="229" t="s">
        <v>221</v>
      </c>
      <c r="L13" s="230"/>
      <c r="M13" s="231"/>
      <c r="N13" s="228" t="s">
        <v>222</v>
      </c>
      <c r="O13" s="127" t="s">
        <v>223</v>
      </c>
      <c r="P13" s="228" t="s">
        <v>224</v>
      </c>
      <c r="Q13" s="228" t="s">
        <v>225</v>
      </c>
      <c r="R13" s="228" t="s">
        <v>226</v>
      </c>
      <c r="S13" s="228" t="s">
        <v>227</v>
      </c>
      <c r="T13" s="249" t="s">
        <v>240</v>
      </c>
      <c r="U13" s="249" t="s">
        <v>241</v>
      </c>
    </row>
    <row r="14" spans="2:24" x14ac:dyDescent="0.35">
      <c r="B14" s="134"/>
      <c r="C14" s="94" t="s">
        <v>229</v>
      </c>
      <c r="D14" s="139" t="s">
        <v>230</v>
      </c>
      <c r="E14" s="140"/>
      <c r="F14" s="136"/>
      <c r="G14" s="136"/>
      <c r="H14" s="136"/>
      <c r="I14" s="136"/>
      <c r="J14" s="136"/>
      <c r="K14" s="52" t="s">
        <v>229</v>
      </c>
      <c r="L14" s="139" t="s">
        <v>230</v>
      </c>
      <c r="M14" s="140"/>
      <c r="N14" s="128"/>
      <c r="O14" s="128"/>
      <c r="P14" s="128"/>
      <c r="Q14" s="128"/>
      <c r="R14" s="128"/>
      <c r="S14" s="128"/>
      <c r="T14" s="138"/>
      <c r="U14" s="138"/>
    </row>
    <row r="15" spans="2:24" x14ac:dyDescent="0.35">
      <c r="B15" s="45" t="s">
        <v>2</v>
      </c>
      <c r="C15" s="76">
        <f>SUMIFS(REALIZADO[META_MOVEL],REALIZADO[PDV],'SERRA SEDE'!$M$7)</f>
        <v>19149.999899999999</v>
      </c>
      <c r="D15" s="77">
        <f>SUMIFS(PROJEÇÃO[PROJ_MOVEL],PROJEÇÃO[PDV],'SERRA SEDE'!$M$7)</f>
        <v>19663.374400000001</v>
      </c>
      <c r="E15" s="49">
        <f>IFERROR(D15/C15,0)</f>
        <v>1.0268080680251075</v>
      </c>
      <c r="F15" s="8">
        <f>VLOOKUP($E$15,FATORES!$I$32:$K$34,3)</f>
        <v>0.04</v>
      </c>
      <c r="G15" s="8">
        <f>IFERROR(VLOOKUP($E$15,FATORES!$I$35:$K$36,3),0)</f>
        <v>0.08</v>
      </c>
      <c r="H15" s="9">
        <f>D15*F15</f>
        <v>786.53497600000003</v>
      </c>
      <c r="I15" s="9">
        <f t="shared" ref="I15:I23" si="0">IF($P$7="ARIEL",
   IF(AND($E$15&gt;=69.5%, AND($E$17&gt;=69.5%, $E$18&gt;=69.5%, $E$18&gt;=69.5%, $E$20&gt;=69.5%, $E$20&gt;=69.5%, $E$22&gt;=69.5%, $E$23&gt;=69.5%)),
      D15*G15,
      0),
   IF(AND($E$15&gt;=69.5%, $E$16&gt;=69.5%, $E$17&gt;=69.5%, $E$18&gt;=69.5%, $E$18&gt;=69.5%, $E$20&gt;=69.5%, $E$20&gt;=69.5%, $E$22&gt;=69.5%, $E$23&gt;=69.5%),
      D15*G15,
      0)
)</f>
        <v>0</v>
      </c>
      <c r="J15" s="9">
        <f>H15+I15</f>
        <v>786.53497600000003</v>
      </c>
      <c r="K15" s="76">
        <f>SUMIFS(REALIZADO[META_MOVEL],REALIZADO[COORDENAÇÃO],$P$7)</f>
        <v>83640</v>
      </c>
      <c r="L15" s="77">
        <f>SUMIFS(PROJEÇÃO[PROJ_MOVEL],PROJEÇÃO[COORDENAÇÃO],$P$7)</f>
        <v>77669.213200000013</v>
      </c>
      <c r="M15" s="49">
        <f>IFERROR(L15/K15,0)</f>
        <v>0.92861326159732205</v>
      </c>
      <c r="N15" s="8">
        <f>IF($M$15&gt;=FATORES!$I$37,FATORES!$K$37,0)</f>
        <v>0</v>
      </c>
      <c r="O15" s="14">
        <f>IF(E15&gt;=100%,
   IF($P$7="ARIEL",
      IF(AND($E$15&gt;=69.5%,$E$17&gt;=69.5%,$E$18&gt;=69.5%,$E$20&gt;=69.5%,$E$22&gt;=69.5%,$E$23&gt;=69.5%),
         D15*N15,
         0
      ),
      IF(AND($E$15&gt;=69.5%,$E$16&gt;=69.5%,$E$17&gt;=69.5%,$E$18&gt;=69.5%,$E$20&gt;=69.5%,$E$22&gt;=69.5%,$E$23&gt;=69.5%),
         D15*N15,
         0
      )
   ),
0)</f>
        <v>0</v>
      </c>
      <c r="P15" s="10">
        <f>J15+O15</f>
        <v>786.53497600000003</v>
      </c>
      <c r="Q15" s="11">
        <f>IF($B$8=2,P15*0.05,0)</f>
        <v>0</v>
      </c>
      <c r="R15" s="11">
        <f>IF($B$8=3,P15*0.15,0)</f>
        <v>117.9802464</v>
      </c>
      <c r="S15" s="98">
        <v>0.1</v>
      </c>
      <c r="T15" s="124">
        <f>SUM(P24:S24)</f>
        <v>1508.1049704749998</v>
      </c>
      <c r="U15" s="124">
        <f>T15*0.75</f>
        <v>1131.0787278562498</v>
      </c>
    </row>
    <row r="16" spans="2:24" x14ac:dyDescent="0.35">
      <c r="B16" s="46" t="s">
        <v>13</v>
      </c>
      <c r="C16" s="76">
        <f>SUMIFS(REALIZADO[META_FIXA],REALIZADO[PDV],'SERRA SEDE'!$M$7)</f>
        <v>8000.0001000000002</v>
      </c>
      <c r="D16" s="77">
        <f>SUMIFS(PROJEÇÃO[PROJ_FIXA],PROJEÇÃO[PDV],'SERRA SEDE'!$M$7)</f>
        <v>9067.2011999999995</v>
      </c>
      <c r="E16" s="50">
        <f>IFERROR(D16/C16,0)</f>
        <v>1.1334001358324983</v>
      </c>
      <c r="F16" s="12">
        <f>VLOOKUP($E$16,FATORES!$I$40:$K$42,3)</f>
        <v>0.04</v>
      </c>
      <c r="G16" s="12">
        <f>IFERROR(VLOOKUP($E$16,FATORES!$I$43:$K$44,3),0)</f>
        <v>0.1</v>
      </c>
      <c r="H16" s="65">
        <f t="shared" ref="H16:H23" si="1">D16*F16</f>
        <v>362.68804799999998</v>
      </c>
      <c r="I16" s="65">
        <f t="shared" si="0"/>
        <v>0</v>
      </c>
      <c r="J16" s="65">
        <f t="shared" ref="J16:J23" si="2">H16+I16</f>
        <v>362.68804799999998</v>
      </c>
      <c r="K16" s="76">
        <f>SUMIFS(REALIZADO[META_FIXA],REALIZADO[COORDENAÇÃO],$P$7)</f>
        <v>36849.999799999998</v>
      </c>
      <c r="L16" s="77">
        <f>SUMIFS(PROJEÇÃO[PROJ_FIXA],PROJEÇÃO[COORDENAÇÃO],$P$7)</f>
        <v>42376.122200000013</v>
      </c>
      <c r="M16" s="50">
        <f t="shared" ref="M16:M17" si="3">IFERROR(L16/K16,0)</f>
        <v>1.1499626168247636</v>
      </c>
      <c r="N16" s="12">
        <f>IF($M$16&gt;=FATORES!$I$45,FATORES!$K$45,0)</f>
        <v>0.03</v>
      </c>
      <c r="O16" s="14">
        <f t="shared" ref="O16:O23" si="4">IF(E16&gt;=100%,
   IF($P$7="ARIEL",
      IF(AND($E$15&gt;=69.5%,$E$17&gt;=69.5%,$E$18&gt;=69.5%,$E$20&gt;=69.5%,$E$22&gt;=69.5%,$E$23&gt;=69.5%),
         D16*N16,
         0
      ),
      IF(AND($E$15&gt;=69.5%,$E$16&gt;=69.5%,$E$17&gt;=69.5%,$E$18&gt;=69.5%,$E$20&gt;=69.5%,$E$22&gt;=69.5%,$E$23&gt;=69.5%),
         D16*N16,
         0
      )
   ),
0)</f>
        <v>0</v>
      </c>
      <c r="P16" s="13">
        <f t="shared" ref="P16:P23" si="5">J16+O16</f>
        <v>362.68804799999998</v>
      </c>
      <c r="Q16" s="15">
        <f>IF($C$8=2,P16*0.05,0)</f>
        <v>0</v>
      </c>
      <c r="R16" s="15">
        <f>IF($C$8=3,P16*0.15,0)</f>
        <v>54.403207199999997</v>
      </c>
      <c r="S16" s="99"/>
      <c r="T16" s="125"/>
      <c r="U16" s="125"/>
    </row>
    <row r="17" spans="2:21" x14ac:dyDescent="0.35">
      <c r="B17" s="46" t="s">
        <v>231</v>
      </c>
      <c r="C17" s="53">
        <f>SUMIFS(REALIZADO[META_SMARTPHONE],REALIZADO[PDV],'SERRA SEDE'!$M$7)</f>
        <v>189000</v>
      </c>
      <c r="D17" s="78">
        <f>SUMIFS(PROJEÇÃO[PROJ_APARELHO],PROJEÇÃO[PDV],'SERRA SEDE'!$M$7)</f>
        <v>125875</v>
      </c>
      <c r="E17" s="50">
        <f>IFERROR(D17/C17,0)</f>
        <v>0.66600529100529104</v>
      </c>
      <c r="F17" s="12">
        <f>VLOOKUP($E$17,FATORES!$B$53:$D$54,3)</f>
        <v>2.0000000000000001E-4</v>
      </c>
      <c r="G17" s="12">
        <f>IFERROR(VLOOKUP($E$17,FATORES!$B$55:$D$55,3),0)</f>
        <v>0</v>
      </c>
      <c r="H17" s="65">
        <f t="shared" si="1"/>
        <v>25.175000000000001</v>
      </c>
      <c r="I17" s="65">
        <f t="shared" si="0"/>
        <v>0</v>
      </c>
      <c r="J17" s="65">
        <f t="shared" si="2"/>
        <v>25.175000000000001</v>
      </c>
      <c r="K17" s="53">
        <f>SUMIFS(REALIZADO[META_SMARTPHONE],REALIZADO[COORDENAÇÃO],$P$7)</f>
        <v>1296000</v>
      </c>
      <c r="L17" s="78">
        <f>SUMIFS(PROJEÇÃO[PROJ_APARELHO],PROJEÇÃO[COORDENAÇÃO],$P$7)</f>
        <v>1267838.5443</v>
      </c>
      <c r="M17" s="50">
        <f t="shared" si="3"/>
        <v>0.97827048171296294</v>
      </c>
      <c r="N17" s="12">
        <f>IF($M$17&gt;=FATORES!$B$56,FATORES!$D$56,0)</f>
        <v>0</v>
      </c>
      <c r="O17" s="14">
        <f t="shared" si="4"/>
        <v>0</v>
      </c>
      <c r="P17" s="13">
        <f t="shared" si="5"/>
        <v>25.175000000000001</v>
      </c>
      <c r="Q17" s="15">
        <f>IF($D$8=2,P17*0.05,0)</f>
        <v>0</v>
      </c>
      <c r="R17" s="15">
        <f>IF($D$8=3,P17*0.15,0)</f>
        <v>3.7762500000000001</v>
      </c>
      <c r="S17" s="99"/>
      <c r="T17" s="125"/>
      <c r="U17" s="125"/>
    </row>
    <row r="18" spans="2:21" x14ac:dyDescent="0.35">
      <c r="B18" s="47" t="s">
        <v>232</v>
      </c>
      <c r="C18" s="121">
        <f>SUMIFS(REALIZADO[META_ACESSORIO],REALIZADO[PDV],'SERRA SEDE'!$M$7)</f>
        <v>36000</v>
      </c>
      <c r="D18" s="86">
        <f>SUMIFS(PROJEÇÃO[PROJ_ELETRO_A],PROJEÇÃO[PDV],'SERRA SEDE'!$M$7)</f>
        <v>0</v>
      </c>
      <c r="E18" s="123">
        <f>IFERROR((D18+D19)/C18,0)</f>
        <v>0.95211111111111113</v>
      </c>
      <c r="F18" s="12">
        <f>VLOOKUP($E$18,FATORES!$B$44:$E$46,3)</f>
        <v>1.5E-3</v>
      </c>
      <c r="G18" s="12">
        <f>IFERROR(VLOOKUP($E$18,FATORES!$B$47:$E$48,3),0)</f>
        <v>0</v>
      </c>
      <c r="H18" s="65">
        <f t="shared" si="1"/>
        <v>0</v>
      </c>
      <c r="I18" s="65">
        <f t="shared" si="0"/>
        <v>0</v>
      </c>
      <c r="J18" s="65">
        <f t="shared" si="2"/>
        <v>0</v>
      </c>
      <c r="K18" s="121">
        <f>SUMIFS(REALIZADO[META_ACESSORIO],REALIZADO[COORDENAÇÃO],$P$7)</f>
        <v>141750</v>
      </c>
      <c r="L18" s="86">
        <f>SUMIFS(PROJEÇÃO[PROJ_ELETRO_A],PROJEÇÃO[COORDENAÇÃO],$P$7)</f>
        <v>2847.8889000000004</v>
      </c>
      <c r="M18" s="97">
        <f>IFERROR((L18+L19)/K18,0)</f>
        <v>1.1761539851851854</v>
      </c>
      <c r="N18" s="12">
        <f>IF($M$18&gt;=FATORES!$B$49,FATORES!$D$49,0)</f>
        <v>2.5000000000000001E-3</v>
      </c>
      <c r="O18" s="14">
        <f t="shared" si="4"/>
        <v>0</v>
      </c>
      <c r="P18" s="13">
        <f t="shared" si="5"/>
        <v>0</v>
      </c>
      <c r="Q18" s="15">
        <f>IF($E$8=2,P18*0.05,0)</f>
        <v>0</v>
      </c>
      <c r="R18" s="15">
        <f>IF($E$8=3,P18*0.15,0)</f>
        <v>0</v>
      </c>
      <c r="S18" s="99"/>
      <c r="T18" s="125"/>
      <c r="U18" s="125"/>
    </row>
    <row r="19" spans="2:21" x14ac:dyDescent="0.35">
      <c r="B19" s="47" t="s">
        <v>233</v>
      </c>
      <c r="C19" s="122"/>
      <c r="D19" s="87">
        <f>SUMIFS(PROJEÇÃO[PROJ_ELETRO_B],PROJEÇÃO[PDV],'SERRA SEDE'!$M$7)</f>
        <v>34276</v>
      </c>
      <c r="E19" s="123"/>
      <c r="F19" s="12">
        <f>VLOOKUP($E$18,FATORES!$B$44:$E$46,4)</f>
        <v>7.5000000000000002E-4</v>
      </c>
      <c r="G19" s="12">
        <f>IFERROR(VLOOKUP($E$18,FATORES!$B$47:$E$48,4),0)</f>
        <v>0</v>
      </c>
      <c r="H19" s="65">
        <f t="shared" si="1"/>
        <v>25.707000000000001</v>
      </c>
      <c r="I19" s="65">
        <f t="shared" si="0"/>
        <v>0</v>
      </c>
      <c r="J19" s="65">
        <f t="shared" si="2"/>
        <v>25.707000000000001</v>
      </c>
      <c r="K19" s="122"/>
      <c r="L19" s="87">
        <f>SUMIFS(PROJEÇÃO[PROJ_ELETRO_B],PROJEÇÃO[COORDENAÇÃO],$P$7)</f>
        <v>163871.93850000005</v>
      </c>
      <c r="M19" s="97"/>
      <c r="N19" s="12">
        <f>IF($M$18&gt;=FATORES!$B$49,FATORES!$E$49,0)</f>
        <v>1.25E-3</v>
      </c>
      <c r="O19" s="14">
        <f t="shared" si="4"/>
        <v>0</v>
      </c>
      <c r="P19" s="13">
        <f t="shared" si="5"/>
        <v>25.707000000000001</v>
      </c>
      <c r="Q19" s="15">
        <f>IF($E$8=2,P19*0.05,0)</f>
        <v>0</v>
      </c>
      <c r="R19" s="15">
        <f>IF($E$8=3,P19*0.15,0)</f>
        <v>3.8560499999999998</v>
      </c>
      <c r="S19" s="99"/>
      <c r="T19" s="125"/>
      <c r="U19" s="125">
        <f>T15*0.75</f>
        <v>1131.0787278562498</v>
      </c>
    </row>
    <row r="20" spans="2:21" x14ac:dyDescent="0.35">
      <c r="B20" s="46" t="s">
        <v>234</v>
      </c>
      <c r="C20" s="121">
        <f>SUMIFS(REALIZADO[META_ESSENCIAIS],REALIZADO[PDV],'SERRA SEDE'!$M$7)</f>
        <v>13500</v>
      </c>
      <c r="D20" s="86">
        <f>SUMIFS(PROJEÇÃO[PROJ_ESSEN_A],PROJEÇÃO[PDV],'SERRA SEDE'!$M$7)</f>
        <v>4104.0001000000002</v>
      </c>
      <c r="E20" s="123">
        <f>IFERROR((D20+D21)/C20,0)</f>
        <v>0.75546502962962969</v>
      </c>
      <c r="F20" s="12">
        <f>VLOOKUP($E$20,FATORES!$B$34:$E$36,3)</f>
        <v>5.0000000000000001E-4</v>
      </c>
      <c r="G20" s="12">
        <f>IFERROR(VLOOKUP($E$20,FATORES!$B$37:$E$38,3),0)</f>
        <v>0</v>
      </c>
      <c r="H20" s="65">
        <f t="shared" si="1"/>
        <v>2.0520000500000002</v>
      </c>
      <c r="I20" s="65">
        <f t="shared" si="0"/>
        <v>0</v>
      </c>
      <c r="J20" s="65">
        <f t="shared" si="2"/>
        <v>2.0520000500000002</v>
      </c>
      <c r="K20" s="121">
        <f>SUMIFS(REALIZADO[META_ESSENCIAIS],REALIZADO[COORDENAÇÃO],$P$7)</f>
        <v>80500.0003</v>
      </c>
      <c r="L20" s="86">
        <f>SUMIFS(PROJEÇÃO[PROJ_ESSEN_A],PROJEÇÃO[COORDENAÇÃO],$P$7)</f>
        <v>32670.500100000008</v>
      </c>
      <c r="M20" s="97">
        <f>IFERROR((L20+L21)/K20,0)</f>
        <v>0.97865446467582207</v>
      </c>
      <c r="N20" s="12">
        <f>IF($M$20&gt;=FATORES!$B$39,FATORES!$D$39,0)</f>
        <v>0</v>
      </c>
      <c r="O20" s="14">
        <f t="shared" si="4"/>
        <v>0</v>
      </c>
      <c r="P20" s="13">
        <f t="shared" si="5"/>
        <v>2.0520000500000002</v>
      </c>
      <c r="Q20" s="15">
        <f>IF($F$8=2,P20*0.05,0)</f>
        <v>0</v>
      </c>
      <c r="R20" s="15">
        <f>IF($F$8=3,P20*0.15,0)</f>
        <v>0.30780000750000003</v>
      </c>
      <c r="S20" s="99"/>
      <c r="T20" s="125"/>
      <c r="U20" s="125"/>
    </row>
    <row r="21" spans="2:21" x14ac:dyDescent="0.35">
      <c r="B21" s="46" t="s">
        <v>235</v>
      </c>
      <c r="C21" s="122"/>
      <c r="D21" s="87">
        <f>SUMIFS(PROJEÇÃO[PROJ_ESSEN_B],PROJEÇÃO[PDV],'SERRA SEDE'!$M$7)</f>
        <v>6094.7777999999998</v>
      </c>
      <c r="E21" s="123"/>
      <c r="F21" s="12">
        <f>VLOOKUP($E$20,FATORES!$B$34:$E$36,4)</f>
        <v>2.5000000000000001E-4</v>
      </c>
      <c r="G21" s="12">
        <f>IFERROR(VLOOKUP($E$20,FATORES!$B$37:$E$38,4),0)</f>
        <v>0</v>
      </c>
      <c r="H21" s="65">
        <f t="shared" si="1"/>
        <v>1.52369445</v>
      </c>
      <c r="I21" s="65">
        <f t="shared" si="0"/>
        <v>0</v>
      </c>
      <c r="J21" s="65">
        <f t="shared" si="2"/>
        <v>1.52369445</v>
      </c>
      <c r="K21" s="122"/>
      <c r="L21" s="87">
        <f>SUMIFS(PROJEÇÃO[PROJ_ESSEN_B],PROJEÇÃO[COORDENAÇÃO],$P$7)</f>
        <v>46111.184600000001</v>
      </c>
      <c r="M21" s="97"/>
      <c r="N21" s="12">
        <f>IF($M$20&gt;=FATORES!$B$39,FATORES!$E$39,0)</f>
        <v>0</v>
      </c>
      <c r="O21" s="14">
        <f t="shared" si="4"/>
        <v>0</v>
      </c>
      <c r="P21" s="13">
        <f t="shared" si="5"/>
        <v>1.52369445</v>
      </c>
      <c r="Q21" s="15">
        <f>IF($F$8=2,P21*0.05,0)</f>
        <v>0</v>
      </c>
      <c r="R21" s="15">
        <f>IF($F$8=3,P21*0.15,0)</f>
        <v>0.22855416749999999</v>
      </c>
      <c r="S21" s="99"/>
      <c r="T21" s="125"/>
      <c r="U21" s="125"/>
    </row>
    <row r="22" spans="2:21" x14ac:dyDescent="0.35">
      <c r="B22" s="46" t="s">
        <v>212</v>
      </c>
      <c r="C22" s="57">
        <f>SUMIFS(REALIZADO[META_SEGUROS],REALIZADO[PDV],'SERRA SEDE'!$M$7)</f>
        <v>2049.9998999999998</v>
      </c>
      <c r="D22" s="79">
        <f>SUMIFS(PROJEÇÃO[PROJ_SEGURO],PROJEÇÃO[PDV],'SERRA SEDE'!$M$7)</f>
        <v>2351.1445000000003</v>
      </c>
      <c r="E22" s="83">
        <f>IFERROR(D22/C22,0)</f>
        <v>1.1468998120438936</v>
      </c>
      <c r="F22" s="83">
        <f>VLOOKUP($E$22,FATORES!$O$32:$Q$34,3)</f>
        <v>0.04</v>
      </c>
      <c r="G22" s="12">
        <f>IFERROR(VLOOKUP($E$22,FATORES!$O$35:$Q$36,3),0)</f>
        <v>0.1</v>
      </c>
      <c r="H22" s="65">
        <f t="shared" si="1"/>
        <v>94.045780000000022</v>
      </c>
      <c r="I22" s="65">
        <f t="shared" si="0"/>
        <v>0</v>
      </c>
      <c r="J22" s="65">
        <f t="shared" si="2"/>
        <v>94.045780000000022</v>
      </c>
      <c r="K22" s="57">
        <f>SUMIFS(REALIZADO[META_SEGUROS],REALIZADO[COORDENAÇÃO],$P$7)</f>
        <v>8560.0000999999993</v>
      </c>
      <c r="L22" s="79">
        <f>SUMIFS(PROJEÇÃO[PROJ_SEGURO],PROJEÇÃO[COORDENAÇÃO],$P$7)</f>
        <v>8140.4447</v>
      </c>
      <c r="M22" s="50">
        <f t="shared" ref="M22:M23" si="6">IFERROR(L22/K22,0)</f>
        <v>0.95098651926417621</v>
      </c>
      <c r="N22" s="12">
        <f>IF($M$22&gt;=FATORES!$O$37,FATORES!$Q$37,0)</f>
        <v>0</v>
      </c>
      <c r="O22" s="14">
        <f t="shared" si="4"/>
        <v>0</v>
      </c>
      <c r="P22" s="13">
        <f t="shared" si="5"/>
        <v>94.045780000000022</v>
      </c>
      <c r="Q22" s="15">
        <f>IF($G$8=2,P22*0.05,0)</f>
        <v>0</v>
      </c>
      <c r="R22" s="15">
        <f>IF($G$8=3,P22*0.15,0)</f>
        <v>14.106867000000003</v>
      </c>
      <c r="S22" s="99"/>
      <c r="T22" s="125"/>
      <c r="U22" s="125"/>
    </row>
    <row r="23" spans="2:21" x14ac:dyDescent="0.35">
      <c r="B23" s="48" t="s">
        <v>14</v>
      </c>
      <c r="C23" s="76">
        <f>SUMIFS(REALIZADO[META_SVA],REALIZADO[PDV],'SERRA SEDE'!$M$7)</f>
        <v>1400.0001</v>
      </c>
      <c r="D23" s="77">
        <f>SUMIFS(PROJEÇÃO[PROJ_SVA],PROJEÇÃO[PDV],'SERRA SEDE'!$M$7)</f>
        <v>2733.8256000000001</v>
      </c>
      <c r="E23" s="82">
        <f>IFERROR(D23/C23,0)</f>
        <v>1.9527324319476835</v>
      </c>
      <c r="F23" s="16">
        <f>IF($E$23&gt;=0,FATORES!$Q$40)</f>
        <v>5.0000000000000001E-3</v>
      </c>
      <c r="G23" s="16">
        <f>IFERROR(VLOOKUP($E$23,FATORES!$O$43:$Q$44,3),0)</f>
        <v>5.0000000000000001E-3</v>
      </c>
      <c r="H23" s="17">
        <f t="shared" si="1"/>
        <v>13.669128000000001</v>
      </c>
      <c r="I23" s="65">
        <f t="shared" si="0"/>
        <v>0</v>
      </c>
      <c r="J23" s="17">
        <f t="shared" si="2"/>
        <v>13.669128000000001</v>
      </c>
      <c r="K23" s="76">
        <f>SUMIFS(REALIZADO[META_SVA],REALIZADO[COORDENAÇÃO],$P$7)</f>
        <v>7799.9998999999989</v>
      </c>
      <c r="L23" s="77">
        <f>SUMIFS(PROJEÇÃO[PROJ_SVA],PROJEÇÃO[COORDENAÇÃO],$P$7)</f>
        <v>10286.177699999998</v>
      </c>
      <c r="M23" s="51">
        <f t="shared" si="6"/>
        <v>1.3187407476761634</v>
      </c>
      <c r="N23" s="16">
        <f>IF($M$23&gt;=FATORES!$O$45,FATORES!$Q$45,0)</f>
        <v>5.0000000000000001E-3</v>
      </c>
      <c r="O23" s="14">
        <f t="shared" si="4"/>
        <v>0</v>
      </c>
      <c r="P23" s="18">
        <f t="shared" si="5"/>
        <v>13.669128000000001</v>
      </c>
      <c r="Q23" s="19">
        <f>IF($H$8=2,P23*0.05,0)</f>
        <v>0</v>
      </c>
      <c r="R23" s="19">
        <f>IF($H$8=3,P23*0.15,0)</f>
        <v>2.0503692</v>
      </c>
      <c r="S23" s="100"/>
      <c r="T23" s="126"/>
      <c r="U23" s="126"/>
    </row>
    <row r="24" spans="2:21" x14ac:dyDescent="0.35">
      <c r="B24" s="66"/>
      <c r="C24" s="67"/>
      <c r="D24" s="67"/>
      <c r="E24" s="67"/>
      <c r="F24" s="67"/>
      <c r="G24" s="67"/>
      <c r="H24" s="67"/>
      <c r="I24" s="67"/>
      <c r="J24" s="68"/>
      <c r="K24" s="69"/>
      <c r="L24" s="67"/>
      <c r="M24" s="67"/>
      <c r="N24" s="67"/>
      <c r="O24" s="67"/>
      <c r="P24" s="70">
        <f>SUM(P15:P23)</f>
        <v>1311.3956264999999</v>
      </c>
      <c r="Q24" s="70">
        <f t="shared" ref="Q24:R24" si="7">SUM(Q15:Q23)</f>
        <v>0</v>
      </c>
      <c r="R24" s="70">
        <f t="shared" si="7"/>
        <v>196.709343975</v>
      </c>
      <c r="S24" s="71" t="str">
        <f>IF($P$7="ARIEL",IF(MIN(E15,E17,E18,E19,E20,E22,E23)&gt;=100%,SUM(P24:R24)*S15,""),IF(MIN(E15:E23)&gt;=100%,SUM(P24:R24)*S15,""))</f>
        <v/>
      </c>
      <c r="T24" s="88"/>
      <c r="U24" s="88"/>
    </row>
    <row r="25" spans="2:21" ht="16.149999999999999" customHeight="1" x14ac:dyDescent="0.35">
      <c r="B25" s="80"/>
      <c r="C25" s="6"/>
      <c r="D25" s="6"/>
      <c r="E25" s="6"/>
      <c r="F25" s="6"/>
      <c r="G25" s="6"/>
      <c r="H25" s="6"/>
      <c r="T25" s="61"/>
    </row>
    <row r="26" spans="2:21" ht="18.5" x14ac:dyDescent="0.35">
      <c r="B26" s="217" t="s">
        <v>236</v>
      </c>
      <c r="C26" s="218"/>
      <c r="D26" s="218"/>
      <c r="E26" s="218"/>
      <c r="F26" s="218"/>
      <c r="G26" s="218"/>
      <c r="H26" s="218"/>
      <c r="I26" s="218"/>
      <c r="J26" s="218"/>
      <c r="K26" s="218"/>
      <c r="L26" s="218"/>
      <c r="M26" s="218"/>
      <c r="N26" s="218"/>
      <c r="O26" s="218"/>
      <c r="P26" s="218"/>
      <c r="Q26" s="218"/>
      <c r="R26" s="218"/>
      <c r="S26" s="218"/>
      <c r="T26" s="218"/>
      <c r="U26" s="218"/>
    </row>
    <row r="27" spans="2:21" x14ac:dyDescent="0.35">
      <c r="B27" s="129" t="s">
        <v>9</v>
      </c>
      <c r="C27" s="130"/>
      <c r="D27" s="130"/>
      <c r="E27" s="130"/>
      <c r="F27" s="130"/>
      <c r="G27" s="130"/>
      <c r="H27" s="130"/>
      <c r="I27" s="130"/>
      <c r="J27" s="131"/>
      <c r="K27" s="112" t="s">
        <v>54</v>
      </c>
      <c r="L27" s="113"/>
      <c r="M27" s="113"/>
      <c r="N27" s="113"/>
      <c r="O27" s="113"/>
      <c r="P27" s="113"/>
      <c r="Q27" s="113"/>
      <c r="R27" s="113"/>
      <c r="S27" s="113"/>
      <c r="T27" s="113"/>
      <c r="U27" s="219"/>
    </row>
    <row r="28" spans="2:21" ht="14.5" customHeight="1" x14ac:dyDescent="0.35">
      <c r="B28" s="115" t="s">
        <v>214</v>
      </c>
      <c r="C28" s="116" t="s">
        <v>237</v>
      </c>
      <c r="D28" s="117"/>
      <c r="E28" s="104"/>
      <c r="F28" s="135" t="s">
        <v>216</v>
      </c>
      <c r="G28" s="135" t="s">
        <v>217</v>
      </c>
      <c r="H28" s="135" t="s">
        <v>218</v>
      </c>
      <c r="I28" s="135" t="s">
        <v>219</v>
      </c>
      <c r="J28" s="135" t="s">
        <v>220</v>
      </c>
      <c r="K28" s="229" t="s">
        <v>238</v>
      </c>
      <c r="L28" s="230"/>
      <c r="M28" s="231"/>
      <c r="N28" s="228" t="s">
        <v>222</v>
      </c>
      <c r="O28" s="127" t="s">
        <v>223</v>
      </c>
      <c r="P28" s="228" t="s">
        <v>224</v>
      </c>
      <c r="Q28" s="228" t="s">
        <v>225</v>
      </c>
      <c r="R28" s="228" t="s">
        <v>226</v>
      </c>
      <c r="S28" s="228" t="s">
        <v>227</v>
      </c>
      <c r="T28" s="249" t="s">
        <v>228</v>
      </c>
      <c r="U28" s="249" t="s">
        <v>241</v>
      </c>
    </row>
    <row r="29" spans="2:21" ht="14.5" customHeight="1" x14ac:dyDescent="0.35">
      <c r="B29" s="134"/>
      <c r="C29" s="94" t="s">
        <v>229</v>
      </c>
      <c r="D29" s="139" t="s">
        <v>230</v>
      </c>
      <c r="E29" s="140"/>
      <c r="F29" s="136"/>
      <c r="G29" s="136"/>
      <c r="H29" s="136"/>
      <c r="I29" s="136"/>
      <c r="J29" s="136"/>
      <c r="K29" s="52" t="s">
        <v>229</v>
      </c>
      <c r="L29" s="139" t="s">
        <v>230</v>
      </c>
      <c r="M29" s="140"/>
      <c r="N29" s="128"/>
      <c r="O29" s="128"/>
      <c r="P29" s="128"/>
      <c r="Q29" s="128"/>
      <c r="R29" s="128"/>
      <c r="S29" s="128"/>
      <c r="T29" s="138"/>
      <c r="U29" s="138"/>
    </row>
    <row r="30" spans="2:21" x14ac:dyDescent="0.35">
      <c r="B30" s="45" t="s">
        <v>2</v>
      </c>
      <c r="C30" s="76">
        <f>SUMIFS(REALIZADO[META_MOVEL],REALIZADO[PDV],'SERRA SEDE'!$M$7)</f>
        <v>19149.999899999999</v>
      </c>
      <c r="D30" s="77">
        <f>SUMIFS(REALIZADO[AT_MOVEL],REALIZADO[PDV],'SERRA SEDE'!$M$7)</f>
        <v>2163.52</v>
      </c>
      <c r="E30" s="49">
        <f>IFERROR(D30/C30,0)</f>
        <v>0.11297754628186708</v>
      </c>
      <c r="F30" s="8">
        <f>VLOOKUP($E$30,FATORES!$I$32:$K$34,3)</f>
        <v>5.0000000000000001E-3</v>
      </c>
      <c r="G30" s="8">
        <f>IFERROR(VLOOKUP($E$30,FATORES!$I$35:$K$36,3),0)</f>
        <v>0</v>
      </c>
      <c r="H30" s="9">
        <f>D30*F30</f>
        <v>10.817600000000001</v>
      </c>
      <c r="I30" s="9">
        <f t="shared" ref="I30:I38" si="8">IF($P$7="ARIEL",
   IF(AND($E$30&gt;=69.5%, AND($E$32&gt;=69.5%, $E$33&gt;=69.5%, $E$33&gt;=69.5%, $E$35&gt;=69.5%, $E$35&gt;=69.5%, $E$37&gt;=69.5%, $E$38&gt;=69.5%)),
      D30*G30,
      0),
   IF(AND($E$30&gt;=69.5%, $E$31&gt;=69.5%, $E$32&gt;=69.5%, $E$33&gt;=69.5%, $E$33&gt;=69.5%, $E$35&gt;=69.5%, $E$35&gt;=69.5%, $E$37&gt;=69.5%, $E$38&gt;=69.5%),
      D30*G30,
      0)
)</f>
        <v>0</v>
      </c>
      <c r="J30" s="9">
        <f>H30+I30</f>
        <v>10.817600000000001</v>
      </c>
      <c r="K30" s="76">
        <f>SUMIFS(REALIZADO[META_MOVEL],REALIZADO[COORDENAÇÃO],$P$7)</f>
        <v>83640</v>
      </c>
      <c r="L30" s="77">
        <f>SUMIFS(REALIZADO[AT_MOVEL],REALIZADO[COORDENAÇÃO],$P$7)</f>
        <v>10363.76</v>
      </c>
      <c r="M30" s="49">
        <f>IFERROR(L30/K30,0)</f>
        <v>0.1239091343854615</v>
      </c>
      <c r="N30" s="8">
        <f>IF($M$30&gt;=FATORES!$I$37,FATORES!$K$37,0)</f>
        <v>0</v>
      </c>
      <c r="O30" s="14">
        <f>IF(E30&gt;=100%,
IF($P$7="ARIEL",
IF(AND($E$30&gt;=69.5%,$E$32&gt;=69.5%,$E$33&gt;=69.5%,$E$35&gt;=69.5%,$E$37&gt;=69.5%,$E$38&gt;=69.5%),
D30*N30,
0),
IF(AND($E$30&gt;=69.5%,$E$31&gt;=69.5%,$E$32&gt;=69.5%,$E$33&gt;=69.5%,$E$35&gt;=69.5%,$E$37&gt;=69.5%,$E$38&gt;=69.5%),
D30*N30,
0)
),0)</f>
        <v>0</v>
      </c>
      <c r="P30" s="10">
        <f>J30+O30</f>
        <v>10.817600000000001</v>
      </c>
      <c r="Q30" s="11">
        <f>IF($B$8=2,P30*0.05,0)</f>
        <v>0</v>
      </c>
      <c r="R30" s="11">
        <f>IF($B$8=3,P30*0.15,0)</f>
        <v>1.6226400000000001</v>
      </c>
      <c r="S30" s="98">
        <v>0.1</v>
      </c>
      <c r="T30" s="124">
        <f>SUM(P39:S39)</f>
        <v>22.907022500000004</v>
      </c>
      <c r="U30" s="124">
        <f>T30*0.75</f>
        <v>17.180266875000001</v>
      </c>
    </row>
    <row r="31" spans="2:21" x14ac:dyDescent="0.35">
      <c r="B31" s="46" t="s">
        <v>13</v>
      </c>
      <c r="C31" s="76">
        <f>SUMIFS(REALIZADO[META_FIXA],REALIZADO[PDV],'SERRA SEDE'!$M$7)</f>
        <v>8000.0001000000002</v>
      </c>
      <c r="D31" s="77">
        <f>SUMIFS(REALIZADO[AT_FIXA],REALIZADO[PDV],'SERRA SEDE'!$M$7)</f>
        <v>312</v>
      </c>
      <c r="E31" s="50">
        <f>IFERROR(D31/C31,0)</f>
        <v>3.8999999512500008E-2</v>
      </c>
      <c r="F31" s="12">
        <f>VLOOKUP($E$31,FATORES!$I$40:$K$42,3)</f>
        <v>5.0000000000000001E-3</v>
      </c>
      <c r="G31" s="12">
        <f>IFERROR(VLOOKUP($E$31,FATORES!$I$43:$K$44,3),0)</f>
        <v>0</v>
      </c>
      <c r="H31" s="65">
        <f t="shared" ref="H31:H38" si="9">D31*F31</f>
        <v>1.56</v>
      </c>
      <c r="I31" s="65">
        <f t="shared" si="8"/>
        <v>0</v>
      </c>
      <c r="J31" s="65">
        <f t="shared" ref="J31:J38" si="10">H31+I31</f>
        <v>1.56</v>
      </c>
      <c r="K31" s="76">
        <f>SUMIFS(REALIZADO[META_FIXA],REALIZADO[COORDENAÇÃO],$P$7)</f>
        <v>36849.999799999998</v>
      </c>
      <c r="L31" s="77">
        <f>SUMIFS(REALIZADO[AT_FIXA],REALIZADO[COORDENAÇÃO],$P$7)</f>
        <v>4391.01</v>
      </c>
      <c r="M31" s="50">
        <f t="shared" ref="M31:M32" si="11">IFERROR(L31/K31,0)</f>
        <v>0.11915902371321045</v>
      </c>
      <c r="N31" s="12">
        <f>IF($M$31&gt;=FATORES!$I$45,FATORES!$K$45,0)</f>
        <v>0</v>
      </c>
      <c r="O31" s="14">
        <f t="shared" ref="O31:O38" si="12">IF(E31&gt;=100%,
IF($P$7="ARIEL",
IF(AND($E$30&gt;=69.5%,$E$32&gt;=69.5%,$E$33&gt;=69.5%,$E$35&gt;=69.5%,$E$37&gt;=69.5%,$E$38&gt;=69.5%),
D31*N31,
0),
IF(AND($E$30&gt;=69.5%,$E$31&gt;=69.5%,$E$32&gt;=69.5%,$E$33&gt;=69.5%,$E$35&gt;=69.5%,$E$37&gt;=69.5%,$E$38&gt;=69.5%),
D31*N31,
0)
),0)</f>
        <v>0</v>
      </c>
      <c r="P31" s="13">
        <f t="shared" ref="P31:P38" si="13">J31+O31</f>
        <v>1.56</v>
      </c>
      <c r="Q31" s="15">
        <f>IF($C$8=2,P31*0.05,0)</f>
        <v>0</v>
      </c>
      <c r="R31" s="15">
        <f>IF($C$8=3,P31*0.15,0)</f>
        <v>0.23399999999999999</v>
      </c>
      <c r="S31" s="99"/>
      <c r="T31" s="125"/>
      <c r="U31" s="125"/>
    </row>
    <row r="32" spans="2:21" x14ac:dyDescent="0.35">
      <c r="B32" s="46" t="s">
        <v>231</v>
      </c>
      <c r="C32" s="53">
        <f>SUMIFS(REALIZADO[META_SMARTPHONE],REALIZADO[PDV],'SERRA SEDE'!$M$7)</f>
        <v>189000</v>
      </c>
      <c r="D32" s="78">
        <f>SUMIFS(REALIZADO[AT_SMARTPHONE],REALIZADO[PDV],'SERRA SEDE'!$M$7)</f>
        <v>18892</v>
      </c>
      <c r="E32" s="50">
        <f>IFERROR(D32/C32,0)</f>
        <v>9.9957671957671954E-2</v>
      </c>
      <c r="F32" s="12">
        <f>VLOOKUP($E$32,FATORES!$B$53:$D$54,3)</f>
        <v>2.0000000000000001E-4</v>
      </c>
      <c r="G32" s="12">
        <f>IFERROR(VLOOKUP($E$32,FATORES!$B$55:$D$55,3),0)</f>
        <v>0</v>
      </c>
      <c r="H32" s="65">
        <f t="shared" si="9"/>
        <v>3.7784</v>
      </c>
      <c r="I32" s="65">
        <f t="shared" si="8"/>
        <v>0</v>
      </c>
      <c r="J32" s="65">
        <f t="shared" si="10"/>
        <v>3.7784</v>
      </c>
      <c r="K32" s="53">
        <f>SUMIFS(REALIZADO[META_SMARTPHONE],REALIZADO[COORDENAÇÃO],$P$7)</f>
        <v>1296000</v>
      </c>
      <c r="L32" s="78">
        <f>SUMIFS(REALIZADO[AT_SMARTPHONE],REALIZADO[COORDENAÇÃO],$P$7)</f>
        <v>175436.05</v>
      </c>
      <c r="M32" s="50">
        <f t="shared" si="11"/>
        <v>0.1353673225308642</v>
      </c>
      <c r="N32" s="12">
        <f>IF($M$32&gt;=FATORES!$B$56,FATORES!$D$56,0)</f>
        <v>0</v>
      </c>
      <c r="O32" s="14">
        <f t="shared" si="12"/>
        <v>0</v>
      </c>
      <c r="P32" s="13">
        <f t="shared" si="13"/>
        <v>3.7784</v>
      </c>
      <c r="Q32" s="15">
        <f>IF($D$8=2,P32*0.05,0)</f>
        <v>0</v>
      </c>
      <c r="R32" s="15">
        <f>IF($D$8=3,P32*0.15,0)</f>
        <v>0.56675999999999993</v>
      </c>
      <c r="S32" s="99"/>
      <c r="T32" s="125"/>
      <c r="U32" s="125"/>
    </row>
    <row r="33" spans="2:21" x14ac:dyDescent="0.35">
      <c r="B33" s="47" t="s">
        <v>232</v>
      </c>
      <c r="C33" s="121">
        <f>SUMIFS(REALIZADO[META_ACESSORIO],REALIZADO[PDV],'SERRA SEDE'!$M$7)</f>
        <v>36000</v>
      </c>
      <c r="D33" s="86">
        <f>SUMIFS(REALIZADO[AT_ACESSORIOS_A],REALIZADO[PDV],'SERRA SEDE'!$M$7)</f>
        <v>0</v>
      </c>
      <c r="E33" s="123">
        <f>IFERROR((D33+D34)/C33,0)</f>
        <v>0.13822222222222222</v>
      </c>
      <c r="F33" s="12">
        <f>VLOOKUP($E$33,FATORES!$B$44:$E$46,3)</f>
        <v>5.0000000000000001E-4</v>
      </c>
      <c r="G33" s="12">
        <f>IFERROR(VLOOKUP($E$33,FATORES!$B$47:$E$48,3),0)</f>
        <v>0</v>
      </c>
      <c r="H33" s="65">
        <f t="shared" si="9"/>
        <v>0</v>
      </c>
      <c r="I33" s="65">
        <f t="shared" si="8"/>
        <v>0</v>
      </c>
      <c r="J33" s="65">
        <f t="shared" si="10"/>
        <v>0</v>
      </c>
      <c r="K33" s="121">
        <f>SUMIFS(REALIZADO[META_ACESSORIO],REALIZADO[COORDENAÇÃO],$P$7)</f>
        <v>141750</v>
      </c>
      <c r="L33" s="86">
        <f>SUMIFS(REALIZADO[AT_ACESSORIOS_A],REALIZADO[COORDENAÇÃO],$P$7)</f>
        <v>0</v>
      </c>
      <c r="M33" s="97">
        <f>IFERROR((L33+L34)/K33,0)</f>
        <v>0.11075132275132275</v>
      </c>
      <c r="N33" s="12">
        <f>IF($M$33&gt;=FATORES!$B$49,FATORES!$D$49,0)</f>
        <v>0</v>
      </c>
      <c r="O33" s="14">
        <f t="shared" si="12"/>
        <v>0</v>
      </c>
      <c r="P33" s="13">
        <f t="shared" si="13"/>
        <v>0</v>
      </c>
      <c r="Q33" s="15">
        <f>IF($E$8=2,P33*0.05,0)</f>
        <v>0</v>
      </c>
      <c r="R33" s="15">
        <f>IF($E$8=3,P33*0.15,0)</f>
        <v>0</v>
      </c>
      <c r="S33" s="99"/>
      <c r="T33" s="125"/>
      <c r="U33" s="125"/>
    </row>
    <row r="34" spans="2:21" x14ac:dyDescent="0.35">
      <c r="B34" s="47" t="s">
        <v>233</v>
      </c>
      <c r="C34" s="122"/>
      <c r="D34" s="87">
        <f>SUMIFS(REALIZADO[AT_ACESSORIOS_B],REALIZADO[PDV],'SERRA SEDE'!$M$7)</f>
        <v>4976</v>
      </c>
      <c r="E34" s="123"/>
      <c r="F34" s="12">
        <f>VLOOKUP($E$33,FATORES!$B$44:$E$46,4)</f>
        <v>2.5000000000000001E-4</v>
      </c>
      <c r="G34" s="12">
        <f>IFERROR(VLOOKUP($E$33,FATORES!$B$47:$E$48,4),0)</f>
        <v>0</v>
      </c>
      <c r="H34" s="65">
        <f t="shared" si="9"/>
        <v>1.244</v>
      </c>
      <c r="I34" s="65">
        <f t="shared" si="8"/>
        <v>0</v>
      </c>
      <c r="J34" s="65">
        <f t="shared" si="10"/>
        <v>1.244</v>
      </c>
      <c r="K34" s="122"/>
      <c r="L34" s="87">
        <f>SUMIFS(REALIZADO[AT_ACESSORIOS_B],REALIZADO[COORDENAÇÃO],$P$7)</f>
        <v>15699</v>
      </c>
      <c r="M34" s="97"/>
      <c r="N34" s="12">
        <f>IF($M$33&gt;=FATORES!$B$49,FATORES!$E$49,0)</f>
        <v>0</v>
      </c>
      <c r="O34" s="14">
        <f t="shared" si="12"/>
        <v>0</v>
      </c>
      <c r="P34" s="13">
        <f t="shared" si="13"/>
        <v>1.244</v>
      </c>
      <c r="Q34" s="15">
        <f>IF($E$8=2,P34*0.05,0)</f>
        <v>0</v>
      </c>
      <c r="R34" s="15">
        <f>IF($E$8=3,P34*0.15,0)</f>
        <v>0.18659999999999999</v>
      </c>
      <c r="S34" s="99"/>
      <c r="T34" s="125"/>
      <c r="U34" s="125"/>
    </row>
    <row r="35" spans="2:21" x14ac:dyDescent="0.35">
      <c r="B35" s="46" t="s">
        <v>234</v>
      </c>
      <c r="C35" s="121">
        <f>SUMIFS(REALIZADO[META_ESSENCIAIS],REALIZADO[PDV],'SERRA SEDE'!$M$7)</f>
        <v>13500</v>
      </c>
      <c r="D35" s="86">
        <f>SUMIFS(REALIZADO[AT_ESSENCIAIS_A],REALIZADO[PDV],'SERRA SEDE'!$M$7)</f>
        <v>496</v>
      </c>
      <c r="E35" s="123">
        <f>IFERROR((D35+D36)/C35,0)</f>
        <v>8.6592592592592596E-2</v>
      </c>
      <c r="F35" s="12">
        <f>VLOOKUP($E$35,FATORES!$B$34:$E$36,3)</f>
        <v>5.0000000000000001E-4</v>
      </c>
      <c r="G35" s="12">
        <f>IFERROR(VLOOKUP($E$35,FATORES!$B$37:$E$38,3),0)</f>
        <v>0</v>
      </c>
      <c r="H35" s="65">
        <f t="shared" si="9"/>
        <v>0.248</v>
      </c>
      <c r="I35" s="65">
        <f t="shared" si="8"/>
        <v>0</v>
      </c>
      <c r="J35" s="65">
        <f t="shared" si="10"/>
        <v>0.248</v>
      </c>
      <c r="K35" s="121">
        <f>SUMIFS(REALIZADO[META_ESSENCIAIS],REALIZADO[COORDENAÇÃO],$P$7)</f>
        <v>80500.0003</v>
      </c>
      <c r="L35" s="86">
        <f>SUMIFS(REALIZADO[AT_ESSENCIAIS_A],REALIZADO[COORDENAÇÃO],$P$7)</f>
        <v>5749.95</v>
      </c>
      <c r="M35" s="97">
        <f>IFERROR((L35+L36)/K35,0)</f>
        <v>0.15028074478156242</v>
      </c>
      <c r="N35" s="12">
        <f>IF($M$35&gt;=FATORES!$B$39,FATORES!$D$39,0)</f>
        <v>0</v>
      </c>
      <c r="O35" s="14">
        <f t="shared" si="12"/>
        <v>0</v>
      </c>
      <c r="P35" s="13">
        <f t="shared" si="13"/>
        <v>0.248</v>
      </c>
      <c r="Q35" s="15">
        <f>IF($F$8=2,P35*0.05,0)</f>
        <v>0</v>
      </c>
      <c r="R35" s="15">
        <f>IF($F$8=3,P35*0.15,0)</f>
        <v>3.7199999999999997E-2</v>
      </c>
      <c r="S35" s="99"/>
      <c r="T35" s="125"/>
      <c r="U35" s="125"/>
    </row>
    <row r="36" spans="2:21" x14ac:dyDescent="0.35">
      <c r="B36" s="46" t="s">
        <v>235</v>
      </c>
      <c r="C36" s="122"/>
      <c r="D36" s="87">
        <f>SUMIFS(REALIZADO[AT_ESSENCIAIS_B],REALIZADO[PDV],'SERRA SEDE'!$M$7)</f>
        <v>673</v>
      </c>
      <c r="E36" s="123"/>
      <c r="F36" s="12">
        <f>VLOOKUP($E$35,FATORES!$B$34:$E$36,4)</f>
        <v>2.5000000000000001E-4</v>
      </c>
      <c r="G36" s="12">
        <f>IFERROR(VLOOKUP($E$35,FATORES!$B$37:$E$38,4),0)</f>
        <v>0</v>
      </c>
      <c r="H36" s="65">
        <f t="shared" si="9"/>
        <v>0.16825000000000001</v>
      </c>
      <c r="I36" s="65">
        <f t="shared" si="8"/>
        <v>0</v>
      </c>
      <c r="J36" s="65">
        <f t="shared" si="10"/>
        <v>0.16825000000000001</v>
      </c>
      <c r="K36" s="122"/>
      <c r="L36" s="87">
        <f>SUMIFS(REALIZADO[AT_ESSENCIAIS_B],REALIZADO[COORDENAÇÃO],$P$7)</f>
        <v>6347.65</v>
      </c>
      <c r="M36" s="97"/>
      <c r="N36" s="12">
        <f>IF($M$35&gt;=FATORES!$B$39,FATORES!$E$39,0)</f>
        <v>0</v>
      </c>
      <c r="O36" s="14">
        <f t="shared" si="12"/>
        <v>0</v>
      </c>
      <c r="P36" s="13">
        <f t="shared" si="13"/>
        <v>0.16825000000000001</v>
      </c>
      <c r="Q36" s="15">
        <f>IF($F$8=2,P36*0.05,0)</f>
        <v>0</v>
      </c>
      <c r="R36" s="15">
        <f>IF($F$8=3,P36*0.15,0)</f>
        <v>2.52375E-2</v>
      </c>
      <c r="S36" s="99"/>
      <c r="T36" s="125"/>
      <c r="U36" s="125"/>
    </row>
    <row r="37" spans="2:21" x14ac:dyDescent="0.35">
      <c r="B37" s="46" t="s">
        <v>212</v>
      </c>
      <c r="C37" s="57">
        <f>SUMIFS(REALIZADO[META_SEGUROS],REALIZADO[PDV],'SERRA SEDE'!$M$7)</f>
        <v>2049.9998999999998</v>
      </c>
      <c r="D37" s="79">
        <f>SUMIFS(REALIZADO[AT_SEGUROS],REALIZADO[PDV],'SERRA SEDE'!$M$7)</f>
        <v>185.10000000000002</v>
      </c>
      <c r="E37" s="83">
        <f>IFERROR(D37/C37,0)</f>
        <v>9.0292687331350624E-2</v>
      </c>
      <c r="F37" s="83">
        <f>VLOOKUP($E$37,FATORES!$O$32:$Q$34,3)</f>
        <v>5.0000000000000001E-3</v>
      </c>
      <c r="G37" s="12">
        <f>IFERROR(VLOOKUP($E$37,FATORES!$O$35:$Q$36,3),0)</f>
        <v>0</v>
      </c>
      <c r="H37" s="65">
        <f t="shared" si="9"/>
        <v>0.9255000000000001</v>
      </c>
      <c r="I37" s="65">
        <f t="shared" si="8"/>
        <v>0</v>
      </c>
      <c r="J37" s="65">
        <f t="shared" si="10"/>
        <v>0.9255000000000001</v>
      </c>
      <c r="K37" s="57">
        <f>SUMIFS(REALIZADO[META_SEGUROS],REALIZADO[COORDENAÇÃO],$P$7)</f>
        <v>8560.0000999999993</v>
      </c>
      <c r="L37" s="79">
        <f>SUMIFS(REALIZADO[AT_SEGUROS],REALIZADO[COORDENAÇÃO],$P$7)</f>
        <v>887.5999999999998</v>
      </c>
      <c r="M37" s="50">
        <f t="shared" ref="M37:M38" si="14">IFERROR(L37/K37,0)</f>
        <v>0.1036915875736964</v>
      </c>
      <c r="N37" s="12">
        <f>IF($M$37&gt;=FATORES!$O$37,FATORES!$Q$37,0)</f>
        <v>0</v>
      </c>
      <c r="O37" s="14">
        <f t="shared" si="12"/>
        <v>0</v>
      </c>
      <c r="P37" s="13">
        <f t="shared" si="13"/>
        <v>0.9255000000000001</v>
      </c>
      <c r="Q37" s="15">
        <f>IF($G$8=2,P37*0.05,0)</f>
        <v>0</v>
      </c>
      <c r="R37" s="15">
        <f>IF($G$8=3,P37*0.15,0)</f>
        <v>0.138825</v>
      </c>
      <c r="S37" s="99"/>
      <c r="T37" s="125"/>
      <c r="U37" s="125"/>
    </row>
    <row r="38" spans="2:21" x14ac:dyDescent="0.35">
      <c r="B38" s="48" t="s">
        <v>14</v>
      </c>
      <c r="C38" s="76">
        <f>SUMIFS(REALIZADO[META_SVA],REALIZADO[PDV],'SERRA SEDE'!$M$7)</f>
        <v>1400.0001</v>
      </c>
      <c r="D38" s="77">
        <f>SUMIFS(REALIZADO[AT_SVA],REALIZADO[PDV],'SERRA SEDE'!$M$7)</f>
        <v>235.48</v>
      </c>
      <c r="E38" s="82">
        <f>IFERROR(D38/C38,0)</f>
        <v>0.16819998798571514</v>
      </c>
      <c r="F38" s="16">
        <f>IF($E$38&gt;=0,FATORES!$Q$40)</f>
        <v>5.0000000000000001E-3</v>
      </c>
      <c r="G38" s="16">
        <f>IFERROR(VLOOKUP($E$38,FATORES!$O$43:$Q$44,3),0)</f>
        <v>0</v>
      </c>
      <c r="H38" s="17">
        <f t="shared" si="9"/>
        <v>1.1774</v>
      </c>
      <c r="I38" s="65">
        <f t="shared" si="8"/>
        <v>0</v>
      </c>
      <c r="J38" s="17">
        <f t="shared" si="10"/>
        <v>1.1774</v>
      </c>
      <c r="K38" s="76">
        <f>SUMIFS(REALIZADO[META_SVA],REALIZADO[COORDENAÇÃO],$P$7)</f>
        <v>7799.9998999999989</v>
      </c>
      <c r="L38" s="77">
        <f>SUMIFS(REALIZADO[AT_SVA],REALIZADO[COORDENAÇÃO],$P$7)</f>
        <v>1187.3599999999999</v>
      </c>
      <c r="M38" s="51">
        <f t="shared" si="14"/>
        <v>0.15222564297725183</v>
      </c>
      <c r="N38" s="16">
        <f>IF($M$38&gt;=FATORES!$O$45,FATORES!$Q$45,0)</f>
        <v>0</v>
      </c>
      <c r="O38" s="14">
        <f t="shared" si="12"/>
        <v>0</v>
      </c>
      <c r="P38" s="18">
        <f t="shared" si="13"/>
        <v>1.1774</v>
      </c>
      <c r="Q38" s="19">
        <f>IF($H$8=2,P38*0.05,0)</f>
        <v>0</v>
      </c>
      <c r="R38" s="19">
        <f>IF($H$8=3,P38*0.15,0)</f>
        <v>0.17660999999999999</v>
      </c>
      <c r="S38" s="100"/>
      <c r="T38" s="126"/>
      <c r="U38" s="126"/>
    </row>
    <row r="39" spans="2:21" x14ac:dyDescent="0.35">
      <c r="B39" s="66"/>
      <c r="C39" s="67"/>
      <c r="D39" s="67"/>
      <c r="E39" s="67"/>
      <c r="F39" s="67"/>
      <c r="G39" s="67"/>
      <c r="H39" s="67"/>
      <c r="I39" s="67"/>
      <c r="J39" s="68"/>
      <c r="K39" s="69"/>
      <c r="L39" s="67"/>
      <c r="M39" s="67"/>
      <c r="N39" s="67"/>
      <c r="O39" s="67"/>
      <c r="P39" s="70">
        <f>SUM(P30:P38)</f>
        <v>19.919150000000002</v>
      </c>
      <c r="Q39" s="70">
        <f t="shared" ref="Q39:R39" si="15">SUM(Q30:Q38)</f>
        <v>0</v>
      </c>
      <c r="R39" s="70">
        <f t="shared" si="15"/>
        <v>2.9878724999999999</v>
      </c>
      <c r="S39" s="71" t="str">
        <f>IF($P$7="ARIEL",IF(MIN(E30,E32,E33,E34,E35,E37,E38)&gt;=100%,SUM(P39:R39)*S30,""),IF(MIN(E30:E38)&gt;=100%,SUM(P39:R39)*S30,""))</f>
        <v/>
      </c>
      <c r="T39" s="153"/>
      <c r="U39" s="153"/>
    </row>
    <row r="41" spans="2:21" ht="18.5" x14ac:dyDescent="0.35">
      <c r="B41" s="220" t="s">
        <v>239</v>
      </c>
      <c r="C41" s="221"/>
      <c r="D41" s="221"/>
      <c r="E41" s="221"/>
      <c r="F41" s="221"/>
      <c r="G41" s="221"/>
      <c r="H41" s="221"/>
      <c r="I41" s="221"/>
      <c r="J41" s="221"/>
      <c r="K41" s="221"/>
      <c r="L41" s="221"/>
      <c r="M41" s="221"/>
      <c r="N41" s="221"/>
      <c r="O41" s="221"/>
      <c r="P41" s="221"/>
      <c r="Q41" s="221"/>
      <c r="R41" s="221"/>
      <c r="S41" s="221"/>
      <c r="T41" s="221"/>
      <c r="U41" s="221"/>
    </row>
    <row r="42" spans="2:21" x14ac:dyDescent="0.35">
      <c r="B42" s="109" t="s">
        <v>9</v>
      </c>
      <c r="C42" s="110"/>
      <c r="D42" s="110"/>
      <c r="E42" s="110"/>
      <c r="F42" s="110"/>
      <c r="G42" s="110"/>
      <c r="H42" s="110"/>
      <c r="I42" s="110"/>
      <c r="J42" s="111"/>
      <c r="K42" s="112" t="s">
        <v>54</v>
      </c>
      <c r="L42" s="113"/>
      <c r="M42" s="113"/>
      <c r="N42" s="113"/>
      <c r="O42" s="113"/>
      <c r="P42" s="113"/>
      <c r="Q42" s="113"/>
      <c r="R42" s="113"/>
      <c r="S42" s="113"/>
      <c r="T42" s="113"/>
      <c r="U42" s="219"/>
    </row>
    <row r="43" spans="2:21" ht="14.5" customHeight="1" x14ac:dyDescent="0.35">
      <c r="B43" s="114" t="s">
        <v>214</v>
      </c>
      <c r="C43" s="116" t="s">
        <v>237</v>
      </c>
      <c r="D43" s="117"/>
      <c r="E43" s="104"/>
      <c r="F43" s="118" t="s">
        <v>216</v>
      </c>
      <c r="G43" s="118" t="s">
        <v>217</v>
      </c>
      <c r="H43" s="118" t="s">
        <v>218</v>
      </c>
      <c r="I43" s="118" t="s">
        <v>219</v>
      </c>
      <c r="J43" s="118" t="s">
        <v>220</v>
      </c>
      <c r="K43" s="231" t="s">
        <v>238</v>
      </c>
      <c r="L43" s="254"/>
      <c r="M43" s="254"/>
      <c r="N43" s="128" t="s">
        <v>222</v>
      </c>
      <c r="O43" s="106" t="s">
        <v>223</v>
      </c>
      <c r="P43" s="128" t="s">
        <v>224</v>
      </c>
      <c r="Q43" s="128" t="s">
        <v>225</v>
      </c>
      <c r="R43" s="128" t="s">
        <v>226</v>
      </c>
      <c r="S43" s="128" t="s">
        <v>227</v>
      </c>
      <c r="T43" s="138" t="s">
        <v>228</v>
      </c>
      <c r="U43" s="249" t="s">
        <v>241</v>
      </c>
    </row>
    <row r="44" spans="2:21" x14ac:dyDescent="0.35">
      <c r="B44" s="115"/>
      <c r="C44" s="94" t="s">
        <v>229</v>
      </c>
      <c r="D44" s="120" t="s">
        <v>230</v>
      </c>
      <c r="E44" s="120"/>
      <c r="F44" s="118"/>
      <c r="G44" s="118"/>
      <c r="H44" s="118"/>
      <c r="I44" s="118"/>
      <c r="J44" s="118"/>
      <c r="K44" s="52" t="s">
        <v>229</v>
      </c>
      <c r="L44" s="120" t="s">
        <v>230</v>
      </c>
      <c r="M44" s="120"/>
      <c r="N44" s="106"/>
      <c r="O44" s="106"/>
      <c r="P44" s="106"/>
      <c r="Q44" s="106"/>
      <c r="R44" s="106"/>
      <c r="S44" s="106"/>
      <c r="T44" s="119"/>
      <c r="U44" s="138"/>
    </row>
    <row r="45" spans="2:21" x14ac:dyDescent="0.35">
      <c r="B45" s="45" t="s">
        <v>2</v>
      </c>
      <c r="C45" s="53">
        <v>19100</v>
      </c>
      <c r="D45" s="54">
        <v>19101</v>
      </c>
      <c r="E45" s="49">
        <f>IFERROR(D45/C45,0)</f>
        <v>1.0000523560209424</v>
      </c>
      <c r="F45" s="8">
        <f>VLOOKUP($E$45,FATORES!$I$32:$K$34,3)</f>
        <v>0.04</v>
      </c>
      <c r="G45" s="8">
        <f>IFERROR(VLOOKUP(E45,FATORES!$I$35:$K$36,3),0)</f>
        <v>0.08</v>
      </c>
      <c r="H45" s="9">
        <f>D45*F45</f>
        <v>764.04</v>
      </c>
      <c r="I45" s="9">
        <f t="shared" ref="I45:I53" si="16">IF($P$7="ARIEL",
   IF(AND($E$45&gt;=69.5%, AND($E$47&gt;=69.5%, $E$48&gt;=69.5%, $E$48&gt;=69.5%, $E$50&gt;=69.5%, $E$50&gt;=69.5%, $E$52&gt;=69.5%, $E$53&gt;=69.5%)),
      D45*G45,
      0),
   IF(AND($E$45&gt;=69.5%, $E$46&gt;=69.5%, $E$47&gt;=69.5%, $E$48&gt;=69.5%, $E$48&gt;=69.5%, $E$50&gt;=69.5%, $E$50&gt;=69.5%, $E$52&gt;=69.5%, $E$53&gt;=69.5%),
      D45*G45,
      0)
)</f>
        <v>1528.08</v>
      </c>
      <c r="J45" s="9">
        <f>H45+I45</f>
        <v>2292.12</v>
      </c>
      <c r="K45" s="53">
        <v>83195</v>
      </c>
      <c r="L45" s="54"/>
      <c r="M45" s="49">
        <f>IFERROR(L45/K45,0)</f>
        <v>0</v>
      </c>
      <c r="N45" s="8">
        <f>IF($M$45&gt;=FATORES!$I$37,FATORES!$K$37,0)</f>
        <v>0</v>
      </c>
      <c r="O45" s="14">
        <f>IF(E45&gt;=100%,
IF($P$7="ARIEL",
   IF(AND($E$45&gt;=69.5%, AND($E$47&gt;=69.5%, $E$48&gt;=69.5%, $E$48&gt;=69.5%, $E$50&gt;=69.5%, $E$50&gt;=69.5%, $E$52&gt;=69.5%, $E$53&gt;=69.5%)),
      D45*N45,
      0),
   IF(AND($E$45&gt;=69.5%, $E$46&gt;=69.5%, $E$47&gt;=69.5%, $E$48&gt;=69.5%, $E$48&gt;=69.5%, $E$50&gt;=69.5%, $E$50&gt;=69.5%, $E$52&gt;=69.5%, $E$53&gt;=69.5%),
      D45*N45,
      0)
),0)</f>
        <v>0</v>
      </c>
      <c r="P45" s="10">
        <f>J45+O45</f>
        <v>2292.12</v>
      </c>
      <c r="Q45" s="11">
        <f>IF($B$8=2,P45*0.05,0)</f>
        <v>0</v>
      </c>
      <c r="R45" s="11">
        <f>IF($B$8=3,P45*0.15,0)</f>
        <v>343.81799999999998</v>
      </c>
      <c r="S45" s="98">
        <v>0.1</v>
      </c>
      <c r="T45" s="101">
        <f>SUM($P$54:$S$54)</f>
        <v>3334.2369749999993</v>
      </c>
      <c r="U45" s="101">
        <f>T45*0.75</f>
        <v>2500.6777312499994</v>
      </c>
    </row>
    <row r="46" spans="2:21" x14ac:dyDescent="0.35">
      <c r="B46" s="46" t="s">
        <v>13</v>
      </c>
      <c r="C46" s="55">
        <v>2100</v>
      </c>
      <c r="D46" s="56">
        <v>2101</v>
      </c>
      <c r="E46" s="50">
        <f>IFERROR(D46/C46,0)</f>
        <v>1.0004761904761905</v>
      </c>
      <c r="F46" s="12">
        <f>VLOOKUP($E$46,FATORES!$I$40:$K$42,3)</f>
        <v>0.04</v>
      </c>
      <c r="G46" s="12">
        <f>IFERROR(VLOOKUP(E46,FATORES!$I$43:$K$44,3),0)</f>
        <v>0.1</v>
      </c>
      <c r="H46" s="65">
        <f t="shared" ref="H46:H53" si="17">D46*F46</f>
        <v>84.04</v>
      </c>
      <c r="I46" s="65">
        <f t="shared" si="16"/>
        <v>210.10000000000002</v>
      </c>
      <c r="J46" s="65">
        <f t="shared" ref="J46:J53" si="18">H46+I46</f>
        <v>294.14000000000004</v>
      </c>
      <c r="K46" s="55">
        <v>37850</v>
      </c>
      <c r="L46" s="56"/>
      <c r="M46" s="50">
        <f t="shared" ref="M46:M53" si="19">IFERROR(L46/K46,0)</f>
        <v>0</v>
      </c>
      <c r="N46" s="12">
        <f>IF($M$46&gt;=FATORES!$I$45,FATORES!$K$45,0)</f>
        <v>0</v>
      </c>
      <c r="O46" s="14">
        <f t="shared" ref="O46:O53" si="20">IF(E46&gt;=100%,
IF($P$7="ARIEL",
   IF(AND($E$45&gt;=69.5%, AND($E$47&gt;=69.5%, $E$48&gt;=69.5%, $E$48&gt;=69.5%, $E$50&gt;=69.5%, $E$50&gt;=69.5%, $E$52&gt;=69.5%, $E$53&gt;=69.5%)),
      D46*N46,
      0),
   IF(AND($E$45&gt;=69.5%, $E$46&gt;=69.5%, $E$47&gt;=69.5%, $E$48&gt;=69.5%, $E$48&gt;=69.5%, $E$50&gt;=69.5%, $E$50&gt;=69.5%, $E$52&gt;=69.5%, $E$53&gt;=69.5%),
      D46*N46,
      0)
),0)</f>
        <v>0</v>
      </c>
      <c r="P46" s="13">
        <f t="shared" ref="P46:P53" si="21">J46+O46</f>
        <v>294.14000000000004</v>
      </c>
      <c r="Q46" s="15">
        <f>IF($C$8=2,P46*0.05,0)</f>
        <v>0</v>
      </c>
      <c r="R46" s="15">
        <f>IF($C$8=3,P46*0.15,0)</f>
        <v>44.121000000000002</v>
      </c>
      <c r="S46" s="99"/>
      <c r="T46" s="102"/>
      <c r="U46" s="102"/>
    </row>
    <row r="47" spans="2:21" x14ac:dyDescent="0.35">
      <c r="B47" s="46" t="s">
        <v>231</v>
      </c>
      <c r="C47" s="55">
        <v>189000</v>
      </c>
      <c r="D47" s="56">
        <v>189001</v>
      </c>
      <c r="E47" s="50">
        <f>IFERROR(D47/C47,0)</f>
        <v>1.000005291005291</v>
      </c>
      <c r="F47" s="12">
        <f>VLOOKUP($E$47,FATORES!$B$53:$D$54,3)</f>
        <v>5.0000000000000001E-4</v>
      </c>
      <c r="G47" s="12">
        <f>IFERROR(VLOOKUP(E47,FATORES!$B$55:$D$55,3),0)</f>
        <v>1E-3</v>
      </c>
      <c r="H47" s="65">
        <f t="shared" si="17"/>
        <v>94.500500000000002</v>
      </c>
      <c r="I47" s="65">
        <f t="shared" si="16"/>
        <v>189.001</v>
      </c>
      <c r="J47" s="65">
        <f t="shared" si="18"/>
        <v>283.50150000000002</v>
      </c>
      <c r="K47" s="55">
        <v>1090000</v>
      </c>
      <c r="L47" s="56"/>
      <c r="M47" s="50">
        <f t="shared" si="19"/>
        <v>0</v>
      </c>
      <c r="N47" s="12">
        <f>IF($M$47&gt;=FATORES!$B$56,FATORES!$D$56,0)</f>
        <v>0</v>
      </c>
      <c r="O47" s="14">
        <f t="shared" si="20"/>
        <v>0</v>
      </c>
      <c r="P47" s="13">
        <f t="shared" si="21"/>
        <v>283.50150000000002</v>
      </c>
      <c r="Q47" s="15">
        <f>IF($D$8=2,P47*0.05,0)</f>
        <v>0</v>
      </c>
      <c r="R47" s="15">
        <f>IF($D$8=3,P47*0.15,0)</f>
        <v>42.525224999999999</v>
      </c>
      <c r="S47" s="99"/>
      <c r="T47" s="102"/>
      <c r="U47" s="102"/>
    </row>
    <row r="48" spans="2:21" x14ac:dyDescent="0.35">
      <c r="B48" s="47" t="s">
        <v>232</v>
      </c>
      <c r="C48" s="96">
        <v>36000</v>
      </c>
      <c r="D48" s="56"/>
      <c r="E48" s="97">
        <f>IFERROR((D48+D49)/C48,0)</f>
        <v>0.83333333333333337</v>
      </c>
      <c r="F48" s="12">
        <f>VLOOKUP($E$48,FATORES!$B$44:$E$46,3)</f>
        <v>1E-3</v>
      </c>
      <c r="G48" s="12">
        <f>IFERROR(VLOOKUP(E48,FATORES!$B$47:$E$48,3),0)</f>
        <v>0</v>
      </c>
      <c r="H48" s="65">
        <f t="shared" si="17"/>
        <v>0</v>
      </c>
      <c r="I48" s="65">
        <f t="shared" si="16"/>
        <v>0</v>
      </c>
      <c r="J48" s="65">
        <f t="shared" si="18"/>
        <v>0</v>
      </c>
      <c r="K48" s="96">
        <v>81500</v>
      </c>
      <c r="L48" s="56">
        <v>0</v>
      </c>
      <c r="M48" s="97">
        <f>IFERROR((L48+L49)/K48,0)</f>
        <v>0</v>
      </c>
      <c r="N48" s="12">
        <f>IF($M$48&gt;=FATORES!$B$49,FATORES!$D$49,0)</f>
        <v>0</v>
      </c>
      <c r="O48" s="14">
        <f t="shared" si="20"/>
        <v>0</v>
      </c>
      <c r="P48" s="13">
        <f t="shared" si="21"/>
        <v>0</v>
      </c>
      <c r="Q48" s="15">
        <f>IF($E$8=2,P48*0.05,0)</f>
        <v>0</v>
      </c>
      <c r="R48" s="15">
        <f>IF($E$8=3,P48*0.15,0)</f>
        <v>0</v>
      </c>
      <c r="S48" s="99"/>
      <c r="T48" s="102"/>
      <c r="U48" s="102"/>
    </row>
    <row r="49" spans="2:21" x14ac:dyDescent="0.35">
      <c r="B49" s="47" t="s">
        <v>233</v>
      </c>
      <c r="C49" s="96"/>
      <c r="D49" s="56">
        <v>30000</v>
      </c>
      <c r="E49" s="97"/>
      <c r="F49" s="12">
        <f>VLOOKUP($E$48,FATORES!$B$44:$E$46,4)</f>
        <v>5.0000000000000001E-4</v>
      </c>
      <c r="G49" s="12">
        <f>IFERROR(VLOOKUP(E48,FATORES!$B$47:$E$48,4),0)</f>
        <v>0</v>
      </c>
      <c r="H49" s="65">
        <f t="shared" si="17"/>
        <v>15</v>
      </c>
      <c r="I49" s="65">
        <f t="shared" si="16"/>
        <v>0</v>
      </c>
      <c r="J49" s="65">
        <f t="shared" si="18"/>
        <v>15</v>
      </c>
      <c r="K49" s="96"/>
      <c r="L49" s="56"/>
      <c r="M49" s="97"/>
      <c r="N49" s="12">
        <f>IF($M$48&gt;=FATORES!$B$49,FATORES!$E$49,0)</f>
        <v>0</v>
      </c>
      <c r="O49" s="14">
        <f t="shared" si="20"/>
        <v>0</v>
      </c>
      <c r="P49" s="13">
        <f t="shared" si="21"/>
        <v>15</v>
      </c>
      <c r="Q49" s="15">
        <f>IF($E$8=2,P49*0.05,0)</f>
        <v>0</v>
      </c>
      <c r="R49" s="15">
        <f>IF($E$8=3,P49*0.15,0)</f>
        <v>2.25</v>
      </c>
      <c r="S49" s="99"/>
      <c r="T49" s="102"/>
      <c r="U49" s="102"/>
    </row>
    <row r="50" spans="2:21" x14ac:dyDescent="0.35">
      <c r="B50" s="46" t="s">
        <v>234</v>
      </c>
      <c r="C50" s="96">
        <v>13500</v>
      </c>
      <c r="D50" s="56"/>
      <c r="E50" s="97">
        <f>IFERROR((D50+D51)/C50,0)</f>
        <v>0.76296296296296295</v>
      </c>
      <c r="F50" s="12">
        <f>VLOOKUP($E$50,FATORES!$B$34:$E$36,3)</f>
        <v>5.0000000000000001E-4</v>
      </c>
      <c r="G50" s="12">
        <f>IFERROR(VLOOKUP(E50,FATORES!$B$37:$E$38,3),0)</f>
        <v>0</v>
      </c>
      <c r="H50" s="65">
        <f t="shared" si="17"/>
        <v>0</v>
      </c>
      <c r="I50" s="65">
        <f t="shared" si="16"/>
        <v>0</v>
      </c>
      <c r="J50" s="65">
        <f t="shared" si="18"/>
        <v>0</v>
      </c>
      <c r="K50" s="96">
        <v>71100</v>
      </c>
      <c r="L50" s="56">
        <v>0</v>
      </c>
      <c r="M50" s="97">
        <f>IFERROR((L50+L51)/K50,0)</f>
        <v>0</v>
      </c>
      <c r="N50" s="12">
        <f>IF($M$50&gt;=FATORES!$B$39,FATORES!$D$39,0)</f>
        <v>0</v>
      </c>
      <c r="O50" s="14">
        <f t="shared" si="20"/>
        <v>0</v>
      </c>
      <c r="P50" s="13">
        <f t="shared" si="21"/>
        <v>0</v>
      </c>
      <c r="Q50" s="15">
        <f>IF($F$8=2,P50*0.05,0)</f>
        <v>0</v>
      </c>
      <c r="R50" s="15">
        <f>IF($F$8=3,P50*0.15,0)</f>
        <v>0</v>
      </c>
      <c r="S50" s="99"/>
      <c r="T50" s="102"/>
      <c r="U50" s="102"/>
    </row>
    <row r="51" spans="2:21" x14ac:dyDescent="0.35">
      <c r="B51" s="46" t="s">
        <v>235</v>
      </c>
      <c r="C51" s="96"/>
      <c r="D51" s="56">
        <v>10300</v>
      </c>
      <c r="E51" s="97"/>
      <c r="F51" s="12">
        <f>VLOOKUP($E$50,FATORES!$B$34:$E$36,4)</f>
        <v>2.5000000000000001E-4</v>
      </c>
      <c r="G51" s="12">
        <f>IFERROR(VLOOKUP(E50,FATORES!$B$37:$E$38,4),0)</f>
        <v>0</v>
      </c>
      <c r="H51" s="65">
        <f t="shared" si="17"/>
        <v>2.5750000000000002</v>
      </c>
      <c r="I51" s="65">
        <f t="shared" si="16"/>
        <v>0</v>
      </c>
      <c r="J51" s="65">
        <f t="shared" si="18"/>
        <v>2.5750000000000002</v>
      </c>
      <c r="K51" s="96"/>
      <c r="L51" s="56"/>
      <c r="M51" s="97"/>
      <c r="N51" s="12">
        <f>IF($M$50&gt;=FATORES!$B$39,FATORES!$E$39,0)</f>
        <v>0</v>
      </c>
      <c r="O51" s="14">
        <f t="shared" si="20"/>
        <v>0</v>
      </c>
      <c r="P51" s="13">
        <f t="shared" si="21"/>
        <v>2.5750000000000002</v>
      </c>
      <c r="Q51" s="15">
        <f>IF($F$8=2,P51*0.05,0)</f>
        <v>0</v>
      </c>
      <c r="R51" s="15">
        <f>IF($F$8=3,P51*0.15,0)</f>
        <v>0.38625000000000004</v>
      </c>
      <c r="S51" s="99"/>
      <c r="T51" s="102"/>
      <c r="U51" s="102"/>
    </row>
    <row r="52" spans="2:21" x14ac:dyDescent="0.35">
      <c r="B52" s="46" t="s">
        <v>212</v>
      </c>
      <c r="C52" s="55">
        <v>1980</v>
      </c>
      <c r="D52" s="56">
        <v>1400</v>
      </c>
      <c r="E52" s="50">
        <f>IFERROR(D52/C52,0)</f>
        <v>0.70707070707070707</v>
      </c>
      <c r="F52" s="83">
        <f>VLOOKUP($E$52,FATORES!$O$32:$Q$34,3)</f>
        <v>5.0000000000000001E-3</v>
      </c>
      <c r="G52" s="12">
        <f>IFERROR(VLOOKUP(E52,FATORES!$O$35:$Q$36,3),0)</f>
        <v>0</v>
      </c>
      <c r="H52" s="65">
        <f t="shared" si="17"/>
        <v>7</v>
      </c>
      <c r="I52" s="65">
        <f t="shared" si="16"/>
        <v>0</v>
      </c>
      <c r="J52" s="65">
        <f t="shared" si="18"/>
        <v>7</v>
      </c>
      <c r="K52" s="55">
        <v>7630</v>
      </c>
      <c r="L52" s="56"/>
      <c r="M52" s="50">
        <f t="shared" si="19"/>
        <v>0</v>
      </c>
      <c r="N52" s="12">
        <f>IF($M$52&gt;=FATORES!$O$37,FATORES!$Q$37,0)</f>
        <v>0</v>
      </c>
      <c r="O52" s="14">
        <f t="shared" si="20"/>
        <v>0</v>
      </c>
      <c r="P52" s="13">
        <f t="shared" si="21"/>
        <v>7</v>
      </c>
      <c r="Q52" s="15">
        <f>IF($G$8=2,P52*0.05,0)</f>
        <v>0</v>
      </c>
      <c r="R52" s="15">
        <f>IF($G$8=3,P52*0.15,0)</f>
        <v>1.05</v>
      </c>
      <c r="S52" s="99"/>
      <c r="T52" s="102"/>
      <c r="U52" s="102"/>
    </row>
    <row r="53" spans="2:21" x14ac:dyDescent="0.35">
      <c r="B53" s="48" t="s">
        <v>14</v>
      </c>
      <c r="C53" s="57">
        <v>1287</v>
      </c>
      <c r="D53" s="58">
        <v>1000</v>
      </c>
      <c r="E53" s="51">
        <f>IFERROR(D53/C53,0)</f>
        <v>0.77700077700077697</v>
      </c>
      <c r="F53" s="16">
        <f>IF($E$53&gt;=0,FATORES!$Q$40)</f>
        <v>5.0000000000000001E-3</v>
      </c>
      <c r="G53" s="16">
        <f>IFERROR(VLOOKUP(E53,FATORES!$O$43:$Q$44,3),0)</f>
        <v>0</v>
      </c>
      <c r="H53" s="17">
        <f t="shared" si="17"/>
        <v>5</v>
      </c>
      <c r="I53" s="65">
        <f t="shared" si="16"/>
        <v>0</v>
      </c>
      <c r="J53" s="17">
        <f t="shared" si="18"/>
        <v>5</v>
      </c>
      <c r="K53" s="57">
        <v>6780</v>
      </c>
      <c r="L53" s="58"/>
      <c r="M53" s="51">
        <f t="shared" si="19"/>
        <v>0</v>
      </c>
      <c r="N53" s="16">
        <f>IF($M$53&gt;=FATORES!$O$45,FATORES!$Q$45,0)</f>
        <v>0</v>
      </c>
      <c r="O53" s="14">
        <f t="shared" si="20"/>
        <v>0</v>
      </c>
      <c r="P53" s="18">
        <f t="shared" si="21"/>
        <v>5</v>
      </c>
      <c r="Q53" s="19">
        <f>IF($H$8=2,P53*0.05,0)</f>
        <v>0</v>
      </c>
      <c r="R53" s="19">
        <f>IF($H$8=3,P53*0.15,0)</f>
        <v>0.75</v>
      </c>
      <c r="S53" s="100"/>
      <c r="T53" s="103"/>
      <c r="U53" s="103"/>
    </row>
    <row r="54" spans="2:21" x14ac:dyDescent="0.35">
      <c r="B54" s="66"/>
      <c r="C54" s="67"/>
      <c r="D54" s="67"/>
      <c r="E54" s="67"/>
      <c r="F54" s="67"/>
      <c r="G54" s="67"/>
      <c r="H54" s="67"/>
      <c r="I54" s="67"/>
      <c r="J54" s="68"/>
      <c r="K54" s="69"/>
      <c r="L54" s="67"/>
      <c r="M54" s="67"/>
      <c r="N54" s="67"/>
      <c r="O54" s="67"/>
      <c r="P54" s="70">
        <f>SUM(P45:P53)</f>
        <v>2899.3364999999994</v>
      </c>
      <c r="Q54" s="70">
        <f t="shared" ref="Q54:R54" si="22">SUM(Q45:Q53)</f>
        <v>0</v>
      </c>
      <c r="R54" s="70">
        <f t="shared" si="22"/>
        <v>434.90047499999997</v>
      </c>
      <c r="S54" s="71" t="str">
        <f>IF($P$7="ARIEL",IF(MIN(E45,E47,E48,E49,E50,E52,E53)&gt;=99.99%,SUM(P54:R54)*S45,""),IF(MIN(E45:E53)&gt;=99.99%,SUM(P54:R54)*S45,""))</f>
        <v/>
      </c>
      <c r="T54" s="153"/>
      <c r="U54" s="153"/>
    </row>
  </sheetData>
  <sheetProtection algorithmName="SHA-512" hashValue="W4eaUpA3ER0zRkh9IDAyQl8F2FcfiQvUeb5TAfGoMM724NJt8DnxWlKdJN/YoanOKq4CdXaIILv5zGDXWk1h3Q==" saltValue="kHSc+47sbFqvM9buOxbQ0g==" spinCount="100000" sheet="1" objects="1" scenarios="1"/>
  <protectedRanges>
    <protectedRange sqref="B8:H8 C45:D53 K45:L53" name="Intervalo1"/>
  </protectedRanges>
  <mergeCells count="102">
    <mergeCell ref="B13:B14"/>
    <mergeCell ref="C13:E13"/>
    <mergeCell ref="F13:F14"/>
    <mergeCell ref="G13:G14"/>
    <mergeCell ref="H13:H14"/>
    <mergeCell ref="I13:I14"/>
    <mergeCell ref="B6:H6"/>
    <mergeCell ref="M6:N6"/>
    <mergeCell ref="M7:N7"/>
    <mergeCell ref="B12:J12"/>
    <mergeCell ref="K18:K19"/>
    <mergeCell ref="M18:M19"/>
    <mergeCell ref="C20:C21"/>
    <mergeCell ref="E20:E21"/>
    <mergeCell ref="K20:K21"/>
    <mergeCell ref="M20:M21"/>
    <mergeCell ref="R13:R14"/>
    <mergeCell ref="S13:S14"/>
    <mergeCell ref="T13:T14"/>
    <mergeCell ref="D14:E14"/>
    <mergeCell ref="L14:M14"/>
    <mergeCell ref="S15:S23"/>
    <mergeCell ref="T15:T23"/>
    <mergeCell ref="J13:J14"/>
    <mergeCell ref="K13:M13"/>
    <mergeCell ref="N13:N14"/>
    <mergeCell ref="O13:O14"/>
    <mergeCell ref="P13:P14"/>
    <mergeCell ref="Q13:Q14"/>
    <mergeCell ref="B27:J27"/>
    <mergeCell ref="B28:B29"/>
    <mergeCell ref="C28:E28"/>
    <mergeCell ref="F28:F29"/>
    <mergeCell ref="G28:G29"/>
    <mergeCell ref="H28:H29"/>
    <mergeCell ref="I28:I29"/>
    <mergeCell ref="J28:J29"/>
    <mergeCell ref="C18:C19"/>
    <mergeCell ref="E18:E19"/>
    <mergeCell ref="E35:E36"/>
    <mergeCell ref="K35:K36"/>
    <mergeCell ref="M35:M36"/>
    <mergeCell ref="S28:S29"/>
    <mergeCell ref="T28:T29"/>
    <mergeCell ref="D29:E29"/>
    <mergeCell ref="L29:M29"/>
    <mergeCell ref="S30:S38"/>
    <mergeCell ref="T30:T38"/>
    <mergeCell ref="K28:M28"/>
    <mergeCell ref="N28:N29"/>
    <mergeCell ref="O28:O29"/>
    <mergeCell ref="P28:P29"/>
    <mergeCell ref="Q28:Q29"/>
    <mergeCell ref="R28:R29"/>
    <mergeCell ref="U13:U14"/>
    <mergeCell ref="K12:U12"/>
    <mergeCell ref="B11:U11"/>
    <mergeCell ref="U15:U23"/>
    <mergeCell ref="B2:U4"/>
    <mergeCell ref="C48:C49"/>
    <mergeCell ref="E48:E49"/>
    <mergeCell ref="K48:K49"/>
    <mergeCell ref="M48:M49"/>
    <mergeCell ref="S43:S44"/>
    <mergeCell ref="T43:T44"/>
    <mergeCell ref="D44:E44"/>
    <mergeCell ref="L44:M44"/>
    <mergeCell ref="S45:S53"/>
    <mergeCell ref="T45:T53"/>
    <mergeCell ref="K43:M43"/>
    <mergeCell ref="N43:N44"/>
    <mergeCell ref="O43:O44"/>
    <mergeCell ref="P43:P44"/>
    <mergeCell ref="Q43:Q44"/>
    <mergeCell ref="R43:R44"/>
    <mergeCell ref="B42:J42"/>
    <mergeCell ref="B43:B44"/>
    <mergeCell ref="C43:E43"/>
    <mergeCell ref="K42:U42"/>
    <mergeCell ref="U43:U44"/>
    <mergeCell ref="U45:U53"/>
    <mergeCell ref="T54:U54"/>
    <mergeCell ref="B26:U26"/>
    <mergeCell ref="K27:U27"/>
    <mergeCell ref="U28:U29"/>
    <mergeCell ref="U30:U38"/>
    <mergeCell ref="T39:U39"/>
    <mergeCell ref="B41:U41"/>
    <mergeCell ref="C50:C51"/>
    <mergeCell ref="E50:E51"/>
    <mergeCell ref="K50:K51"/>
    <mergeCell ref="M50:M51"/>
    <mergeCell ref="F43:F44"/>
    <mergeCell ref="G43:G44"/>
    <mergeCell ref="H43:H44"/>
    <mergeCell ref="I43:I44"/>
    <mergeCell ref="J43:J44"/>
    <mergeCell ref="C33:C34"/>
    <mergeCell ref="E33:E34"/>
    <mergeCell ref="K33:K34"/>
    <mergeCell ref="M33:M34"/>
    <mergeCell ref="C35:C36"/>
  </mergeCells>
  <conditionalFormatting sqref="E15:E18 E20 E22:E23">
    <cfRule type="cellIs" dxfId="54" priority="22" operator="between">
      <formula>0.7</formula>
      <formula>1</formula>
    </cfRule>
    <cfRule type="cellIs" dxfId="53" priority="23" operator="greaterThanOrEqual">
      <formula>1</formula>
    </cfRule>
    <cfRule type="cellIs" dxfId="52" priority="24" operator="lessThan">
      <formula>0.7</formula>
    </cfRule>
  </conditionalFormatting>
  <conditionalFormatting sqref="E30:E33 E35 E37:E38">
    <cfRule type="cellIs" dxfId="51" priority="10" operator="between">
      <formula>0.7</formula>
      <formula>1</formula>
    </cfRule>
    <cfRule type="cellIs" dxfId="50" priority="11" operator="greaterThanOrEqual">
      <formula>1</formula>
    </cfRule>
    <cfRule type="cellIs" dxfId="49" priority="12" operator="lessThan">
      <formula>0.7</formula>
    </cfRule>
  </conditionalFormatting>
  <conditionalFormatting sqref="E45:E48 E50 E52:E53">
    <cfRule type="cellIs" dxfId="48" priority="34" operator="between">
      <formula>0.7</formula>
      <formula>1</formula>
    </cfRule>
    <cfRule type="cellIs" dxfId="47" priority="35" operator="greaterThanOrEqual">
      <formula>1</formula>
    </cfRule>
    <cfRule type="cellIs" dxfId="46" priority="36" operator="lessThan">
      <formula>0.7</formula>
    </cfRule>
  </conditionalFormatting>
  <conditionalFormatting sqref="M15:M18">
    <cfRule type="cellIs" dxfId="45" priority="16" operator="between">
      <formula>0.7</formula>
      <formula>1</formula>
    </cfRule>
    <cfRule type="cellIs" dxfId="44" priority="17" operator="greaterThanOrEqual">
      <formula>1</formula>
    </cfRule>
    <cfRule type="cellIs" dxfId="43" priority="18" operator="lessThan">
      <formula>0.7</formula>
    </cfRule>
  </conditionalFormatting>
  <conditionalFormatting sqref="M20">
    <cfRule type="cellIs" dxfId="42" priority="13" operator="between">
      <formula>0.7</formula>
      <formula>1</formula>
    </cfRule>
    <cfRule type="cellIs" dxfId="41" priority="14" operator="greaterThanOrEqual">
      <formula>1</formula>
    </cfRule>
    <cfRule type="cellIs" dxfId="40" priority="15" operator="lessThan">
      <formula>0.7</formula>
    </cfRule>
  </conditionalFormatting>
  <conditionalFormatting sqref="M22:M23">
    <cfRule type="cellIs" dxfId="39" priority="19" operator="between">
      <formula>0.7</formula>
      <formula>1</formula>
    </cfRule>
    <cfRule type="cellIs" dxfId="38" priority="20" operator="greaterThanOrEqual">
      <formula>1</formula>
    </cfRule>
    <cfRule type="cellIs" dxfId="37" priority="21" operator="lessThan">
      <formula>0.7</formula>
    </cfRule>
  </conditionalFormatting>
  <conditionalFormatting sqref="M30:M33">
    <cfRule type="cellIs" dxfId="36" priority="4" operator="between">
      <formula>0.7</formula>
      <formula>1</formula>
    </cfRule>
    <cfRule type="cellIs" dxfId="35" priority="5" operator="greaterThanOrEqual">
      <formula>1</formula>
    </cfRule>
    <cfRule type="cellIs" dxfId="34" priority="6" operator="lessThan">
      <formula>0.7</formula>
    </cfRule>
  </conditionalFormatting>
  <conditionalFormatting sqref="M35">
    <cfRule type="cellIs" dxfId="33" priority="1" operator="between">
      <formula>0.7</formula>
      <formula>1</formula>
    </cfRule>
    <cfRule type="cellIs" dxfId="32" priority="2" operator="greaterThanOrEqual">
      <formula>1</formula>
    </cfRule>
    <cfRule type="cellIs" dxfId="31" priority="3" operator="lessThan">
      <formula>0.7</formula>
    </cfRule>
  </conditionalFormatting>
  <conditionalFormatting sqref="M37:M38">
    <cfRule type="cellIs" dxfId="30" priority="7" operator="between">
      <formula>0.7</formula>
      <formula>1</formula>
    </cfRule>
    <cfRule type="cellIs" dxfId="29" priority="8" operator="greaterThanOrEqual">
      <formula>1</formula>
    </cfRule>
    <cfRule type="cellIs" dxfId="28" priority="9" operator="lessThan">
      <formula>0.7</formula>
    </cfRule>
  </conditionalFormatting>
  <conditionalFormatting sqref="M45:M48">
    <cfRule type="cellIs" dxfId="27" priority="28" operator="between">
      <formula>0.7</formula>
      <formula>1</formula>
    </cfRule>
    <cfRule type="cellIs" dxfId="26" priority="29" operator="greaterThanOrEqual">
      <formula>1</formula>
    </cfRule>
    <cfRule type="cellIs" dxfId="25" priority="30" operator="lessThan">
      <formula>0.7</formula>
    </cfRule>
  </conditionalFormatting>
  <conditionalFormatting sqref="M50">
    <cfRule type="cellIs" dxfId="24" priority="25" operator="between">
      <formula>0.7</formula>
      <formula>1</formula>
    </cfRule>
    <cfRule type="cellIs" dxfId="23" priority="26" operator="greaterThanOrEqual">
      <formula>1</formula>
    </cfRule>
    <cfRule type="cellIs" dxfId="22" priority="27" operator="lessThan">
      <formula>0.7</formula>
    </cfRule>
  </conditionalFormatting>
  <conditionalFormatting sqref="M52:M53">
    <cfRule type="cellIs" dxfId="21" priority="31" operator="between">
      <formula>0.7</formula>
      <formula>1</formula>
    </cfRule>
    <cfRule type="cellIs" dxfId="20" priority="32" operator="greaterThanOrEqual">
      <formula>1</formula>
    </cfRule>
    <cfRule type="cellIs" dxfId="19" priority="33" operator="lessThan">
      <formula>0.7</formula>
    </cfRule>
  </conditionalFormatting>
  <dataValidations disablePrompts="1" count="1">
    <dataValidation type="list" allowBlank="1" showInputMessage="1" showErrorMessage="1" sqref="B8:H8" xr:uid="{68A42B70-0B09-41B2-89D6-416322DC6133}">
      <formula1>$V$6:$X$6</formula1>
    </dataValidation>
  </dataValidations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D919B26-1765-49EF-8EC0-0E1D23B83CE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25</vt:i4>
      </vt:variant>
    </vt:vector>
  </HeadingPairs>
  <TitlesOfParts>
    <vt:vector size="25" baseType="lpstr">
      <vt:lpstr>FATORES</vt:lpstr>
      <vt:lpstr>REALIZADO</vt:lpstr>
      <vt:lpstr>PROJEÇÃO</vt:lpstr>
      <vt:lpstr>CAPA</vt:lpstr>
      <vt:lpstr>ANCHIETA</vt:lpstr>
      <vt:lpstr>BOM JESUS</vt:lpstr>
      <vt:lpstr>ICONHA</vt:lpstr>
      <vt:lpstr>MIRACEMA</vt:lpstr>
      <vt:lpstr>PIUMA</vt:lpstr>
      <vt:lpstr>QUISSAMA</vt:lpstr>
      <vt:lpstr>ST PADUA</vt:lpstr>
      <vt:lpstr>SAO FIDELIS</vt:lpstr>
      <vt:lpstr>CENTRO VV</vt:lpstr>
      <vt:lpstr>CENTRO VIX</vt:lpstr>
      <vt:lpstr>GLORIA</vt:lpstr>
      <vt:lpstr>MASTERPLACE</vt:lpstr>
      <vt:lpstr>NORTE SUL</vt:lpstr>
      <vt:lpstr>ITACIBA</vt:lpstr>
      <vt:lpstr>JARDIM CAMBURI</vt:lpstr>
      <vt:lpstr>JACARAIPE</vt:lpstr>
      <vt:lpstr>LARANJEIRAS</vt:lpstr>
      <vt:lpstr>MARCILIO DE NORONHA</vt:lpstr>
      <vt:lpstr>MONTSERRAT</vt:lpstr>
      <vt:lpstr>PORTO CANOA</vt:lpstr>
      <vt:lpstr>SERRA SEDE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João Rede Confiança</dc:creator>
  <cp:keywords/>
  <dc:description/>
  <cp:lastModifiedBy>João Rede Confiança</cp:lastModifiedBy>
  <cp:revision/>
  <dcterms:created xsi:type="dcterms:W3CDTF">2025-10-16T19:49:07Z</dcterms:created>
  <dcterms:modified xsi:type="dcterms:W3CDTF">2026-04-16T20:11:40Z</dcterms:modified>
  <cp:category/>
  <cp:contentStatus/>
</cp:coreProperties>
</file>