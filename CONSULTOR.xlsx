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Meu Drive\Inteligencia\Inteligencia\SIMULADORES\"/>
    </mc:Choice>
  </mc:AlternateContent>
  <xr:revisionPtr revIDLastSave="0" documentId="13_ncr:1_{DB1B154E-9D44-4169-8CEE-58695A85F35F}" xr6:coauthVersionLast="47" xr6:coauthVersionMax="47" xr10:uidLastSave="{00000000-0000-0000-0000-000000000000}"/>
  <bookViews>
    <workbookView xWindow="-20610" yWindow="-120" windowWidth="20730" windowHeight="11040" firstSheet="10" activeTab="14" xr2:uid="{B22F629C-849D-4817-95EA-0C683893E3A3}"/>
  </bookViews>
  <sheets>
    <sheet name="FATORES" sheetId="3" state="hidden" r:id="rId1"/>
    <sheet name="REALIZADO" sheetId="4" state="hidden" r:id="rId2"/>
    <sheet name="PROJEÇÃO" sheetId="48" state="hidden" r:id="rId3"/>
    <sheet name="CAPA" sheetId="26" r:id="rId4"/>
    <sheet name="ANCHIETA" sheetId="1" r:id="rId5"/>
    <sheet name="CENTRO VIX" sheetId="57" r:id="rId6"/>
    <sheet name="PIUMA" sheetId="52" r:id="rId7"/>
    <sheet name="ICONHA" sheetId="50" r:id="rId8"/>
    <sheet name="ST PADUA" sheetId="54" r:id="rId9"/>
    <sheet name="MONTSERRAT" sheetId="66" r:id="rId10"/>
    <sheet name="CENTRO VV" sheetId="56" r:id="rId11"/>
    <sheet name="SAO FIDELIS" sheetId="55" r:id="rId12"/>
    <sheet name="JACARAIPE" sheetId="63" r:id="rId13"/>
    <sheet name="JARDIM CAMBURI" sheetId="59" r:id="rId14"/>
    <sheet name="LARANJEIRAS" sheetId="64" r:id="rId15"/>
    <sheet name="QUISSAMA" sheetId="53" r:id="rId16"/>
    <sheet name="GLORIA" sheetId="58" r:id="rId17"/>
    <sheet name="HC" sheetId="69" state="hidden" r:id="rId18"/>
    <sheet name="NORTE SUL" sheetId="61" r:id="rId19"/>
    <sheet name="MARCILIO DE NORONHA" sheetId="65" r:id="rId20"/>
    <sheet name="PORTO CANOA" sheetId="67" r:id="rId21"/>
    <sheet name="MASTERPLACE" sheetId="60" r:id="rId22"/>
    <sheet name="BOM JESUS" sheetId="49" r:id="rId23"/>
    <sheet name="MIRACEMA" sheetId="51" r:id="rId24"/>
    <sheet name="ITACIBA" sheetId="62" r:id="rId25"/>
    <sheet name="SERRA SEDE" sheetId="68" r:id="rId26"/>
  </sheets>
  <externalReferences>
    <externalReference r:id="rId27"/>
  </externalReferences>
  <definedNames>
    <definedName name="DadosExternos_1" localSheetId="1" hidden="1">'REALIZADO'!$A$1:$Y$107</definedName>
    <definedName name="DadosExternos_2" localSheetId="2" hidden="1">PROJEÇÃO!$A$1:$T$107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63" l="1"/>
  <c r="L52" i="63"/>
  <c r="L50" i="63"/>
  <c r="L48" i="63"/>
  <c r="L47" i="63"/>
  <c r="L46" i="63"/>
  <c r="L45" i="63"/>
  <c r="L53" i="52"/>
  <c r="L52" i="52"/>
  <c r="L51" i="52"/>
  <c r="L50" i="52"/>
  <c r="L49" i="52"/>
  <c r="L48" i="52"/>
  <c r="L47" i="52"/>
  <c r="L46" i="52"/>
  <c r="L45" i="52"/>
  <c r="K53" i="52"/>
  <c r="K52" i="52"/>
  <c r="K50" i="52"/>
  <c r="K48" i="52"/>
  <c r="K47" i="52"/>
  <c r="K46" i="52"/>
  <c r="K45" i="52"/>
  <c r="D53" i="52"/>
  <c r="D52" i="52"/>
  <c r="D51" i="52"/>
  <c r="D50" i="52"/>
  <c r="D49" i="52"/>
  <c r="D48" i="52"/>
  <c r="D47" i="52"/>
  <c r="D46" i="52"/>
  <c r="D45" i="52"/>
  <c r="C53" i="52"/>
  <c r="C52" i="52"/>
  <c r="C50" i="52"/>
  <c r="C48" i="52"/>
  <c r="C47" i="52"/>
  <c r="C46" i="52"/>
  <c r="C45" i="52"/>
  <c r="D53" i="56"/>
  <c r="D52" i="56"/>
  <c r="D51" i="56"/>
  <c r="D50" i="56"/>
  <c r="D49" i="56"/>
  <c r="D48" i="56"/>
  <c r="D47" i="56"/>
  <c r="D46" i="56"/>
  <c r="D45" i="56"/>
  <c r="C53" i="56"/>
  <c r="C52" i="56"/>
  <c r="C50" i="56"/>
  <c r="C48" i="56"/>
  <c r="C47" i="56"/>
  <c r="C46" i="56"/>
  <c r="C45" i="56"/>
  <c r="L53" i="54"/>
  <c r="M53" i="54" s="1"/>
  <c r="N53" i="54" s="1"/>
  <c r="L52" i="54"/>
  <c r="L51" i="54"/>
  <c r="L50" i="54"/>
  <c r="M50" i="54" s="1"/>
  <c r="N51" i="54" s="1"/>
  <c r="L49" i="54"/>
  <c r="L48" i="54"/>
  <c r="L47" i="54"/>
  <c r="M47" i="54" s="1"/>
  <c r="N47" i="54" s="1"/>
  <c r="L46" i="54"/>
  <c r="M46" i="54" s="1"/>
  <c r="N46" i="54" s="1"/>
  <c r="E52" i="54"/>
  <c r="E50" i="54"/>
  <c r="F51" i="54" s="1"/>
  <c r="H51" i="54" s="1"/>
  <c r="E48" i="54"/>
  <c r="G48" i="54" s="1"/>
  <c r="E47" i="54"/>
  <c r="O45" i="54" s="1"/>
  <c r="E46" i="54"/>
  <c r="E45" i="54"/>
  <c r="K45" i="68"/>
  <c r="K46" i="68"/>
  <c r="K47" i="68"/>
  <c r="K48" i="68"/>
  <c r="M48" i="68" s="1"/>
  <c r="K50" i="68"/>
  <c r="M50" i="68" s="1"/>
  <c r="K52" i="68"/>
  <c r="K53" i="68"/>
  <c r="E48" i="68"/>
  <c r="F49" i="68"/>
  <c r="H49" i="68"/>
  <c r="E53" i="68"/>
  <c r="E52" i="66"/>
  <c r="E53" i="66"/>
  <c r="M53" i="66"/>
  <c r="N53" i="66" s="1"/>
  <c r="M45" i="66"/>
  <c r="N45" i="66" s="1"/>
  <c r="M53" i="61"/>
  <c r="N53" i="61" s="1"/>
  <c r="M50" i="61"/>
  <c r="M48" i="61"/>
  <c r="N48" i="61" s="1"/>
  <c r="M47" i="61"/>
  <c r="N47" i="61" s="1"/>
  <c r="M46" i="61"/>
  <c r="N46" i="61" s="1"/>
  <c r="M45" i="61"/>
  <c r="N45" i="61" s="1"/>
  <c r="K53" i="63"/>
  <c r="M53" i="63" s="1"/>
  <c r="N53" i="63" s="1"/>
  <c r="K52" i="63"/>
  <c r="K50" i="63"/>
  <c r="M50" i="63" s="1"/>
  <c r="K48" i="63"/>
  <c r="K47" i="63"/>
  <c r="K46" i="63"/>
  <c r="K45" i="63"/>
  <c r="C53" i="63"/>
  <c r="C52" i="63"/>
  <c r="E52" i="63" s="1"/>
  <c r="C50" i="63"/>
  <c r="C48" i="63"/>
  <c r="C47" i="63"/>
  <c r="C46" i="63"/>
  <c r="E46" i="63" s="1"/>
  <c r="C45" i="63"/>
  <c r="E45" i="63" s="1"/>
  <c r="G45" i="63" s="1"/>
  <c r="M46" i="52"/>
  <c r="N46" i="52" s="1"/>
  <c r="L48" i="1"/>
  <c r="K45" i="1"/>
  <c r="M45" i="1" s="1"/>
  <c r="N45" i="1" s="1"/>
  <c r="K46" i="1"/>
  <c r="M46" i="1" s="1"/>
  <c r="N46" i="1" s="1"/>
  <c r="K47" i="1"/>
  <c r="K48" i="1"/>
  <c r="K50" i="1"/>
  <c r="M50" i="1" s="1"/>
  <c r="K52" i="1"/>
  <c r="M52" i="1" s="1"/>
  <c r="N52" i="1" s="1"/>
  <c r="K53" i="1"/>
  <c r="M53" i="1" s="1"/>
  <c r="N53" i="1" s="1"/>
  <c r="E45" i="1"/>
  <c r="G45" i="1"/>
  <c r="F45" i="1"/>
  <c r="H45" i="1"/>
  <c r="C46" i="1"/>
  <c r="E46" i="1" s="1"/>
  <c r="C47" i="1"/>
  <c r="E47" i="1" s="1"/>
  <c r="C48" i="1"/>
  <c r="E48" i="1" s="1"/>
  <c r="F48" i="1" s="1"/>
  <c r="H48" i="1" s="1"/>
  <c r="C50" i="1"/>
  <c r="E50" i="1" s="1"/>
  <c r="C52" i="1"/>
  <c r="E52" i="1" s="1"/>
  <c r="C53" i="1"/>
  <c r="E53" i="1" s="1"/>
  <c r="D48" i="65"/>
  <c r="E53" i="64"/>
  <c r="E52" i="64"/>
  <c r="G52" i="64"/>
  <c r="E47" i="64"/>
  <c r="K53" i="67"/>
  <c r="M53" i="67" s="1"/>
  <c r="N53" i="67" s="1"/>
  <c r="O53" i="67" s="1"/>
  <c r="P53" i="67" s="1"/>
  <c r="K52" i="67"/>
  <c r="M52" i="67" s="1"/>
  <c r="N52" i="67" s="1"/>
  <c r="O52" i="67" s="1"/>
  <c r="P52" i="67" s="1"/>
  <c r="K50" i="67"/>
  <c r="M50" i="67" s="1"/>
  <c r="K48" i="67"/>
  <c r="M48" i="67" s="1"/>
  <c r="K47" i="67"/>
  <c r="M47" i="67" s="1"/>
  <c r="N47" i="67" s="1"/>
  <c r="O47" i="67" s="1"/>
  <c r="P47" i="67" s="1"/>
  <c r="E45" i="67"/>
  <c r="E47" i="67"/>
  <c r="E48" i="67"/>
  <c r="G47" i="67"/>
  <c r="F47" i="67"/>
  <c r="H47" i="67"/>
  <c r="K46" i="67"/>
  <c r="M46" i="67" s="1"/>
  <c r="N46" i="67" s="1"/>
  <c r="K45" i="67"/>
  <c r="M45" i="67" s="1"/>
  <c r="N45" i="67" s="1"/>
  <c r="O45" i="67" s="1"/>
  <c r="P45" i="67" s="1"/>
  <c r="F45" i="67"/>
  <c r="H45" i="67"/>
  <c r="G45" i="67"/>
  <c r="AO2" i="69" a="1"/>
  <c r="AO2" i="69" s="1"/>
  <c r="AM2" i="69" a="1"/>
  <c r="AM2" i="69" s="1"/>
  <c r="AK2" i="69" a="1"/>
  <c r="AK2" i="69" s="1"/>
  <c r="AI2" i="69" a="1"/>
  <c r="AI2" i="69" s="1"/>
  <c r="AG2" i="69" a="1"/>
  <c r="AG2" i="69" s="1"/>
  <c r="AE2" i="69" a="1"/>
  <c r="AE2" i="69" s="1"/>
  <c r="AC2" i="69" a="1"/>
  <c r="AC2" i="69" s="1"/>
  <c r="AA2" i="69" a="1"/>
  <c r="AA2" i="69" s="1"/>
  <c r="Y2" i="69" a="1"/>
  <c r="Y2" i="69" s="1"/>
  <c r="W2" i="69" a="1"/>
  <c r="W2" i="69" s="1"/>
  <c r="U2" i="69" a="1"/>
  <c r="U2" i="69" s="1"/>
  <c r="S2" i="69" a="1"/>
  <c r="S2" i="69" s="1"/>
  <c r="Q2" i="69" a="1"/>
  <c r="Q2" i="69" s="1"/>
  <c r="O2" i="69" a="1"/>
  <c r="O2" i="69" s="1"/>
  <c r="M2" i="69" a="1"/>
  <c r="M2" i="69" s="1"/>
  <c r="K2" i="69" a="1"/>
  <c r="K2" i="69" s="1"/>
  <c r="I2" i="69" a="1"/>
  <c r="I2" i="69" s="1"/>
  <c r="G2" i="69" a="1"/>
  <c r="G2" i="69" s="1"/>
  <c r="E2" i="69" a="1"/>
  <c r="E2" i="69" s="1"/>
  <c r="C2" i="69" a="1"/>
  <c r="C2" i="69" s="1"/>
  <c r="A2" i="69" a="1"/>
  <c r="A2" i="69" s="1"/>
  <c r="M53" i="58"/>
  <c r="N53" i="58" s="1"/>
  <c r="E52" i="58"/>
  <c r="E53" i="58"/>
  <c r="G53" i="58" s="1"/>
  <c r="E50" i="58"/>
  <c r="E45" i="58"/>
  <c r="E46" i="58"/>
  <c r="F46" i="58" s="1"/>
  <c r="H46" i="58" s="1"/>
  <c r="E47" i="58"/>
  <c r="G47" i="58" s="1"/>
  <c r="E48" i="58"/>
  <c r="F49" i="58" s="1"/>
  <c r="H49" i="58" s="1"/>
  <c r="E52" i="61"/>
  <c r="G52" i="61" s="1"/>
  <c r="E45" i="61"/>
  <c r="C53" i="57"/>
  <c r="E53" i="57" s="1"/>
  <c r="C52" i="57"/>
  <c r="E52" i="57" s="1"/>
  <c r="C50" i="57"/>
  <c r="C48" i="57"/>
  <c r="C47" i="57"/>
  <c r="E47" i="57" s="1"/>
  <c r="C46" i="57"/>
  <c r="E46" i="57" s="1"/>
  <c r="G46" i="57" s="1"/>
  <c r="C45" i="57"/>
  <c r="E45" i="57" s="1"/>
  <c r="D51" i="57"/>
  <c r="D48" i="57"/>
  <c r="M52" i="58"/>
  <c r="N52" i="58" s="1"/>
  <c r="M50" i="58"/>
  <c r="N51" i="58" s="1"/>
  <c r="M45" i="58"/>
  <c r="N45" i="58" s="1"/>
  <c r="M46" i="58"/>
  <c r="N46" i="58" s="1"/>
  <c r="M47" i="58"/>
  <c r="N47" i="58" s="1"/>
  <c r="M48" i="58"/>
  <c r="C53" i="65"/>
  <c r="E53" i="65" s="1"/>
  <c r="O53" i="65" s="1"/>
  <c r="C52" i="65"/>
  <c r="E52" i="65" s="1"/>
  <c r="C50" i="65"/>
  <c r="E50" i="65" s="1"/>
  <c r="G50" i="65" s="1"/>
  <c r="C48" i="65"/>
  <c r="C47" i="65"/>
  <c r="E47" i="65" s="1"/>
  <c r="F47" i="65" s="1"/>
  <c r="H47" i="65" s="1"/>
  <c r="C46" i="65"/>
  <c r="E46" i="65" s="1"/>
  <c r="G46" i="65" s="1"/>
  <c r="C45" i="65"/>
  <c r="E45" i="65" s="1"/>
  <c r="F45" i="65" s="1"/>
  <c r="H45" i="65" s="1"/>
  <c r="O49" i="68"/>
  <c r="O51" i="68"/>
  <c r="O34" i="68"/>
  <c r="O36" i="68"/>
  <c r="O19" i="68"/>
  <c r="O21" i="68"/>
  <c r="O49" i="67"/>
  <c r="P49" i="67" s="1"/>
  <c r="O51" i="67"/>
  <c r="P51" i="67" s="1"/>
  <c r="O34" i="67"/>
  <c r="O36" i="67"/>
  <c r="O19" i="67"/>
  <c r="O21" i="67"/>
  <c r="O49" i="66"/>
  <c r="O51" i="66"/>
  <c r="O34" i="66"/>
  <c r="O36" i="66"/>
  <c r="O19" i="66"/>
  <c r="O21" i="66"/>
  <c r="O49" i="65"/>
  <c r="O51" i="65"/>
  <c r="O34" i="65"/>
  <c r="O36" i="65"/>
  <c r="O19" i="65"/>
  <c r="O21" i="65"/>
  <c r="O49" i="64"/>
  <c r="O51" i="64"/>
  <c r="O34" i="64"/>
  <c r="O36" i="64"/>
  <c r="O19" i="64"/>
  <c r="O21" i="64"/>
  <c r="O49" i="63"/>
  <c r="O51" i="63"/>
  <c r="O34" i="63"/>
  <c r="O36" i="63"/>
  <c r="O19" i="63"/>
  <c r="O21" i="63"/>
  <c r="O49" i="62"/>
  <c r="O51" i="62"/>
  <c r="O34" i="62"/>
  <c r="O36" i="62"/>
  <c r="O19" i="62"/>
  <c r="O21" i="62"/>
  <c r="O49" i="61"/>
  <c r="O51" i="61"/>
  <c r="O34" i="61"/>
  <c r="O36" i="61"/>
  <c r="O19" i="61"/>
  <c r="O21" i="61"/>
  <c r="O49" i="60"/>
  <c r="O51" i="60"/>
  <c r="O34" i="60"/>
  <c r="O36" i="60"/>
  <c r="O19" i="60"/>
  <c r="O21" i="60"/>
  <c r="O49" i="59"/>
  <c r="O51" i="59"/>
  <c r="O34" i="59"/>
  <c r="O36" i="59"/>
  <c r="O19" i="59"/>
  <c r="O21" i="59"/>
  <c r="O49" i="58"/>
  <c r="O51" i="58"/>
  <c r="O34" i="58"/>
  <c r="O36" i="58"/>
  <c r="O19" i="58"/>
  <c r="O21" i="58"/>
  <c r="O49" i="57"/>
  <c r="O51" i="57"/>
  <c r="O34" i="57"/>
  <c r="O36" i="57"/>
  <c r="O19" i="57"/>
  <c r="O21" i="57"/>
  <c r="O49" i="56"/>
  <c r="O51" i="56"/>
  <c r="O34" i="56"/>
  <c r="O36" i="56"/>
  <c r="O19" i="56"/>
  <c r="O21" i="56"/>
  <c r="O49" i="55"/>
  <c r="O51" i="55"/>
  <c r="O34" i="55"/>
  <c r="O36" i="55"/>
  <c r="O19" i="55"/>
  <c r="O21" i="55"/>
  <c r="O49" i="54"/>
  <c r="O51" i="54"/>
  <c r="O34" i="54"/>
  <c r="O36" i="54"/>
  <c r="O19" i="54"/>
  <c r="O21" i="54"/>
  <c r="M53" i="62"/>
  <c r="N53" i="62"/>
  <c r="M52" i="62"/>
  <c r="N52" i="62"/>
  <c r="M47" i="62"/>
  <c r="N47" i="62"/>
  <c r="M46" i="62"/>
  <c r="N46" i="62"/>
  <c r="M45" i="62"/>
  <c r="N45" i="62"/>
  <c r="O49" i="53"/>
  <c r="O51" i="53"/>
  <c r="O34" i="53"/>
  <c r="O36" i="53"/>
  <c r="O19" i="53"/>
  <c r="O21" i="53"/>
  <c r="O49" i="52"/>
  <c r="O51" i="52"/>
  <c r="O34" i="52"/>
  <c r="O36" i="52"/>
  <c r="O19" i="52"/>
  <c r="O21" i="52"/>
  <c r="O46" i="51"/>
  <c r="O49" i="51"/>
  <c r="O51" i="51"/>
  <c r="O34" i="51"/>
  <c r="O36" i="51"/>
  <c r="O19" i="51"/>
  <c r="O21" i="51"/>
  <c r="O45" i="50"/>
  <c r="O46" i="50"/>
  <c r="O47" i="50"/>
  <c r="O48" i="50"/>
  <c r="O49" i="50"/>
  <c r="O50" i="50"/>
  <c r="O51" i="50"/>
  <c r="O52" i="50"/>
  <c r="O53" i="50"/>
  <c r="O34" i="50"/>
  <c r="O36" i="50"/>
  <c r="O19" i="50"/>
  <c r="O21" i="50"/>
  <c r="O49" i="49"/>
  <c r="O51" i="49"/>
  <c r="O34" i="49"/>
  <c r="O36" i="49"/>
  <c r="O19" i="49"/>
  <c r="O21" i="49"/>
  <c r="E53" i="62"/>
  <c r="E52" i="62"/>
  <c r="E50" i="62"/>
  <c r="C48" i="62"/>
  <c r="E48" i="62" s="1"/>
  <c r="C47" i="62"/>
  <c r="E47" i="62" s="1"/>
  <c r="E46" i="62"/>
  <c r="O49" i="1"/>
  <c r="O51" i="1"/>
  <c r="O34" i="1"/>
  <c r="O36" i="1"/>
  <c r="O19" i="1"/>
  <c r="O21" i="1"/>
  <c r="Q53" i="68"/>
  <c r="Q52" i="68"/>
  <c r="Q51" i="68"/>
  <c r="Q50" i="68"/>
  <c r="E50" i="68"/>
  <c r="Q49" i="68"/>
  <c r="Q48" i="68"/>
  <c r="Q47" i="68"/>
  <c r="E47" i="68"/>
  <c r="F47" i="68"/>
  <c r="H47" i="68"/>
  <c r="Q46" i="68"/>
  <c r="E46" i="68"/>
  <c r="O46" i="68"/>
  <c r="Q45" i="68"/>
  <c r="Q38" i="68"/>
  <c r="L38" i="68"/>
  <c r="K38" i="68"/>
  <c r="D38" i="68"/>
  <c r="C38" i="68"/>
  <c r="Q37" i="68"/>
  <c r="L37" i="68"/>
  <c r="K37" i="68"/>
  <c r="D37" i="68"/>
  <c r="C37" i="68"/>
  <c r="Q36" i="68"/>
  <c r="L36" i="68"/>
  <c r="D36" i="68"/>
  <c r="Q35" i="68"/>
  <c r="L35" i="68"/>
  <c r="K35" i="68"/>
  <c r="D35" i="68"/>
  <c r="C35" i="68"/>
  <c r="Q34" i="68"/>
  <c r="L34" i="68"/>
  <c r="D34" i="68"/>
  <c r="Q33" i="68"/>
  <c r="L33" i="68"/>
  <c r="K33" i="68"/>
  <c r="D33" i="68"/>
  <c r="C33" i="68"/>
  <c r="Q32" i="68"/>
  <c r="L32" i="68"/>
  <c r="K32" i="68"/>
  <c r="D32" i="68"/>
  <c r="C32" i="68"/>
  <c r="Q31" i="68"/>
  <c r="L31" i="68"/>
  <c r="K31" i="68"/>
  <c r="D31" i="68"/>
  <c r="C31" i="68"/>
  <c r="Q30" i="68"/>
  <c r="L30" i="68"/>
  <c r="K30" i="68"/>
  <c r="D30" i="68"/>
  <c r="C30" i="68"/>
  <c r="Q23" i="68"/>
  <c r="L23" i="68"/>
  <c r="K23" i="68"/>
  <c r="D23" i="68"/>
  <c r="C23" i="68"/>
  <c r="Q22" i="68"/>
  <c r="L22" i="68"/>
  <c r="K22" i="68"/>
  <c r="D22" i="68"/>
  <c r="C22" i="68"/>
  <c r="Q21" i="68"/>
  <c r="L21" i="68"/>
  <c r="D21" i="68"/>
  <c r="Q20" i="68"/>
  <c r="L20" i="68"/>
  <c r="K20" i="68"/>
  <c r="D20" i="68"/>
  <c r="C20" i="68"/>
  <c r="Q19" i="68"/>
  <c r="L19" i="68"/>
  <c r="D19" i="68"/>
  <c r="Q18" i="68"/>
  <c r="L18" i="68"/>
  <c r="M18" i="68" s="1"/>
  <c r="N19" i="68" s="1"/>
  <c r="K18" i="68"/>
  <c r="D18" i="68"/>
  <c r="C18" i="68"/>
  <c r="Q17" i="68"/>
  <c r="L17" i="68"/>
  <c r="M17" i="68" s="1"/>
  <c r="N17" i="68" s="1"/>
  <c r="K17" i="68"/>
  <c r="D17" i="68"/>
  <c r="C17" i="68"/>
  <c r="Q16" i="68"/>
  <c r="L16" i="68"/>
  <c r="K16" i="68"/>
  <c r="D16" i="68"/>
  <c r="E16" i="68" s="1"/>
  <c r="G16" i="68" s="1"/>
  <c r="C16" i="68"/>
  <c r="Q15" i="68"/>
  <c r="L15" i="68"/>
  <c r="K15" i="68"/>
  <c r="D15" i="68"/>
  <c r="C15" i="68"/>
  <c r="R53" i="67"/>
  <c r="Q53" i="67"/>
  <c r="E53" i="67"/>
  <c r="G53" i="67"/>
  <c r="R52" i="67"/>
  <c r="Q52" i="67"/>
  <c r="E52" i="67"/>
  <c r="G52" i="67"/>
  <c r="R51" i="67"/>
  <c r="Q51" i="67"/>
  <c r="R50" i="67"/>
  <c r="Q50" i="67"/>
  <c r="E50" i="67"/>
  <c r="F51" i="67"/>
  <c r="H51" i="67"/>
  <c r="R49" i="67"/>
  <c r="Q49" i="67"/>
  <c r="R48" i="67"/>
  <c r="Q48" i="67"/>
  <c r="G49" i="67"/>
  <c r="R47" i="67"/>
  <c r="Q47" i="67"/>
  <c r="R46" i="67"/>
  <c r="Q46" i="67"/>
  <c r="E46" i="67"/>
  <c r="R45" i="67"/>
  <c r="Q45" i="67"/>
  <c r="S54" i="67"/>
  <c r="R38" i="67"/>
  <c r="Q38" i="67"/>
  <c r="L38" i="67"/>
  <c r="K38" i="67"/>
  <c r="D38" i="67"/>
  <c r="C38" i="67"/>
  <c r="R37" i="67"/>
  <c r="Q37" i="67"/>
  <c r="L37" i="67"/>
  <c r="K37" i="67"/>
  <c r="D37" i="67"/>
  <c r="C37" i="67"/>
  <c r="R36" i="67"/>
  <c r="Q36" i="67"/>
  <c r="L36" i="67"/>
  <c r="D36" i="67"/>
  <c r="R35" i="67"/>
  <c r="Q35" i="67"/>
  <c r="L35" i="67"/>
  <c r="K35" i="67"/>
  <c r="D35" i="67"/>
  <c r="C35" i="67"/>
  <c r="R34" i="67"/>
  <c r="Q34" i="67"/>
  <c r="L34" i="67"/>
  <c r="D34" i="67"/>
  <c r="D33" i="67"/>
  <c r="C33" i="67"/>
  <c r="R33" i="67"/>
  <c r="Q33" i="67"/>
  <c r="L33" i="67"/>
  <c r="K33" i="67"/>
  <c r="R32" i="67"/>
  <c r="Q32" i="67"/>
  <c r="L32" i="67"/>
  <c r="K32" i="67"/>
  <c r="D32" i="67"/>
  <c r="C32" i="67"/>
  <c r="R31" i="67"/>
  <c r="Q31" i="67"/>
  <c r="L31" i="67"/>
  <c r="K31" i="67"/>
  <c r="D31" i="67"/>
  <c r="C31" i="67"/>
  <c r="R30" i="67"/>
  <c r="Q30" i="67"/>
  <c r="L30" i="67"/>
  <c r="K30" i="67"/>
  <c r="D30" i="67"/>
  <c r="C30" i="67"/>
  <c r="R23" i="67"/>
  <c r="Q23" i="67"/>
  <c r="L23" i="67"/>
  <c r="K23" i="67"/>
  <c r="D23" i="67"/>
  <c r="C23" i="67"/>
  <c r="R22" i="67"/>
  <c r="Q22" i="67"/>
  <c r="L22" i="67"/>
  <c r="M22" i="67" s="1"/>
  <c r="N22" i="67" s="1"/>
  <c r="K22" i="67"/>
  <c r="D22" i="67"/>
  <c r="C22" i="67"/>
  <c r="R21" i="67"/>
  <c r="Q21" i="67"/>
  <c r="L21" i="67"/>
  <c r="D21" i="67"/>
  <c r="R20" i="67"/>
  <c r="Q20" i="67"/>
  <c r="L20" i="67"/>
  <c r="K20" i="67"/>
  <c r="D20" i="67"/>
  <c r="E20" i="67" s="1"/>
  <c r="F21" i="67" s="1"/>
  <c r="H21" i="67" s="1"/>
  <c r="C20" i="67"/>
  <c r="R19" i="67"/>
  <c r="Q19" i="67"/>
  <c r="L19" i="67"/>
  <c r="D19" i="67"/>
  <c r="R18" i="67"/>
  <c r="Q18" i="67"/>
  <c r="L18" i="67"/>
  <c r="K18" i="67"/>
  <c r="D18" i="67"/>
  <c r="C18" i="67"/>
  <c r="R17" i="67"/>
  <c r="Q17" i="67"/>
  <c r="L17" i="67"/>
  <c r="K17" i="67"/>
  <c r="D17" i="67"/>
  <c r="E17" i="67" s="1"/>
  <c r="G17" i="67" s="1"/>
  <c r="C17" i="67"/>
  <c r="R16" i="67"/>
  <c r="Q16" i="67"/>
  <c r="L16" i="67"/>
  <c r="K16" i="67"/>
  <c r="D16" i="67"/>
  <c r="C16" i="67"/>
  <c r="R15" i="67"/>
  <c r="Q15" i="67"/>
  <c r="L15" i="67"/>
  <c r="K15" i="67"/>
  <c r="D15" i="67"/>
  <c r="E15" i="67" s="1"/>
  <c r="G15" i="67" s="1"/>
  <c r="C15" i="67"/>
  <c r="L38" i="66"/>
  <c r="K38" i="66"/>
  <c r="D38" i="66"/>
  <c r="C38" i="66"/>
  <c r="L37" i="66"/>
  <c r="K37" i="66"/>
  <c r="D37" i="66"/>
  <c r="C37" i="66"/>
  <c r="L36" i="66"/>
  <c r="D36" i="66"/>
  <c r="L35" i="66"/>
  <c r="K35" i="66"/>
  <c r="D35" i="66"/>
  <c r="C35" i="66"/>
  <c r="L34" i="66"/>
  <c r="D34" i="66"/>
  <c r="L33" i="66"/>
  <c r="K33" i="66"/>
  <c r="D33" i="66"/>
  <c r="C33" i="66"/>
  <c r="L32" i="66"/>
  <c r="K32" i="66"/>
  <c r="D32" i="66"/>
  <c r="C32" i="66"/>
  <c r="L31" i="66"/>
  <c r="K31" i="66"/>
  <c r="D31" i="66"/>
  <c r="C31" i="66"/>
  <c r="L30" i="66"/>
  <c r="K30" i="66"/>
  <c r="D30" i="66"/>
  <c r="C30" i="66"/>
  <c r="L23" i="66"/>
  <c r="M23" i="66" s="1"/>
  <c r="N23" i="66" s="1"/>
  <c r="K23" i="66"/>
  <c r="D23" i="66"/>
  <c r="E23" i="66" s="1"/>
  <c r="C23" i="66"/>
  <c r="L22" i="66"/>
  <c r="K22" i="66"/>
  <c r="D22" i="66"/>
  <c r="C22" i="66"/>
  <c r="L21" i="66"/>
  <c r="D21" i="66"/>
  <c r="L20" i="66"/>
  <c r="K20" i="66"/>
  <c r="D20" i="66"/>
  <c r="C20" i="66"/>
  <c r="L19" i="66"/>
  <c r="D19" i="66"/>
  <c r="L18" i="66"/>
  <c r="K18" i="66"/>
  <c r="D18" i="66"/>
  <c r="C18" i="66"/>
  <c r="L17" i="66"/>
  <c r="K17" i="66"/>
  <c r="D17" i="66"/>
  <c r="C17" i="66"/>
  <c r="L16" i="66"/>
  <c r="M16" i="66" s="1"/>
  <c r="K16" i="66"/>
  <c r="D16" i="66"/>
  <c r="E16" i="66" s="1"/>
  <c r="F16" i="66" s="1"/>
  <c r="H16" i="66" s="1"/>
  <c r="C16" i="66"/>
  <c r="L15" i="66"/>
  <c r="K15" i="66"/>
  <c r="D15" i="66"/>
  <c r="C15" i="66"/>
  <c r="R53" i="65"/>
  <c r="Q53" i="65"/>
  <c r="M53" i="65"/>
  <c r="N53" i="65"/>
  <c r="R52" i="65"/>
  <c r="Q52" i="65"/>
  <c r="M52" i="65"/>
  <c r="N52" i="65"/>
  <c r="R51" i="65"/>
  <c r="Q51" i="65"/>
  <c r="R50" i="65"/>
  <c r="Q50" i="65"/>
  <c r="M50" i="65"/>
  <c r="N50" i="65"/>
  <c r="N51" i="65"/>
  <c r="R49" i="65"/>
  <c r="Q49" i="65"/>
  <c r="N49" i="65"/>
  <c r="R48" i="65"/>
  <c r="Q48" i="65"/>
  <c r="M48" i="65"/>
  <c r="N48" i="65"/>
  <c r="R47" i="65"/>
  <c r="Q47" i="65"/>
  <c r="M47" i="65"/>
  <c r="N47" i="65"/>
  <c r="R46" i="65"/>
  <c r="Q46" i="65"/>
  <c r="M46" i="65"/>
  <c r="N46" i="65"/>
  <c r="R45" i="65"/>
  <c r="Q45" i="65"/>
  <c r="M45" i="65"/>
  <c r="N45" i="65"/>
  <c r="R38" i="65"/>
  <c r="Q38" i="65"/>
  <c r="L38" i="65"/>
  <c r="K38" i="65"/>
  <c r="D38" i="65"/>
  <c r="C38" i="65"/>
  <c r="R37" i="65"/>
  <c r="Q37" i="65"/>
  <c r="L37" i="65"/>
  <c r="K37" i="65"/>
  <c r="D37" i="65"/>
  <c r="C37" i="65"/>
  <c r="R36" i="65"/>
  <c r="Q36" i="65"/>
  <c r="L36" i="65"/>
  <c r="D36" i="65"/>
  <c r="R35" i="65"/>
  <c r="Q35" i="65"/>
  <c r="L35" i="65"/>
  <c r="K35" i="65"/>
  <c r="D35" i="65"/>
  <c r="C35" i="65"/>
  <c r="R34" i="65"/>
  <c r="Q34" i="65"/>
  <c r="L34" i="65"/>
  <c r="D34" i="65"/>
  <c r="R33" i="65"/>
  <c r="Q33" i="65"/>
  <c r="L33" i="65"/>
  <c r="K33" i="65"/>
  <c r="D33" i="65"/>
  <c r="C33" i="65"/>
  <c r="R32" i="65"/>
  <c r="Q32" i="65"/>
  <c r="L32" i="65"/>
  <c r="K32" i="65"/>
  <c r="D32" i="65"/>
  <c r="C32" i="65"/>
  <c r="R31" i="65"/>
  <c r="Q31" i="65"/>
  <c r="L31" i="65"/>
  <c r="K31" i="65"/>
  <c r="D31" i="65"/>
  <c r="C31" i="65"/>
  <c r="R30" i="65"/>
  <c r="Q30" i="65"/>
  <c r="L30" i="65"/>
  <c r="K30" i="65"/>
  <c r="D30" i="65"/>
  <c r="C30" i="65"/>
  <c r="R23" i="65"/>
  <c r="Q23" i="65"/>
  <c r="L23" i="65"/>
  <c r="K23" i="65"/>
  <c r="D23" i="65"/>
  <c r="E23" i="65" s="1"/>
  <c r="G23" i="65" s="1"/>
  <c r="C23" i="65"/>
  <c r="R22" i="65"/>
  <c r="Q22" i="65"/>
  <c r="L22" i="65"/>
  <c r="K22" i="65"/>
  <c r="D22" i="65"/>
  <c r="C22" i="65"/>
  <c r="R21" i="65"/>
  <c r="Q21" i="65"/>
  <c r="L21" i="65"/>
  <c r="D21" i="65"/>
  <c r="R20" i="65"/>
  <c r="Q20" i="65"/>
  <c r="L20" i="65"/>
  <c r="M20" i="65" s="1"/>
  <c r="K20" i="65"/>
  <c r="D20" i="65"/>
  <c r="C20" i="65"/>
  <c r="R19" i="65"/>
  <c r="Q19" i="65"/>
  <c r="L19" i="65"/>
  <c r="D19" i="65"/>
  <c r="R18" i="65"/>
  <c r="Q18" i="65"/>
  <c r="L18" i="65"/>
  <c r="K18" i="65"/>
  <c r="D18" i="65"/>
  <c r="C18" i="65"/>
  <c r="R17" i="65"/>
  <c r="Q17" i="65"/>
  <c r="L17" i="65"/>
  <c r="K17" i="65"/>
  <c r="D17" i="65"/>
  <c r="C17" i="65"/>
  <c r="R16" i="65"/>
  <c r="Q16" i="65"/>
  <c r="L16" i="65"/>
  <c r="M16" i="65" s="1"/>
  <c r="K16" i="65"/>
  <c r="D16" i="65"/>
  <c r="E16" i="65" s="1"/>
  <c r="F16" i="65" s="1"/>
  <c r="H16" i="65" s="1"/>
  <c r="C16" i="65"/>
  <c r="R15" i="65"/>
  <c r="Q15" i="65"/>
  <c r="L15" i="65"/>
  <c r="K15" i="65"/>
  <c r="D15" i="65"/>
  <c r="C15" i="65"/>
  <c r="R53" i="64"/>
  <c r="Q53" i="64"/>
  <c r="M53" i="64"/>
  <c r="N53" i="64"/>
  <c r="R52" i="64"/>
  <c r="Q52" i="64"/>
  <c r="M52" i="64"/>
  <c r="N52" i="64"/>
  <c r="R51" i="64"/>
  <c r="Q51" i="64"/>
  <c r="R50" i="64"/>
  <c r="Q50" i="64"/>
  <c r="M50" i="64"/>
  <c r="N50" i="64"/>
  <c r="N51" i="64"/>
  <c r="R49" i="64"/>
  <c r="Q49" i="64"/>
  <c r="R48" i="64"/>
  <c r="Q48" i="64"/>
  <c r="M48" i="64"/>
  <c r="N48" i="64"/>
  <c r="R47" i="64"/>
  <c r="Q47" i="64"/>
  <c r="M47" i="64"/>
  <c r="N47" i="64"/>
  <c r="R46" i="64"/>
  <c r="Q46" i="64"/>
  <c r="M46" i="64"/>
  <c r="N46" i="64"/>
  <c r="R45" i="64"/>
  <c r="Q45" i="64"/>
  <c r="M45" i="64"/>
  <c r="N45" i="64"/>
  <c r="R38" i="64"/>
  <c r="Q38" i="64"/>
  <c r="L38" i="64"/>
  <c r="K38" i="64"/>
  <c r="D38" i="64"/>
  <c r="C38" i="64"/>
  <c r="R37" i="64"/>
  <c r="Q37" i="64"/>
  <c r="L37" i="64"/>
  <c r="K37" i="64"/>
  <c r="D37" i="64"/>
  <c r="C37" i="64"/>
  <c r="R36" i="64"/>
  <c r="Q36" i="64"/>
  <c r="L36" i="64"/>
  <c r="D36" i="64"/>
  <c r="R35" i="64"/>
  <c r="Q35" i="64"/>
  <c r="L35" i="64"/>
  <c r="K35" i="64"/>
  <c r="D35" i="64"/>
  <c r="C35" i="64"/>
  <c r="R34" i="64"/>
  <c r="Q34" i="64"/>
  <c r="L34" i="64"/>
  <c r="D34" i="64"/>
  <c r="R33" i="64"/>
  <c r="Q33" i="64"/>
  <c r="L33" i="64"/>
  <c r="K33" i="64"/>
  <c r="D33" i="64"/>
  <c r="C33" i="64"/>
  <c r="R32" i="64"/>
  <c r="Q32" i="64"/>
  <c r="L32" i="64"/>
  <c r="K32" i="64"/>
  <c r="D32" i="64"/>
  <c r="C32" i="64"/>
  <c r="R31" i="64"/>
  <c r="Q31" i="64"/>
  <c r="L31" i="64"/>
  <c r="K31" i="64"/>
  <c r="D31" i="64"/>
  <c r="C31" i="64"/>
  <c r="R30" i="64"/>
  <c r="Q30" i="64"/>
  <c r="L30" i="64"/>
  <c r="K30" i="64"/>
  <c r="D30" i="64"/>
  <c r="E30" i="64" s="1"/>
  <c r="O30" i="64" s="1"/>
  <c r="C30" i="64"/>
  <c r="R23" i="64"/>
  <c r="Q23" i="64"/>
  <c r="L23" i="64"/>
  <c r="K23" i="64"/>
  <c r="D23" i="64"/>
  <c r="E23" i="64" s="1"/>
  <c r="G23" i="64" s="1"/>
  <c r="C23" i="64"/>
  <c r="R22" i="64"/>
  <c r="Q22" i="64"/>
  <c r="L22" i="64"/>
  <c r="K22" i="64"/>
  <c r="D22" i="64"/>
  <c r="C22" i="64"/>
  <c r="R21" i="64"/>
  <c r="Q21" i="64"/>
  <c r="L21" i="64"/>
  <c r="D21" i="64"/>
  <c r="R20" i="64"/>
  <c r="Q20" i="64"/>
  <c r="L20" i="64"/>
  <c r="K20" i="64"/>
  <c r="D20" i="64"/>
  <c r="C20" i="64"/>
  <c r="R19" i="64"/>
  <c r="Q19" i="64"/>
  <c r="L19" i="64"/>
  <c r="D19" i="64"/>
  <c r="R18" i="64"/>
  <c r="Q18" i="64"/>
  <c r="L18" i="64"/>
  <c r="M18" i="64" s="1"/>
  <c r="N18" i="64" s="1"/>
  <c r="K18" i="64"/>
  <c r="D18" i="64"/>
  <c r="C18" i="64"/>
  <c r="R17" i="64"/>
  <c r="Q17" i="64"/>
  <c r="L17" i="64"/>
  <c r="M17" i="64" s="1"/>
  <c r="N16" i="64" s="1"/>
  <c r="K17" i="64"/>
  <c r="D17" i="64"/>
  <c r="C17" i="64"/>
  <c r="R16" i="64"/>
  <c r="Q16" i="64"/>
  <c r="L16" i="64"/>
  <c r="M16" i="64" s="1"/>
  <c r="K16" i="64"/>
  <c r="D16" i="64"/>
  <c r="C16" i="64"/>
  <c r="R15" i="64"/>
  <c r="Q15" i="64"/>
  <c r="L15" i="64"/>
  <c r="M15" i="64" s="1"/>
  <c r="N15" i="64" s="1"/>
  <c r="K15" i="64"/>
  <c r="D15" i="64"/>
  <c r="C15" i="64"/>
  <c r="R53" i="63"/>
  <c r="Q53" i="63"/>
  <c r="R52" i="63"/>
  <c r="Q52" i="63"/>
  <c r="R51" i="63"/>
  <c r="Q51" i="63"/>
  <c r="R50" i="63"/>
  <c r="Q50" i="63"/>
  <c r="R49" i="63"/>
  <c r="Q49" i="63"/>
  <c r="R48" i="63"/>
  <c r="Q48" i="63"/>
  <c r="R47" i="63"/>
  <c r="Q47" i="63"/>
  <c r="R46" i="63"/>
  <c r="Q46" i="63"/>
  <c r="R45" i="63"/>
  <c r="Q45" i="63"/>
  <c r="R38" i="63"/>
  <c r="Q38" i="63"/>
  <c r="L38" i="63"/>
  <c r="K38" i="63"/>
  <c r="D38" i="63"/>
  <c r="C38" i="63"/>
  <c r="R37" i="63"/>
  <c r="Q37" i="63"/>
  <c r="L37" i="63"/>
  <c r="K37" i="63"/>
  <c r="D37" i="63"/>
  <c r="C37" i="63"/>
  <c r="R36" i="63"/>
  <c r="Q36" i="63"/>
  <c r="L36" i="63"/>
  <c r="D36" i="63"/>
  <c r="R35" i="63"/>
  <c r="Q35" i="63"/>
  <c r="L35" i="63"/>
  <c r="K35" i="63"/>
  <c r="D35" i="63"/>
  <c r="C35" i="63"/>
  <c r="R34" i="63"/>
  <c r="Q34" i="63"/>
  <c r="L34" i="63"/>
  <c r="D34" i="63"/>
  <c r="R33" i="63"/>
  <c r="Q33" i="63"/>
  <c r="L33" i="63"/>
  <c r="K33" i="63"/>
  <c r="D33" i="63"/>
  <c r="C33" i="63"/>
  <c r="R32" i="63"/>
  <c r="Q32" i="63"/>
  <c r="L32" i="63"/>
  <c r="K32" i="63"/>
  <c r="D32" i="63"/>
  <c r="C32" i="63"/>
  <c r="R31" i="63"/>
  <c r="Q31" i="63"/>
  <c r="L31" i="63"/>
  <c r="K31" i="63"/>
  <c r="D31" i="63"/>
  <c r="C31" i="63"/>
  <c r="R30" i="63"/>
  <c r="Q30" i="63"/>
  <c r="L30" i="63"/>
  <c r="K30" i="63"/>
  <c r="D30" i="63"/>
  <c r="C30" i="63"/>
  <c r="R23" i="63"/>
  <c r="Q23" i="63"/>
  <c r="L23" i="63"/>
  <c r="M23" i="63" s="1"/>
  <c r="N23" i="63" s="1"/>
  <c r="K23" i="63"/>
  <c r="D23" i="63"/>
  <c r="C23" i="63"/>
  <c r="R22" i="63"/>
  <c r="Q22" i="63"/>
  <c r="L22" i="63"/>
  <c r="K22" i="63"/>
  <c r="D22" i="63"/>
  <c r="C22" i="63"/>
  <c r="R21" i="63"/>
  <c r="Q21" i="63"/>
  <c r="L21" i="63"/>
  <c r="D21" i="63"/>
  <c r="R20" i="63"/>
  <c r="Q20" i="63"/>
  <c r="L20" i="63"/>
  <c r="M20" i="63" s="1"/>
  <c r="N21" i="63" s="1"/>
  <c r="K20" i="63"/>
  <c r="D20" i="63"/>
  <c r="C20" i="63"/>
  <c r="R19" i="63"/>
  <c r="Q19" i="63"/>
  <c r="L19" i="63"/>
  <c r="D19" i="63"/>
  <c r="R18" i="63"/>
  <c r="Q18" i="63"/>
  <c r="L18" i="63"/>
  <c r="K18" i="63"/>
  <c r="D18" i="63"/>
  <c r="C18" i="63"/>
  <c r="R17" i="63"/>
  <c r="Q17" i="63"/>
  <c r="L17" i="63"/>
  <c r="K17" i="63"/>
  <c r="D17" i="63"/>
  <c r="E17" i="63" s="1"/>
  <c r="C17" i="63"/>
  <c r="R16" i="63"/>
  <c r="Q16" i="63"/>
  <c r="L16" i="63"/>
  <c r="K16" i="63"/>
  <c r="D16" i="63"/>
  <c r="E16" i="63" s="1"/>
  <c r="G16" i="63" s="1"/>
  <c r="C16" i="63"/>
  <c r="R15" i="63"/>
  <c r="Q15" i="63"/>
  <c r="L15" i="63"/>
  <c r="K15" i="63"/>
  <c r="D15" i="63"/>
  <c r="C15" i="63"/>
  <c r="R53" i="62"/>
  <c r="Q53" i="62"/>
  <c r="R52" i="62"/>
  <c r="Q52" i="62"/>
  <c r="R51" i="62"/>
  <c r="Q51" i="62"/>
  <c r="R50" i="62"/>
  <c r="Q50" i="62"/>
  <c r="R49" i="62"/>
  <c r="Q49" i="62"/>
  <c r="R48" i="62"/>
  <c r="Q48" i="62"/>
  <c r="R47" i="62"/>
  <c r="Q47" i="62"/>
  <c r="R46" i="62"/>
  <c r="Q46" i="62"/>
  <c r="R45" i="62"/>
  <c r="Q45" i="62"/>
  <c r="R38" i="62"/>
  <c r="Q38" i="62"/>
  <c r="L38" i="62"/>
  <c r="K38" i="62"/>
  <c r="D38" i="62"/>
  <c r="C38" i="62"/>
  <c r="R37" i="62"/>
  <c r="Q37" i="62"/>
  <c r="L37" i="62"/>
  <c r="K37" i="62"/>
  <c r="D37" i="62"/>
  <c r="C37" i="62"/>
  <c r="R36" i="62"/>
  <c r="Q36" i="62"/>
  <c r="L36" i="62"/>
  <c r="D36" i="62"/>
  <c r="R35" i="62"/>
  <c r="Q35" i="62"/>
  <c r="L35" i="62"/>
  <c r="K35" i="62"/>
  <c r="D35" i="62"/>
  <c r="C35" i="62"/>
  <c r="R34" i="62"/>
  <c r="Q34" i="62"/>
  <c r="L34" i="62"/>
  <c r="D34" i="62"/>
  <c r="R33" i="62"/>
  <c r="Q33" i="62"/>
  <c r="L33" i="62"/>
  <c r="K33" i="62"/>
  <c r="D33" i="62"/>
  <c r="C33" i="62"/>
  <c r="R32" i="62"/>
  <c r="Q32" i="62"/>
  <c r="L32" i="62"/>
  <c r="K32" i="62"/>
  <c r="D32" i="62"/>
  <c r="C32" i="62"/>
  <c r="R31" i="62"/>
  <c r="Q31" i="62"/>
  <c r="L31" i="62"/>
  <c r="K31" i="62"/>
  <c r="D31" i="62"/>
  <c r="C31" i="62"/>
  <c r="R30" i="62"/>
  <c r="Q30" i="62"/>
  <c r="L30" i="62"/>
  <c r="K30" i="62"/>
  <c r="D30" i="62"/>
  <c r="C30" i="62"/>
  <c r="R23" i="62"/>
  <c r="Q23" i="62"/>
  <c r="L23" i="62"/>
  <c r="K23" i="62"/>
  <c r="D23" i="62"/>
  <c r="E23" i="62" s="1"/>
  <c r="G23" i="62" s="1"/>
  <c r="C23" i="62"/>
  <c r="R22" i="62"/>
  <c r="Q22" i="62"/>
  <c r="L22" i="62"/>
  <c r="M22" i="62" s="1"/>
  <c r="N22" i="62" s="1"/>
  <c r="K22" i="62"/>
  <c r="D22" i="62"/>
  <c r="C22" i="62"/>
  <c r="R21" i="62"/>
  <c r="Q21" i="62"/>
  <c r="L21" i="62"/>
  <c r="D21" i="62"/>
  <c r="R20" i="62"/>
  <c r="Q20" i="62"/>
  <c r="L20" i="62"/>
  <c r="K20" i="62"/>
  <c r="D20" i="62"/>
  <c r="C20" i="62"/>
  <c r="R19" i="62"/>
  <c r="Q19" i="62"/>
  <c r="L19" i="62"/>
  <c r="D19" i="62"/>
  <c r="R18" i="62"/>
  <c r="Q18" i="62"/>
  <c r="L18" i="62"/>
  <c r="M18" i="62" s="1"/>
  <c r="N19" i="62" s="1"/>
  <c r="K18" i="62"/>
  <c r="D18" i="62"/>
  <c r="C18" i="62"/>
  <c r="R17" i="62"/>
  <c r="Q17" i="62"/>
  <c r="L17" i="62"/>
  <c r="K17" i="62"/>
  <c r="D17" i="62"/>
  <c r="C17" i="62"/>
  <c r="R16" i="62"/>
  <c r="Q16" i="62"/>
  <c r="L16" i="62"/>
  <c r="M16" i="62" s="1"/>
  <c r="K16" i="62"/>
  <c r="D16" i="62"/>
  <c r="C16" i="62"/>
  <c r="R15" i="62"/>
  <c r="Q15" i="62"/>
  <c r="L15" i="62"/>
  <c r="K15" i="62"/>
  <c r="D15" i="62"/>
  <c r="C15" i="62"/>
  <c r="R53" i="61"/>
  <c r="Q53" i="61"/>
  <c r="R52" i="61"/>
  <c r="Q52" i="61"/>
  <c r="M52" i="61"/>
  <c r="N52" i="61" s="1"/>
  <c r="R51" i="61"/>
  <c r="Q51" i="61"/>
  <c r="R50" i="61"/>
  <c r="Q50" i="61"/>
  <c r="R49" i="61"/>
  <c r="Q49" i="61"/>
  <c r="R48" i="61"/>
  <c r="Q48" i="61"/>
  <c r="R47" i="61"/>
  <c r="Q47" i="61"/>
  <c r="R46" i="61"/>
  <c r="Q46" i="61"/>
  <c r="R45" i="61"/>
  <c r="Q45" i="61"/>
  <c r="R38" i="61"/>
  <c r="Q38" i="61"/>
  <c r="L38" i="61"/>
  <c r="K38" i="61"/>
  <c r="D38" i="61"/>
  <c r="C38" i="61"/>
  <c r="R37" i="61"/>
  <c r="Q37" i="61"/>
  <c r="L37" i="61"/>
  <c r="K37" i="61"/>
  <c r="D37" i="61"/>
  <c r="C37" i="61"/>
  <c r="R36" i="61"/>
  <c r="Q36" i="61"/>
  <c r="L36" i="61"/>
  <c r="D36" i="61"/>
  <c r="R35" i="61"/>
  <c r="Q35" i="61"/>
  <c r="L35" i="61"/>
  <c r="K35" i="61"/>
  <c r="D35" i="61"/>
  <c r="C35" i="61"/>
  <c r="R34" i="61"/>
  <c r="Q34" i="61"/>
  <c r="L34" i="61"/>
  <c r="D34" i="61"/>
  <c r="R33" i="61"/>
  <c r="Q33" i="61"/>
  <c r="L33" i="61"/>
  <c r="K33" i="61"/>
  <c r="D33" i="61"/>
  <c r="C33" i="61"/>
  <c r="R32" i="61"/>
  <c r="Q32" i="61"/>
  <c r="L32" i="61"/>
  <c r="K32" i="61"/>
  <c r="D32" i="61"/>
  <c r="C32" i="61"/>
  <c r="R31" i="61"/>
  <c r="Q31" i="61"/>
  <c r="L31" i="61"/>
  <c r="K31" i="61"/>
  <c r="D31" i="61"/>
  <c r="C31" i="61"/>
  <c r="R30" i="61"/>
  <c r="Q30" i="61"/>
  <c r="L30" i="61"/>
  <c r="K30" i="61"/>
  <c r="D30" i="61"/>
  <c r="C30" i="61"/>
  <c r="R23" i="61"/>
  <c r="Q23" i="61"/>
  <c r="L23" i="61"/>
  <c r="K23" i="61"/>
  <c r="D23" i="61"/>
  <c r="C23" i="61"/>
  <c r="R22" i="61"/>
  <c r="Q22" i="61"/>
  <c r="L22" i="61"/>
  <c r="M22" i="61" s="1"/>
  <c r="N22" i="61" s="1"/>
  <c r="K22" i="61"/>
  <c r="D22" i="61"/>
  <c r="E22" i="61" s="1"/>
  <c r="G22" i="61" s="1"/>
  <c r="C22" i="61"/>
  <c r="R21" i="61"/>
  <c r="Q21" i="61"/>
  <c r="L21" i="61"/>
  <c r="D21" i="61"/>
  <c r="R20" i="61"/>
  <c r="Q20" i="61"/>
  <c r="L20" i="61"/>
  <c r="K20" i="61"/>
  <c r="D20" i="61"/>
  <c r="C20" i="61"/>
  <c r="R19" i="61"/>
  <c r="Q19" i="61"/>
  <c r="L19" i="61"/>
  <c r="D19" i="61"/>
  <c r="R18" i="61"/>
  <c r="Q18" i="61"/>
  <c r="L18" i="61"/>
  <c r="K18" i="61"/>
  <c r="D18" i="61"/>
  <c r="C18" i="61"/>
  <c r="R17" i="61"/>
  <c r="Q17" i="61"/>
  <c r="L17" i="61"/>
  <c r="K17" i="61"/>
  <c r="D17" i="61"/>
  <c r="C17" i="61"/>
  <c r="R16" i="61"/>
  <c r="Q16" i="61"/>
  <c r="L16" i="61"/>
  <c r="K16" i="61"/>
  <c r="D16" i="61"/>
  <c r="C16" i="61"/>
  <c r="R15" i="61"/>
  <c r="Q15" i="61"/>
  <c r="L15" i="61"/>
  <c r="K15" i="61"/>
  <c r="D15" i="61"/>
  <c r="C15" i="61"/>
  <c r="R53" i="60"/>
  <c r="M53" i="60"/>
  <c r="N53" i="60" s="1"/>
  <c r="E53" i="60"/>
  <c r="G53" i="60" s="1"/>
  <c r="R52" i="60"/>
  <c r="Q52" i="60"/>
  <c r="M52" i="60"/>
  <c r="N52" i="60" s="1"/>
  <c r="E52" i="60"/>
  <c r="R51" i="60"/>
  <c r="R50" i="60"/>
  <c r="E50" i="60"/>
  <c r="F51" i="60" s="1"/>
  <c r="H51" i="60" s="1"/>
  <c r="R49" i="60"/>
  <c r="R48" i="60"/>
  <c r="M48" i="60"/>
  <c r="N48" i="60" s="1"/>
  <c r="R47" i="60"/>
  <c r="M47" i="60"/>
  <c r="N47" i="60" s="1"/>
  <c r="E47" i="60"/>
  <c r="G47" i="60" s="1"/>
  <c r="R46" i="60"/>
  <c r="Q46" i="60"/>
  <c r="M46" i="60"/>
  <c r="N46" i="60" s="1"/>
  <c r="E46" i="60"/>
  <c r="R45" i="60"/>
  <c r="M45" i="60"/>
  <c r="N45" i="60" s="1"/>
  <c r="E45" i="60"/>
  <c r="G45" i="60" s="1"/>
  <c r="R38" i="60"/>
  <c r="L38" i="60"/>
  <c r="K38" i="60"/>
  <c r="D38" i="60"/>
  <c r="C38" i="60"/>
  <c r="R37" i="60"/>
  <c r="Q37" i="60"/>
  <c r="L37" i="60"/>
  <c r="K37" i="60"/>
  <c r="D37" i="60"/>
  <c r="C37" i="60"/>
  <c r="R36" i="60"/>
  <c r="L36" i="60"/>
  <c r="D36" i="60"/>
  <c r="R35" i="60"/>
  <c r="L35" i="60"/>
  <c r="K35" i="60"/>
  <c r="D35" i="60"/>
  <c r="C35" i="60"/>
  <c r="R34" i="60"/>
  <c r="L34" i="60"/>
  <c r="D34" i="60"/>
  <c r="R33" i="60"/>
  <c r="L33" i="60"/>
  <c r="K33" i="60"/>
  <c r="D33" i="60"/>
  <c r="C33" i="60"/>
  <c r="R32" i="60"/>
  <c r="L32" i="60"/>
  <c r="K32" i="60"/>
  <c r="D32" i="60"/>
  <c r="C32" i="60"/>
  <c r="R31" i="60"/>
  <c r="Q31" i="60"/>
  <c r="L31" i="60"/>
  <c r="K31" i="60"/>
  <c r="D31" i="60"/>
  <c r="C31" i="60"/>
  <c r="R30" i="60"/>
  <c r="L30" i="60"/>
  <c r="K30" i="60"/>
  <c r="D30" i="60"/>
  <c r="C30" i="60"/>
  <c r="R23" i="60"/>
  <c r="L23" i="60"/>
  <c r="K23" i="60"/>
  <c r="D23" i="60"/>
  <c r="C23" i="60"/>
  <c r="R22" i="60"/>
  <c r="Q22" i="60"/>
  <c r="L22" i="60"/>
  <c r="K22" i="60"/>
  <c r="D22" i="60"/>
  <c r="C22" i="60"/>
  <c r="R21" i="60"/>
  <c r="L21" i="60"/>
  <c r="D21" i="60"/>
  <c r="R20" i="60"/>
  <c r="L20" i="60"/>
  <c r="K20" i="60"/>
  <c r="D20" i="60"/>
  <c r="C20" i="60"/>
  <c r="R19" i="60"/>
  <c r="L19" i="60"/>
  <c r="D19" i="60"/>
  <c r="R18" i="60"/>
  <c r="L18" i="60"/>
  <c r="K18" i="60"/>
  <c r="D18" i="60"/>
  <c r="C18" i="60"/>
  <c r="R17" i="60"/>
  <c r="L17" i="60"/>
  <c r="K17" i="60"/>
  <c r="D17" i="60"/>
  <c r="C17" i="60"/>
  <c r="R16" i="60"/>
  <c r="Q16" i="60"/>
  <c r="L16" i="60"/>
  <c r="M16" i="60" s="1"/>
  <c r="K16" i="60"/>
  <c r="D16" i="60"/>
  <c r="C16" i="60"/>
  <c r="R15" i="60"/>
  <c r="L15" i="60"/>
  <c r="M15" i="60" s="1"/>
  <c r="N15" i="60" s="1"/>
  <c r="K15" i="60"/>
  <c r="D15" i="60"/>
  <c r="C15" i="60"/>
  <c r="R53" i="59"/>
  <c r="Q53" i="59"/>
  <c r="M53" i="59"/>
  <c r="N53" i="59"/>
  <c r="E53" i="59"/>
  <c r="G53" i="59"/>
  <c r="R52" i="59"/>
  <c r="Q52" i="59"/>
  <c r="M52" i="59"/>
  <c r="N52" i="59"/>
  <c r="E52" i="59"/>
  <c r="R51" i="59"/>
  <c r="Q51" i="59"/>
  <c r="R50" i="59"/>
  <c r="Q50" i="59"/>
  <c r="M50" i="59"/>
  <c r="N50" i="59"/>
  <c r="E50" i="59"/>
  <c r="R49" i="59"/>
  <c r="Q49" i="59"/>
  <c r="R48" i="59"/>
  <c r="Q48" i="59"/>
  <c r="N48" i="59"/>
  <c r="M48" i="59"/>
  <c r="N49" i="59"/>
  <c r="E48" i="59"/>
  <c r="R47" i="59"/>
  <c r="Q47" i="59"/>
  <c r="N47" i="59"/>
  <c r="M47" i="59"/>
  <c r="E47" i="59"/>
  <c r="F47" i="59" s="1"/>
  <c r="H47" i="59" s="1"/>
  <c r="O47" i="59"/>
  <c r="G47" i="59"/>
  <c r="R46" i="59"/>
  <c r="Q46" i="59"/>
  <c r="N46" i="59"/>
  <c r="M46" i="59"/>
  <c r="E46" i="59"/>
  <c r="O46" i="59" s="1"/>
  <c r="R45" i="59"/>
  <c r="R54" i="59"/>
  <c r="Q45" i="59"/>
  <c r="Q54" i="59"/>
  <c r="N45" i="59"/>
  <c r="M45" i="59"/>
  <c r="E45" i="59"/>
  <c r="S54" i="59"/>
  <c r="R38" i="59"/>
  <c r="Q38" i="59"/>
  <c r="L38" i="59"/>
  <c r="K38" i="59"/>
  <c r="D38" i="59"/>
  <c r="C38" i="59"/>
  <c r="R37" i="59"/>
  <c r="Q37" i="59"/>
  <c r="L37" i="59"/>
  <c r="K37" i="59"/>
  <c r="D37" i="59"/>
  <c r="C37" i="59"/>
  <c r="R36" i="59"/>
  <c r="Q36" i="59"/>
  <c r="L36" i="59"/>
  <c r="D36" i="59"/>
  <c r="R35" i="59"/>
  <c r="Q35" i="59"/>
  <c r="L35" i="59"/>
  <c r="K35" i="59"/>
  <c r="D35" i="59"/>
  <c r="C35" i="59"/>
  <c r="R34" i="59"/>
  <c r="Q34" i="59"/>
  <c r="L34" i="59"/>
  <c r="D34" i="59"/>
  <c r="R33" i="59"/>
  <c r="Q33" i="59"/>
  <c r="L33" i="59"/>
  <c r="K33" i="59"/>
  <c r="D33" i="59"/>
  <c r="C33" i="59"/>
  <c r="R32" i="59"/>
  <c r="Q32" i="59"/>
  <c r="L32" i="59"/>
  <c r="K32" i="59"/>
  <c r="D32" i="59"/>
  <c r="C32" i="59"/>
  <c r="R31" i="59"/>
  <c r="Q31" i="59"/>
  <c r="L31" i="59"/>
  <c r="K31" i="59"/>
  <c r="D31" i="59"/>
  <c r="C31" i="59"/>
  <c r="R30" i="59"/>
  <c r="Q30" i="59"/>
  <c r="L30" i="59"/>
  <c r="K30" i="59"/>
  <c r="D30" i="59"/>
  <c r="C30" i="59"/>
  <c r="R23" i="59"/>
  <c r="Q23" i="59"/>
  <c r="L23" i="59"/>
  <c r="K23" i="59"/>
  <c r="D23" i="59"/>
  <c r="C23" i="59"/>
  <c r="R22" i="59"/>
  <c r="Q22" i="59"/>
  <c r="L22" i="59"/>
  <c r="K22" i="59"/>
  <c r="D22" i="59"/>
  <c r="C22" i="59"/>
  <c r="R21" i="59"/>
  <c r="Q21" i="59"/>
  <c r="L21" i="59"/>
  <c r="D21" i="59"/>
  <c r="R20" i="59"/>
  <c r="Q20" i="59"/>
  <c r="L20" i="59"/>
  <c r="K20" i="59"/>
  <c r="D20" i="59"/>
  <c r="C20" i="59"/>
  <c r="R19" i="59"/>
  <c r="Q19" i="59"/>
  <c r="L19" i="59"/>
  <c r="D19" i="59"/>
  <c r="R18" i="59"/>
  <c r="Q18" i="59"/>
  <c r="L18" i="59"/>
  <c r="K18" i="59"/>
  <c r="D18" i="59"/>
  <c r="C18" i="59"/>
  <c r="R17" i="59"/>
  <c r="Q17" i="59"/>
  <c r="L17" i="59"/>
  <c r="K17" i="59"/>
  <c r="D17" i="59"/>
  <c r="E17" i="59" s="1"/>
  <c r="G17" i="59" s="1"/>
  <c r="C17" i="59"/>
  <c r="R16" i="59"/>
  <c r="Q16" i="59"/>
  <c r="L16" i="59"/>
  <c r="K16" i="59"/>
  <c r="D16" i="59"/>
  <c r="C16" i="59"/>
  <c r="R15" i="59"/>
  <c r="Q15" i="59"/>
  <c r="L15" i="59"/>
  <c r="K15" i="59"/>
  <c r="D15" i="59"/>
  <c r="E15" i="59" s="1"/>
  <c r="G15" i="59" s="1"/>
  <c r="C15" i="59"/>
  <c r="R53" i="58"/>
  <c r="Q53" i="58"/>
  <c r="R52" i="58"/>
  <c r="Q52" i="58"/>
  <c r="R51" i="58"/>
  <c r="Q51" i="58"/>
  <c r="R50" i="58"/>
  <c r="Q50" i="58"/>
  <c r="R49" i="58"/>
  <c r="Q49" i="58"/>
  <c r="R48" i="58"/>
  <c r="Q48" i="58"/>
  <c r="R47" i="58"/>
  <c r="Q47" i="58"/>
  <c r="R46" i="58"/>
  <c r="Q46" i="58"/>
  <c r="R45" i="58"/>
  <c r="Q45" i="58"/>
  <c r="R38" i="58"/>
  <c r="Q38" i="58"/>
  <c r="L38" i="58"/>
  <c r="K38" i="58"/>
  <c r="D38" i="58"/>
  <c r="C38" i="58"/>
  <c r="R37" i="58"/>
  <c r="Q37" i="58"/>
  <c r="L37" i="58"/>
  <c r="K37" i="58"/>
  <c r="D37" i="58"/>
  <c r="C37" i="58"/>
  <c r="R36" i="58"/>
  <c r="Q36" i="58"/>
  <c r="L36" i="58"/>
  <c r="D36" i="58"/>
  <c r="R35" i="58"/>
  <c r="Q35" i="58"/>
  <c r="L35" i="58"/>
  <c r="K35" i="58"/>
  <c r="D35" i="58"/>
  <c r="C35" i="58"/>
  <c r="R34" i="58"/>
  <c r="Q34" i="58"/>
  <c r="L34" i="58"/>
  <c r="D34" i="58"/>
  <c r="R33" i="58"/>
  <c r="Q33" i="58"/>
  <c r="L33" i="58"/>
  <c r="K33" i="58"/>
  <c r="D33" i="58"/>
  <c r="C33" i="58"/>
  <c r="R32" i="58"/>
  <c r="Q32" i="58"/>
  <c r="L32" i="58"/>
  <c r="K32" i="58"/>
  <c r="D32" i="58"/>
  <c r="C32" i="58"/>
  <c r="R31" i="58"/>
  <c r="Q31" i="58"/>
  <c r="L31" i="58"/>
  <c r="K31" i="58"/>
  <c r="D31" i="58"/>
  <c r="C31" i="58"/>
  <c r="R30" i="58"/>
  <c r="Q30" i="58"/>
  <c r="L30" i="58"/>
  <c r="K30" i="58"/>
  <c r="D30" i="58"/>
  <c r="C30" i="58"/>
  <c r="R23" i="58"/>
  <c r="Q23" i="58"/>
  <c r="L23" i="58"/>
  <c r="K23" i="58"/>
  <c r="D23" i="58"/>
  <c r="C23" i="58"/>
  <c r="R22" i="58"/>
  <c r="Q22" i="58"/>
  <c r="L22" i="58"/>
  <c r="M22" i="58" s="1"/>
  <c r="N22" i="58" s="1"/>
  <c r="K22" i="58"/>
  <c r="D22" i="58"/>
  <c r="E22" i="58" s="1"/>
  <c r="F22" i="58" s="1"/>
  <c r="H22" i="58" s="1"/>
  <c r="C22" i="58"/>
  <c r="R21" i="58"/>
  <c r="Q21" i="58"/>
  <c r="L21" i="58"/>
  <c r="D21" i="58"/>
  <c r="R20" i="58"/>
  <c r="Q20" i="58"/>
  <c r="L20" i="58"/>
  <c r="K20" i="58"/>
  <c r="D20" i="58"/>
  <c r="C20" i="58"/>
  <c r="R19" i="58"/>
  <c r="Q19" i="58"/>
  <c r="L19" i="58"/>
  <c r="D19" i="58"/>
  <c r="R18" i="58"/>
  <c r="Q18" i="58"/>
  <c r="L18" i="58"/>
  <c r="K18" i="58"/>
  <c r="D18" i="58"/>
  <c r="C18" i="58"/>
  <c r="R17" i="58"/>
  <c r="Q17" i="58"/>
  <c r="L17" i="58"/>
  <c r="M17" i="58" s="1"/>
  <c r="N17" i="58" s="1"/>
  <c r="K17" i="58"/>
  <c r="D17" i="58"/>
  <c r="C17" i="58"/>
  <c r="R16" i="58"/>
  <c r="Q16" i="58"/>
  <c r="L16" i="58"/>
  <c r="K16" i="58"/>
  <c r="D16" i="58"/>
  <c r="C16" i="58"/>
  <c r="R15" i="58"/>
  <c r="Q15" i="58"/>
  <c r="L15" i="58"/>
  <c r="M15" i="58" s="1"/>
  <c r="N15" i="58" s="1"/>
  <c r="K15" i="58"/>
  <c r="D15" i="58"/>
  <c r="C15" i="58"/>
  <c r="R53" i="57"/>
  <c r="Q53" i="57"/>
  <c r="M53" i="57"/>
  <c r="N53" i="57"/>
  <c r="R52" i="57"/>
  <c r="Q52" i="57"/>
  <c r="M52" i="57"/>
  <c r="N52" i="57"/>
  <c r="R51" i="57"/>
  <c r="Q51" i="57"/>
  <c r="R50" i="57"/>
  <c r="Q50" i="57"/>
  <c r="M50" i="57"/>
  <c r="N50" i="57"/>
  <c r="R49" i="57"/>
  <c r="Q49" i="57"/>
  <c r="R48" i="57"/>
  <c r="Q48" i="57"/>
  <c r="M48" i="57"/>
  <c r="N48" i="57"/>
  <c r="R47" i="57"/>
  <c r="Q47" i="57"/>
  <c r="M47" i="57"/>
  <c r="N47" i="57"/>
  <c r="R46" i="57"/>
  <c r="Q46" i="57"/>
  <c r="M46" i="57"/>
  <c r="N46" i="57"/>
  <c r="R45" i="57"/>
  <c r="Q45" i="57"/>
  <c r="N45" i="57"/>
  <c r="M45" i="57"/>
  <c r="R38" i="57"/>
  <c r="Q38" i="57"/>
  <c r="L38" i="57"/>
  <c r="K38" i="57"/>
  <c r="D38" i="57"/>
  <c r="C38" i="57"/>
  <c r="R37" i="57"/>
  <c r="Q37" i="57"/>
  <c r="L37" i="57"/>
  <c r="K37" i="57"/>
  <c r="D37" i="57"/>
  <c r="C37" i="57"/>
  <c r="R36" i="57"/>
  <c r="Q36" i="57"/>
  <c r="L36" i="57"/>
  <c r="D36" i="57"/>
  <c r="R35" i="57"/>
  <c r="Q35" i="57"/>
  <c r="L35" i="57"/>
  <c r="K35" i="57"/>
  <c r="D35" i="57"/>
  <c r="C35" i="57"/>
  <c r="R34" i="57"/>
  <c r="Q34" i="57"/>
  <c r="L34" i="57"/>
  <c r="D34" i="57"/>
  <c r="R33" i="57"/>
  <c r="Q33" i="57"/>
  <c r="L33" i="57"/>
  <c r="K33" i="57"/>
  <c r="D33" i="57"/>
  <c r="C33" i="57"/>
  <c r="R32" i="57"/>
  <c r="Q32" i="57"/>
  <c r="L32" i="57"/>
  <c r="K32" i="57"/>
  <c r="D32" i="57"/>
  <c r="C32" i="57"/>
  <c r="R31" i="57"/>
  <c r="Q31" i="57"/>
  <c r="L31" i="57"/>
  <c r="K31" i="57"/>
  <c r="M31" i="57" s="1"/>
  <c r="N31" i="57" s="1"/>
  <c r="D31" i="57"/>
  <c r="C31" i="57"/>
  <c r="R30" i="57"/>
  <c r="Q30" i="57"/>
  <c r="L30" i="57"/>
  <c r="K30" i="57"/>
  <c r="D30" i="57"/>
  <c r="C30" i="57"/>
  <c r="R23" i="57"/>
  <c r="Q23" i="57"/>
  <c r="L23" i="57"/>
  <c r="K23" i="57"/>
  <c r="D23" i="57"/>
  <c r="C23" i="57"/>
  <c r="R22" i="57"/>
  <c r="Q22" i="57"/>
  <c r="L22" i="57"/>
  <c r="K22" i="57"/>
  <c r="D22" i="57"/>
  <c r="E22" i="57" s="1"/>
  <c r="F22" i="57" s="1"/>
  <c r="H22" i="57" s="1"/>
  <c r="C22" i="57"/>
  <c r="R21" i="57"/>
  <c r="Q21" i="57"/>
  <c r="L21" i="57"/>
  <c r="D21" i="57"/>
  <c r="R20" i="57"/>
  <c r="Q20" i="57"/>
  <c r="L20" i="57"/>
  <c r="K20" i="57"/>
  <c r="D20" i="57"/>
  <c r="C20" i="57"/>
  <c r="R19" i="57"/>
  <c r="Q19" i="57"/>
  <c r="L19" i="57"/>
  <c r="D19" i="57"/>
  <c r="R18" i="57"/>
  <c r="Q18" i="57"/>
  <c r="L18" i="57"/>
  <c r="K18" i="57"/>
  <c r="D18" i="57"/>
  <c r="C18" i="57"/>
  <c r="R17" i="57"/>
  <c r="Q17" i="57"/>
  <c r="L17" i="57"/>
  <c r="M17" i="57" s="1"/>
  <c r="K17" i="57"/>
  <c r="D17" i="57"/>
  <c r="C17" i="57"/>
  <c r="R16" i="57"/>
  <c r="Q16" i="57"/>
  <c r="L16" i="57"/>
  <c r="K16" i="57"/>
  <c r="D16" i="57"/>
  <c r="C16" i="57"/>
  <c r="R15" i="57"/>
  <c r="Q15" i="57"/>
  <c r="L15" i="57"/>
  <c r="M15" i="57" s="1"/>
  <c r="N15" i="57" s="1"/>
  <c r="K15" i="57"/>
  <c r="D15" i="57"/>
  <c r="C15" i="57"/>
  <c r="R53" i="56"/>
  <c r="Q53" i="56"/>
  <c r="N53" i="56"/>
  <c r="M53" i="56"/>
  <c r="R52" i="56"/>
  <c r="Q52" i="56"/>
  <c r="N52" i="56"/>
  <c r="M52" i="56"/>
  <c r="R51" i="56"/>
  <c r="Q51" i="56"/>
  <c r="R50" i="56"/>
  <c r="Q50" i="56"/>
  <c r="N50" i="56"/>
  <c r="M50" i="56"/>
  <c r="N51" i="56"/>
  <c r="R49" i="56"/>
  <c r="Q49" i="56"/>
  <c r="N49" i="56"/>
  <c r="R48" i="56"/>
  <c r="Q48" i="56"/>
  <c r="M48" i="56"/>
  <c r="N48" i="56"/>
  <c r="R47" i="56"/>
  <c r="Q47" i="56"/>
  <c r="M47" i="56"/>
  <c r="N47" i="56"/>
  <c r="E47" i="56"/>
  <c r="G47" i="56" s="1"/>
  <c r="R46" i="56"/>
  <c r="Q46" i="56"/>
  <c r="M46" i="56"/>
  <c r="N46" i="56"/>
  <c r="R45" i="56"/>
  <c r="Q45" i="56"/>
  <c r="M45" i="56"/>
  <c r="N45" i="56"/>
  <c r="R38" i="56"/>
  <c r="Q38" i="56"/>
  <c r="L38" i="56"/>
  <c r="K38" i="56"/>
  <c r="D38" i="56"/>
  <c r="C38" i="56"/>
  <c r="R37" i="56"/>
  <c r="Q37" i="56"/>
  <c r="L37" i="56"/>
  <c r="K37" i="56"/>
  <c r="D37" i="56"/>
  <c r="C37" i="56"/>
  <c r="R36" i="56"/>
  <c r="Q36" i="56"/>
  <c r="L36" i="56"/>
  <c r="D36" i="56"/>
  <c r="R35" i="56"/>
  <c r="Q35" i="56"/>
  <c r="L35" i="56"/>
  <c r="K35" i="56"/>
  <c r="D35" i="56"/>
  <c r="C35" i="56"/>
  <c r="R34" i="56"/>
  <c r="Q34" i="56"/>
  <c r="L34" i="56"/>
  <c r="D34" i="56"/>
  <c r="R33" i="56"/>
  <c r="Q33" i="56"/>
  <c r="L33" i="56"/>
  <c r="K33" i="56"/>
  <c r="D33" i="56"/>
  <c r="C33" i="56"/>
  <c r="R32" i="56"/>
  <c r="Q32" i="56"/>
  <c r="L32" i="56"/>
  <c r="K32" i="56"/>
  <c r="D32" i="56"/>
  <c r="C32" i="56"/>
  <c r="R31" i="56"/>
  <c r="Q31" i="56"/>
  <c r="L31" i="56"/>
  <c r="K31" i="56"/>
  <c r="D31" i="56"/>
  <c r="C31" i="56"/>
  <c r="R30" i="56"/>
  <c r="Q30" i="56"/>
  <c r="L30" i="56"/>
  <c r="K30" i="56"/>
  <c r="D30" i="56"/>
  <c r="C30" i="56"/>
  <c r="R23" i="56"/>
  <c r="Q23" i="56"/>
  <c r="L23" i="56"/>
  <c r="K23" i="56"/>
  <c r="D23" i="56"/>
  <c r="E23" i="56" s="1"/>
  <c r="G23" i="56" s="1"/>
  <c r="C23" i="56"/>
  <c r="R22" i="56"/>
  <c r="Q22" i="56"/>
  <c r="L22" i="56"/>
  <c r="M22" i="56" s="1"/>
  <c r="N22" i="56" s="1"/>
  <c r="K22" i="56"/>
  <c r="D22" i="56"/>
  <c r="E22" i="56" s="1"/>
  <c r="C22" i="56"/>
  <c r="R21" i="56"/>
  <c r="Q21" i="56"/>
  <c r="L21" i="56"/>
  <c r="D21" i="56"/>
  <c r="R20" i="56"/>
  <c r="Q20" i="56"/>
  <c r="L20" i="56"/>
  <c r="K20" i="56"/>
  <c r="D20" i="56"/>
  <c r="C20" i="56"/>
  <c r="R19" i="56"/>
  <c r="Q19" i="56"/>
  <c r="L19" i="56"/>
  <c r="D19" i="56"/>
  <c r="R18" i="56"/>
  <c r="Q18" i="56"/>
  <c r="L18" i="56"/>
  <c r="K18" i="56"/>
  <c r="D18" i="56"/>
  <c r="C18" i="56"/>
  <c r="R17" i="56"/>
  <c r="Q17" i="56"/>
  <c r="L17" i="56"/>
  <c r="M17" i="56" s="1"/>
  <c r="N17" i="56" s="1"/>
  <c r="K17" i="56"/>
  <c r="D17" i="56"/>
  <c r="C17" i="56"/>
  <c r="R16" i="56"/>
  <c r="Q16" i="56"/>
  <c r="L16" i="56"/>
  <c r="K16" i="56"/>
  <c r="D16" i="56"/>
  <c r="C16" i="56"/>
  <c r="R15" i="56"/>
  <c r="Q15" i="56"/>
  <c r="L15" i="56"/>
  <c r="M15" i="56" s="1"/>
  <c r="N15" i="56" s="1"/>
  <c r="K15" i="56"/>
  <c r="D15" i="56"/>
  <c r="C15" i="56"/>
  <c r="R53" i="55"/>
  <c r="Q53" i="55"/>
  <c r="M53" i="55"/>
  <c r="N53" i="55"/>
  <c r="E53" i="55"/>
  <c r="F53" i="55"/>
  <c r="H53" i="55"/>
  <c r="R52" i="55"/>
  <c r="Q52" i="55"/>
  <c r="M52" i="55"/>
  <c r="N52" i="55"/>
  <c r="E52" i="55"/>
  <c r="F52" i="55"/>
  <c r="H52" i="55"/>
  <c r="R51" i="55"/>
  <c r="Q51" i="55"/>
  <c r="R50" i="55"/>
  <c r="Q50" i="55"/>
  <c r="M50" i="55"/>
  <c r="N50" i="55"/>
  <c r="E50" i="55"/>
  <c r="G51" i="55"/>
  <c r="R49" i="55"/>
  <c r="Q49" i="55"/>
  <c r="R48" i="55"/>
  <c r="Q48" i="55"/>
  <c r="M48" i="55"/>
  <c r="N48" i="55"/>
  <c r="E48" i="55"/>
  <c r="G48" i="55"/>
  <c r="R47" i="55"/>
  <c r="Q47" i="55"/>
  <c r="M47" i="55"/>
  <c r="N47" i="55"/>
  <c r="E47" i="55"/>
  <c r="R46" i="55"/>
  <c r="Q46" i="55"/>
  <c r="M46" i="55"/>
  <c r="N46" i="55"/>
  <c r="E46" i="55"/>
  <c r="O46" i="55"/>
  <c r="R45" i="55"/>
  <c r="Q45" i="55"/>
  <c r="N45" i="55"/>
  <c r="M45" i="55"/>
  <c r="E45" i="55"/>
  <c r="R38" i="55"/>
  <c r="Q38" i="55"/>
  <c r="L38" i="55"/>
  <c r="K38" i="55"/>
  <c r="D38" i="55"/>
  <c r="C38" i="55"/>
  <c r="R37" i="55"/>
  <c r="Q37" i="55"/>
  <c r="L37" i="55"/>
  <c r="K37" i="55"/>
  <c r="D37" i="55"/>
  <c r="C37" i="55"/>
  <c r="R36" i="55"/>
  <c r="Q36" i="55"/>
  <c r="L36" i="55"/>
  <c r="D36" i="55"/>
  <c r="R35" i="55"/>
  <c r="Q35" i="55"/>
  <c r="L35" i="55"/>
  <c r="K35" i="55"/>
  <c r="D35" i="55"/>
  <c r="C35" i="55"/>
  <c r="R34" i="55"/>
  <c r="Q34" i="55"/>
  <c r="L34" i="55"/>
  <c r="D34" i="55"/>
  <c r="R33" i="55"/>
  <c r="Q33" i="55"/>
  <c r="L33" i="55"/>
  <c r="K33" i="55"/>
  <c r="D33" i="55"/>
  <c r="C33" i="55"/>
  <c r="R32" i="55"/>
  <c r="Q32" i="55"/>
  <c r="L32" i="55"/>
  <c r="K32" i="55"/>
  <c r="D32" i="55"/>
  <c r="C32" i="55"/>
  <c r="R31" i="55"/>
  <c r="Q31" i="55"/>
  <c r="L31" i="55"/>
  <c r="K31" i="55"/>
  <c r="D31" i="55"/>
  <c r="C31" i="55"/>
  <c r="R30" i="55"/>
  <c r="Q30" i="55"/>
  <c r="L30" i="55"/>
  <c r="K30" i="55"/>
  <c r="D30" i="55"/>
  <c r="C30" i="55"/>
  <c r="R23" i="55"/>
  <c r="Q23" i="55"/>
  <c r="L23" i="55"/>
  <c r="M23" i="55" s="1"/>
  <c r="N23" i="55" s="1"/>
  <c r="K23" i="55"/>
  <c r="D23" i="55"/>
  <c r="C23" i="55"/>
  <c r="R22" i="55"/>
  <c r="Q22" i="55"/>
  <c r="L22" i="55"/>
  <c r="M22" i="55" s="1"/>
  <c r="N22" i="55" s="1"/>
  <c r="K22" i="55"/>
  <c r="D22" i="55"/>
  <c r="C22" i="55"/>
  <c r="R21" i="55"/>
  <c r="Q21" i="55"/>
  <c r="L21" i="55"/>
  <c r="D21" i="55"/>
  <c r="R20" i="55"/>
  <c r="Q20" i="55"/>
  <c r="L20" i="55"/>
  <c r="K20" i="55"/>
  <c r="D20" i="55"/>
  <c r="C20" i="55"/>
  <c r="R19" i="55"/>
  <c r="Q19" i="55"/>
  <c r="L19" i="55"/>
  <c r="D19" i="55"/>
  <c r="R18" i="55"/>
  <c r="Q18" i="55"/>
  <c r="L18" i="55"/>
  <c r="K18" i="55"/>
  <c r="D18" i="55"/>
  <c r="C18" i="55"/>
  <c r="R17" i="55"/>
  <c r="Q17" i="55"/>
  <c r="L17" i="55"/>
  <c r="K17" i="55"/>
  <c r="D17" i="55"/>
  <c r="C17" i="55"/>
  <c r="R16" i="55"/>
  <c r="Q16" i="55"/>
  <c r="L16" i="55"/>
  <c r="M16" i="55" s="1"/>
  <c r="K16" i="55"/>
  <c r="D16" i="55"/>
  <c r="C16" i="55"/>
  <c r="R15" i="55"/>
  <c r="Q15" i="55"/>
  <c r="L15" i="55"/>
  <c r="K15" i="55"/>
  <c r="D15" i="55"/>
  <c r="E15" i="55" s="1"/>
  <c r="G15" i="55" s="1"/>
  <c r="C15" i="55"/>
  <c r="Q53" i="54"/>
  <c r="E53" i="54"/>
  <c r="F53" i="54" s="1"/>
  <c r="H53" i="54" s="1"/>
  <c r="Q52" i="54"/>
  <c r="M52" i="54"/>
  <c r="N52" i="54" s="1"/>
  <c r="Q51" i="54"/>
  <c r="Q50" i="54"/>
  <c r="Q49" i="54"/>
  <c r="Q48" i="54"/>
  <c r="Q47" i="54"/>
  <c r="R46" i="54"/>
  <c r="Q46" i="54"/>
  <c r="Q45" i="54"/>
  <c r="M45" i="54"/>
  <c r="N45" i="54"/>
  <c r="Q38" i="54"/>
  <c r="L38" i="54"/>
  <c r="K38" i="54"/>
  <c r="D38" i="54"/>
  <c r="C38" i="54"/>
  <c r="Q37" i="54"/>
  <c r="L37" i="54"/>
  <c r="K37" i="54"/>
  <c r="D37" i="54"/>
  <c r="C37" i="54"/>
  <c r="Q36" i="54"/>
  <c r="L36" i="54"/>
  <c r="D36" i="54"/>
  <c r="Q35" i="54"/>
  <c r="L35" i="54"/>
  <c r="K35" i="54"/>
  <c r="D35" i="54"/>
  <c r="C35" i="54"/>
  <c r="Q34" i="54"/>
  <c r="L34" i="54"/>
  <c r="D34" i="54"/>
  <c r="Q33" i="54"/>
  <c r="L33" i="54"/>
  <c r="K33" i="54"/>
  <c r="D33" i="54"/>
  <c r="C33" i="54"/>
  <c r="Q32" i="54"/>
  <c r="L32" i="54"/>
  <c r="K32" i="54"/>
  <c r="D32" i="54"/>
  <c r="C32" i="54"/>
  <c r="R31" i="54"/>
  <c r="Q31" i="54"/>
  <c r="L31" i="54"/>
  <c r="K31" i="54"/>
  <c r="D31" i="54"/>
  <c r="C31" i="54"/>
  <c r="Q30" i="54"/>
  <c r="L30" i="54"/>
  <c r="K30" i="54"/>
  <c r="D30" i="54"/>
  <c r="C30" i="54"/>
  <c r="Q23" i="54"/>
  <c r="L23" i="54"/>
  <c r="K23" i="54"/>
  <c r="D23" i="54"/>
  <c r="C23" i="54"/>
  <c r="Q22" i="54"/>
  <c r="L22" i="54"/>
  <c r="K22" i="54"/>
  <c r="D22" i="54"/>
  <c r="C22" i="54"/>
  <c r="Q21" i="54"/>
  <c r="L21" i="54"/>
  <c r="D21" i="54"/>
  <c r="Q20" i="54"/>
  <c r="L20" i="54"/>
  <c r="K20" i="54"/>
  <c r="D20" i="54"/>
  <c r="C20" i="54"/>
  <c r="Q19" i="54"/>
  <c r="L19" i="54"/>
  <c r="D19" i="54"/>
  <c r="Q18" i="54"/>
  <c r="L18" i="54"/>
  <c r="M18" i="54" s="1"/>
  <c r="N19" i="54" s="1"/>
  <c r="K18" i="54"/>
  <c r="D18" i="54"/>
  <c r="C18" i="54"/>
  <c r="Q17" i="54"/>
  <c r="L17" i="54"/>
  <c r="K17" i="54"/>
  <c r="D17" i="54"/>
  <c r="E17" i="54" s="1"/>
  <c r="G17" i="54" s="1"/>
  <c r="C17" i="54"/>
  <c r="R16" i="54"/>
  <c r="Q16" i="54"/>
  <c r="L16" i="54"/>
  <c r="K16" i="54"/>
  <c r="D16" i="54"/>
  <c r="C16" i="54"/>
  <c r="Q15" i="54"/>
  <c r="L15" i="54"/>
  <c r="K15" i="54"/>
  <c r="D15" i="54"/>
  <c r="C15" i="54"/>
  <c r="R53" i="53"/>
  <c r="Q53" i="53"/>
  <c r="M53" i="53"/>
  <c r="N53" i="53" s="1"/>
  <c r="E53" i="53"/>
  <c r="F53" i="53" s="1"/>
  <c r="H53" i="53" s="1"/>
  <c r="R52" i="53"/>
  <c r="Q52" i="53"/>
  <c r="M52" i="53"/>
  <c r="N52" i="53" s="1"/>
  <c r="E52" i="53"/>
  <c r="G52" i="53" s="1"/>
  <c r="R51" i="53"/>
  <c r="Q51" i="53"/>
  <c r="R50" i="53"/>
  <c r="Q50" i="53"/>
  <c r="M50" i="53"/>
  <c r="N51" i="53" s="1"/>
  <c r="E50" i="53"/>
  <c r="R49" i="53"/>
  <c r="Q49" i="53"/>
  <c r="R48" i="53"/>
  <c r="Q48" i="53"/>
  <c r="M48" i="53"/>
  <c r="N48" i="53" s="1"/>
  <c r="E48" i="53"/>
  <c r="F49" i="53" s="1"/>
  <c r="H49" i="53" s="1"/>
  <c r="R47" i="53"/>
  <c r="Q47" i="53"/>
  <c r="M47" i="53"/>
  <c r="N47" i="53"/>
  <c r="E47" i="53"/>
  <c r="R46" i="53"/>
  <c r="Q46" i="53"/>
  <c r="M46" i="53"/>
  <c r="N46" i="53" s="1"/>
  <c r="E46" i="53"/>
  <c r="O46" i="53" s="1"/>
  <c r="R45" i="53"/>
  <c r="Q45" i="53"/>
  <c r="M45" i="53"/>
  <c r="N45" i="53" s="1"/>
  <c r="E45" i="53"/>
  <c r="F45" i="53" s="1"/>
  <c r="H45" i="53" s="1"/>
  <c r="R38" i="53"/>
  <c r="Q38" i="53"/>
  <c r="L38" i="53"/>
  <c r="K38" i="53"/>
  <c r="D38" i="53"/>
  <c r="C38" i="53"/>
  <c r="R37" i="53"/>
  <c r="Q37" i="53"/>
  <c r="L37" i="53"/>
  <c r="K37" i="53"/>
  <c r="D37" i="53"/>
  <c r="C37" i="53"/>
  <c r="R36" i="53"/>
  <c r="Q36" i="53"/>
  <c r="L36" i="53"/>
  <c r="D36" i="53"/>
  <c r="R35" i="53"/>
  <c r="Q35" i="53"/>
  <c r="L35" i="53"/>
  <c r="K35" i="53"/>
  <c r="D35" i="53"/>
  <c r="C35" i="53"/>
  <c r="R34" i="53"/>
  <c r="Q34" i="53"/>
  <c r="L34" i="53"/>
  <c r="D34" i="53"/>
  <c r="R33" i="53"/>
  <c r="Q33" i="53"/>
  <c r="L33" i="53"/>
  <c r="K33" i="53"/>
  <c r="D33" i="53"/>
  <c r="C33" i="53"/>
  <c r="R32" i="53"/>
  <c r="Q32" i="53"/>
  <c r="L32" i="53"/>
  <c r="K32" i="53"/>
  <c r="D32" i="53"/>
  <c r="C32" i="53"/>
  <c r="R31" i="53"/>
  <c r="Q31" i="53"/>
  <c r="L31" i="53"/>
  <c r="K31" i="53"/>
  <c r="D31" i="53"/>
  <c r="C31" i="53"/>
  <c r="R30" i="53"/>
  <c r="Q30" i="53"/>
  <c r="L30" i="53"/>
  <c r="K30" i="53"/>
  <c r="D30" i="53"/>
  <c r="C30" i="53"/>
  <c r="R23" i="53"/>
  <c r="Q23" i="53"/>
  <c r="L23" i="53"/>
  <c r="K23" i="53"/>
  <c r="D23" i="53"/>
  <c r="C23" i="53"/>
  <c r="R22" i="53"/>
  <c r="Q22" i="53"/>
  <c r="L22" i="53"/>
  <c r="M22" i="53" s="1"/>
  <c r="N22" i="53" s="1"/>
  <c r="K22" i="53"/>
  <c r="D22" i="53"/>
  <c r="C22" i="53"/>
  <c r="R21" i="53"/>
  <c r="Q21" i="53"/>
  <c r="L21" i="53"/>
  <c r="D21" i="53"/>
  <c r="R20" i="53"/>
  <c r="Q20" i="53"/>
  <c r="L20" i="53"/>
  <c r="K20" i="53"/>
  <c r="D20" i="53"/>
  <c r="C20" i="53"/>
  <c r="R19" i="53"/>
  <c r="Q19" i="53"/>
  <c r="L19" i="53"/>
  <c r="D19" i="53"/>
  <c r="R18" i="53"/>
  <c r="Q18" i="53"/>
  <c r="L18" i="53"/>
  <c r="K18" i="53"/>
  <c r="D18" i="53"/>
  <c r="C18" i="53"/>
  <c r="R17" i="53"/>
  <c r="Q17" i="53"/>
  <c r="L17" i="53"/>
  <c r="K17" i="53"/>
  <c r="D17" i="53"/>
  <c r="C17" i="53"/>
  <c r="R16" i="53"/>
  <c r="Q16" i="53"/>
  <c r="L16" i="53"/>
  <c r="K16" i="53"/>
  <c r="D16" i="53"/>
  <c r="C16" i="53"/>
  <c r="R15" i="53"/>
  <c r="Q15" i="53"/>
  <c r="L15" i="53"/>
  <c r="K15" i="53"/>
  <c r="D15" i="53"/>
  <c r="C15" i="53"/>
  <c r="R53" i="52"/>
  <c r="Q53" i="52"/>
  <c r="R52" i="52"/>
  <c r="Q52" i="52"/>
  <c r="R51" i="52"/>
  <c r="Q51" i="52"/>
  <c r="R50" i="52"/>
  <c r="Q50" i="52"/>
  <c r="R49" i="52"/>
  <c r="Q49" i="52"/>
  <c r="R48" i="52"/>
  <c r="Q48" i="52"/>
  <c r="R47" i="52"/>
  <c r="Q47" i="52"/>
  <c r="R46" i="52"/>
  <c r="Q46" i="52"/>
  <c r="R45" i="52"/>
  <c r="Q45" i="52"/>
  <c r="R38" i="52"/>
  <c r="Q38" i="52"/>
  <c r="L38" i="52"/>
  <c r="K38" i="52"/>
  <c r="D38" i="52"/>
  <c r="C38" i="52"/>
  <c r="R37" i="52"/>
  <c r="Q37" i="52"/>
  <c r="L37" i="52"/>
  <c r="K37" i="52"/>
  <c r="D37" i="52"/>
  <c r="C37" i="52"/>
  <c r="R36" i="52"/>
  <c r="Q36" i="52"/>
  <c r="L36" i="52"/>
  <c r="D36" i="52"/>
  <c r="R35" i="52"/>
  <c r="Q35" i="52"/>
  <c r="L35" i="52"/>
  <c r="K35" i="52"/>
  <c r="D35" i="52"/>
  <c r="C35" i="52"/>
  <c r="R34" i="52"/>
  <c r="Q34" i="52"/>
  <c r="L34" i="52"/>
  <c r="D34" i="52"/>
  <c r="R33" i="52"/>
  <c r="Q33" i="52"/>
  <c r="L33" i="52"/>
  <c r="K33" i="52"/>
  <c r="D33" i="52"/>
  <c r="C33" i="52"/>
  <c r="R32" i="52"/>
  <c r="Q32" i="52"/>
  <c r="L32" i="52"/>
  <c r="K32" i="52"/>
  <c r="D32" i="52"/>
  <c r="C32" i="52"/>
  <c r="R31" i="52"/>
  <c r="Q31" i="52"/>
  <c r="L31" i="52"/>
  <c r="K31" i="52"/>
  <c r="D31" i="52"/>
  <c r="C31" i="52"/>
  <c r="R30" i="52"/>
  <c r="Q30" i="52"/>
  <c r="L30" i="52"/>
  <c r="K30" i="52"/>
  <c r="D30" i="52"/>
  <c r="C30" i="52"/>
  <c r="R23" i="52"/>
  <c r="Q23" i="52"/>
  <c r="L23" i="52"/>
  <c r="K23" i="52"/>
  <c r="D23" i="52"/>
  <c r="C23" i="52"/>
  <c r="R22" i="52"/>
  <c r="Q22" i="52"/>
  <c r="L22" i="52"/>
  <c r="K22" i="52"/>
  <c r="D22" i="52"/>
  <c r="C22" i="52"/>
  <c r="R21" i="52"/>
  <c r="Q21" i="52"/>
  <c r="L21" i="52"/>
  <c r="D21" i="52"/>
  <c r="R20" i="52"/>
  <c r="Q20" i="52"/>
  <c r="L20" i="52"/>
  <c r="K20" i="52"/>
  <c r="D20" i="52"/>
  <c r="C20" i="52"/>
  <c r="R19" i="52"/>
  <c r="Q19" i="52"/>
  <c r="L19" i="52"/>
  <c r="D19" i="52"/>
  <c r="R18" i="52"/>
  <c r="Q18" i="52"/>
  <c r="L18" i="52"/>
  <c r="K18" i="52"/>
  <c r="D18" i="52"/>
  <c r="C18" i="52"/>
  <c r="R17" i="52"/>
  <c r="Q17" i="52"/>
  <c r="L17" i="52"/>
  <c r="K17" i="52"/>
  <c r="D17" i="52"/>
  <c r="C17" i="52"/>
  <c r="R16" i="52"/>
  <c r="Q16" i="52"/>
  <c r="L16" i="52"/>
  <c r="K16" i="52"/>
  <c r="D16" i="52"/>
  <c r="C16" i="52"/>
  <c r="R15" i="52"/>
  <c r="Q15" i="52"/>
  <c r="L15" i="52"/>
  <c r="K15" i="52"/>
  <c r="D15" i="52"/>
  <c r="C15" i="52"/>
  <c r="R53" i="51"/>
  <c r="Q53" i="51"/>
  <c r="M53" i="51"/>
  <c r="N53" i="51"/>
  <c r="E53" i="51"/>
  <c r="R52" i="51"/>
  <c r="Q52" i="51"/>
  <c r="M52" i="51"/>
  <c r="N52" i="51"/>
  <c r="E52" i="51"/>
  <c r="R51" i="51"/>
  <c r="Q51" i="51"/>
  <c r="N51" i="51"/>
  <c r="R50" i="51"/>
  <c r="Q50" i="51"/>
  <c r="N50" i="51"/>
  <c r="M50" i="51"/>
  <c r="E50" i="51"/>
  <c r="R49" i="51"/>
  <c r="Q49" i="51"/>
  <c r="N49" i="51"/>
  <c r="R48" i="51"/>
  <c r="Q48" i="51"/>
  <c r="N48" i="51"/>
  <c r="M48" i="51"/>
  <c r="E48" i="51"/>
  <c r="R47" i="51"/>
  <c r="Q47" i="51"/>
  <c r="N47" i="51"/>
  <c r="M47" i="51"/>
  <c r="E47" i="51"/>
  <c r="F47" i="51"/>
  <c r="H47" i="51"/>
  <c r="R46" i="51"/>
  <c r="Q46" i="51"/>
  <c r="N46" i="51"/>
  <c r="M46" i="51"/>
  <c r="G46" i="51"/>
  <c r="E46" i="51"/>
  <c r="F46" i="51"/>
  <c r="H46" i="51"/>
  <c r="R45" i="51"/>
  <c r="R54" i="51"/>
  <c r="Q45" i="51"/>
  <c r="M45" i="51"/>
  <c r="N45" i="51"/>
  <c r="E45" i="51"/>
  <c r="R38" i="51"/>
  <c r="Q38" i="51"/>
  <c r="L38" i="51"/>
  <c r="K38" i="51"/>
  <c r="D38" i="51"/>
  <c r="C38" i="51"/>
  <c r="R37" i="51"/>
  <c r="Q37" i="51"/>
  <c r="L37" i="51"/>
  <c r="M37" i="51" s="1"/>
  <c r="N37" i="51" s="1"/>
  <c r="K37" i="51"/>
  <c r="D37" i="51"/>
  <c r="C37" i="51"/>
  <c r="R36" i="51"/>
  <c r="Q36" i="51"/>
  <c r="L36" i="51"/>
  <c r="D36" i="51"/>
  <c r="R35" i="51"/>
  <c r="Q35" i="51"/>
  <c r="L35" i="51"/>
  <c r="K35" i="51"/>
  <c r="D35" i="51"/>
  <c r="C35" i="51"/>
  <c r="R34" i="51"/>
  <c r="Q34" i="51"/>
  <c r="L34" i="51"/>
  <c r="D34" i="51"/>
  <c r="R33" i="51"/>
  <c r="Q33" i="51"/>
  <c r="L33" i="51"/>
  <c r="K33" i="51"/>
  <c r="D33" i="51"/>
  <c r="C33" i="51"/>
  <c r="R32" i="51"/>
  <c r="Q32" i="51"/>
  <c r="L32" i="51"/>
  <c r="K32" i="51"/>
  <c r="D32" i="51"/>
  <c r="C32" i="51"/>
  <c r="R31" i="51"/>
  <c r="Q31" i="51"/>
  <c r="L31" i="51"/>
  <c r="K31" i="51"/>
  <c r="D31" i="51"/>
  <c r="C31" i="51"/>
  <c r="R30" i="51"/>
  <c r="Q30" i="51"/>
  <c r="L30" i="51"/>
  <c r="K30" i="51"/>
  <c r="D30" i="51"/>
  <c r="C30" i="51"/>
  <c r="R23" i="51"/>
  <c r="Q23" i="51"/>
  <c r="L23" i="51"/>
  <c r="K23" i="51"/>
  <c r="D23" i="51"/>
  <c r="C23" i="51"/>
  <c r="R22" i="51"/>
  <c r="Q22" i="51"/>
  <c r="L22" i="51"/>
  <c r="K22" i="51"/>
  <c r="D22" i="51"/>
  <c r="C22" i="51"/>
  <c r="R21" i="51"/>
  <c r="Q21" i="51"/>
  <c r="L21" i="51"/>
  <c r="D21" i="51"/>
  <c r="R20" i="51"/>
  <c r="Q20" i="51"/>
  <c r="L20" i="51"/>
  <c r="K20" i="51"/>
  <c r="D20" i="51"/>
  <c r="C20" i="51"/>
  <c r="R19" i="51"/>
  <c r="Q19" i="51"/>
  <c r="L19" i="51"/>
  <c r="D19" i="51"/>
  <c r="R18" i="51"/>
  <c r="Q18" i="51"/>
  <c r="L18" i="51"/>
  <c r="K18" i="51"/>
  <c r="D18" i="51"/>
  <c r="C18" i="51"/>
  <c r="R17" i="51"/>
  <c r="Q17" i="51"/>
  <c r="L17" i="51"/>
  <c r="K17" i="51"/>
  <c r="D17" i="51"/>
  <c r="C17" i="51"/>
  <c r="R16" i="51"/>
  <c r="Q16" i="51"/>
  <c r="L16" i="51"/>
  <c r="K16" i="51"/>
  <c r="D16" i="51"/>
  <c r="C16" i="51"/>
  <c r="R15" i="51"/>
  <c r="Q15" i="51"/>
  <c r="L15" i="51"/>
  <c r="K15" i="51"/>
  <c r="D15" i="51"/>
  <c r="C15" i="51"/>
  <c r="R53" i="50"/>
  <c r="Q53" i="50"/>
  <c r="M53" i="50"/>
  <c r="N53" i="50"/>
  <c r="G53" i="50"/>
  <c r="E53" i="50"/>
  <c r="F53" i="50"/>
  <c r="H53" i="50"/>
  <c r="R52" i="50"/>
  <c r="Q52" i="50"/>
  <c r="M52" i="50"/>
  <c r="N52" i="50"/>
  <c r="G52" i="50"/>
  <c r="E52" i="50"/>
  <c r="F52" i="50"/>
  <c r="H52" i="50"/>
  <c r="R51" i="50"/>
  <c r="Q51" i="50"/>
  <c r="R50" i="50"/>
  <c r="Q50" i="50"/>
  <c r="M50" i="50"/>
  <c r="N50" i="50"/>
  <c r="I50" i="50"/>
  <c r="G50" i="50"/>
  <c r="E50" i="50"/>
  <c r="G51" i="50"/>
  <c r="R49" i="50"/>
  <c r="Q49" i="50"/>
  <c r="R48" i="50"/>
  <c r="Q48" i="50"/>
  <c r="M48" i="50"/>
  <c r="N48" i="50"/>
  <c r="G48" i="50"/>
  <c r="E48" i="50"/>
  <c r="G49" i="50"/>
  <c r="R47" i="50"/>
  <c r="Q47" i="50"/>
  <c r="M47" i="50"/>
  <c r="N47" i="50"/>
  <c r="G47" i="50"/>
  <c r="E47" i="50"/>
  <c r="R46" i="50"/>
  <c r="Q46" i="50"/>
  <c r="M46" i="50"/>
  <c r="N46" i="50"/>
  <c r="G46" i="50"/>
  <c r="E46" i="50"/>
  <c r="F46" i="50"/>
  <c r="H46" i="50"/>
  <c r="R45" i="50"/>
  <c r="R54" i="50"/>
  <c r="Q45" i="50"/>
  <c r="Q54" i="50"/>
  <c r="N45" i="50"/>
  <c r="M45" i="50"/>
  <c r="H45" i="50"/>
  <c r="F45" i="50"/>
  <c r="E45" i="50"/>
  <c r="S54" i="50"/>
  <c r="R38" i="50"/>
  <c r="Q38" i="50"/>
  <c r="L38" i="50"/>
  <c r="K38" i="50"/>
  <c r="D38" i="50"/>
  <c r="C38" i="50"/>
  <c r="R37" i="50"/>
  <c r="Q37" i="50"/>
  <c r="L37" i="50"/>
  <c r="K37" i="50"/>
  <c r="D37" i="50"/>
  <c r="C37" i="50"/>
  <c r="R36" i="50"/>
  <c r="Q36" i="50"/>
  <c r="L36" i="50"/>
  <c r="D36" i="50"/>
  <c r="R35" i="50"/>
  <c r="Q35" i="50"/>
  <c r="L35" i="50"/>
  <c r="K35" i="50"/>
  <c r="D35" i="50"/>
  <c r="C35" i="50"/>
  <c r="R34" i="50"/>
  <c r="Q34" i="50"/>
  <c r="L34" i="50"/>
  <c r="D34" i="50"/>
  <c r="R33" i="50"/>
  <c r="Q33" i="50"/>
  <c r="L33" i="50"/>
  <c r="K33" i="50"/>
  <c r="D33" i="50"/>
  <c r="C33" i="50"/>
  <c r="R32" i="50"/>
  <c r="Q32" i="50"/>
  <c r="L32" i="50"/>
  <c r="K32" i="50"/>
  <c r="D32" i="50"/>
  <c r="C32" i="50"/>
  <c r="R31" i="50"/>
  <c r="Q31" i="50"/>
  <c r="L31" i="50"/>
  <c r="K31" i="50"/>
  <c r="D31" i="50"/>
  <c r="C31" i="50"/>
  <c r="R30" i="50"/>
  <c r="Q30" i="50"/>
  <c r="L30" i="50"/>
  <c r="K30" i="50"/>
  <c r="D30" i="50"/>
  <c r="C30" i="50"/>
  <c r="R23" i="50"/>
  <c r="Q23" i="50"/>
  <c r="L23" i="50"/>
  <c r="K23" i="50"/>
  <c r="D23" i="50"/>
  <c r="C23" i="50"/>
  <c r="R22" i="50"/>
  <c r="Q22" i="50"/>
  <c r="L22" i="50"/>
  <c r="K22" i="50"/>
  <c r="D22" i="50"/>
  <c r="C22" i="50"/>
  <c r="R21" i="50"/>
  <c r="Q21" i="50"/>
  <c r="L21" i="50"/>
  <c r="D21" i="50"/>
  <c r="R20" i="50"/>
  <c r="Q20" i="50"/>
  <c r="L20" i="50"/>
  <c r="K20" i="50"/>
  <c r="D20" i="50"/>
  <c r="C20" i="50"/>
  <c r="R19" i="50"/>
  <c r="Q19" i="50"/>
  <c r="L19" i="50"/>
  <c r="D19" i="50"/>
  <c r="R18" i="50"/>
  <c r="Q18" i="50"/>
  <c r="L18" i="50"/>
  <c r="K18" i="50"/>
  <c r="D18" i="50"/>
  <c r="C18" i="50"/>
  <c r="R17" i="50"/>
  <c r="Q17" i="50"/>
  <c r="L17" i="50"/>
  <c r="K17" i="50"/>
  <c r="D17" i="50"/>
  <c r="C17" i="50"/>
  <c r="R16" i="50"/>
  <c r="Q16" i="50"/>
  <c r="L16" i="50"/>
  <c r="K16" i="50"/>
  <c r="D16" i="50"/>
  <c r="C16" i="50"/>
  <c r="R15" i="50"/>
  <c r="Q15" i="50"/>
  <c r="L15" i="50"/>
  <c r="K15" i="50"/>
  <c r="D15" i="50"/>
  <c r="C15" i="50"/>
  <c r="R53" i="49"/>
  <c r="Q53" i="49"/>
  <c r="M53" i="49"/>
  <c r="N53" i="49"/>
  <c r="E53" i="49"/>
  <c r="G53" i="49"/>
  <c r="R52" i="49"/>
  <c r="Q52" i="49"/>
  <c r="M52" i="49"/>
  <c r="N52" i="49"/>
  <c r="E52" i="49"/>
  <c r="G52" i="49"/>
  <c r="R51" i="49"/>
  <c r="Q51" i="49"/>
  <c r="R50" i="49"/>
  <c r="Q50" i="49"/>
  <c r="M50" i="49"/>
  <c r="N50" i="49"/>
  <c r="E50" i="49"/>
  <c r="G51" i="49"/>
  <c r="R49" i="49"/>
  <c r="Q49" i="49"/>
  <c r="R48" i="49"/>
  <c r="Q48" i="49"/>
  <c r="M48" i="49"/>
  <c r="N48" i="49"/>
  <c r="N49" i="49"/>
  <c r="E48" i="49"/>
  <c r="G48" i="49"/>
  <c r="R47" i="49"/>
  <c r="Q47" i="49"/>
  <c r="M47" i="49"/>
  <c r="N47" i="49"/>
  <c r="E47" i="49"/>
  <c r="G47" i="49"/>
  <c r="R46" i="49"/>
  <c r="Q46" i="49"/>
  <c r="N46" i="49"/>
  <c r="M46" i="49"/>
  <c r="E46" i="49"/>
  <c r="O46" i="49"/>
  <c r="G46" i="49"/>
  <c r="R45" i="49"/>
  <c r="R54" i="49"/>
  <c r="Q45" i="49"/>
  <c r="Q54" i="49"/>
  <c r="M45" i="49"/>
  <c r="N45" i="49"/>
  <c r="E45" i="49"/>
  <c r="S54" i="49"/>
  <c r="R38" i="49"/>
  <c r="Q38" i="49"/>
  <c r="L38" i="49"/>
  <c r="K38" i="49"/>
  <c r="D38" i="49"/>
  <c r="C38" i="49"/>
  <c r="R37" i="49"/>
  <c r="Q37" i="49"/>
  <c r="L37" i="49"/>
  <c r="K37" i="49"/>
  <c r="D37" i="49"/>
  <c r="C37" i="49"/>
  <c r="R36" i="49"/>
  <c r="Q36" i="49"/>
  <c r="L36" i="49"/>
  <c r="D36" i="49"/>
  <c r="R35" i="49"/>
  <c r="Q35" i="49"/>
  <c r="L35" i="49"/>
  <c r="K35" i="49"/>
  <c r="D35" i="49"/>
  <c r="C35" i="49"/>
  <c r="R34" i="49"/>
  <c r="Q34" i="49"/>
  <c r="L34" i="49"/>
  <c r="D34" i="49"/>
  <c r="R33" i="49"/>
  <c r="Q33" i="49"/>
  <c r="L33" i="49"/>
  <c r="K33" i="49"/>
  <c r="D33" i="49"/>
  <c r="C33" i="49"/>
  <c r="R32" i="49"/>
  <c r="Q32" i="49"/>
  <c r="L32" i="49"/>
  <c r="K32" i="49"/>
  <c r="D32" i="49"/>
  <c r="C32" i="49"/>
  <c r="E32" i="49" s="1"/>
  <c r="G32" i="49" s="1"/>
  <c r="R31" i="49"/>
  <c r="Q31" i="49"/>
  <c r="L31" i="49"/>
  <c r="K31" i="49"/>
  <c r="D31" i="49"/>
  <c r="C31" i="49"/>
  <c r="R30" i="49"/>
  <c r="Q30" i="49"/>
  <c r="L30" i="49"/>
  <c r="K30" i="49"/>
  <c r="D30" i="49"/>
  <c r="C30" i="49"/>
  <c r="R23" i="49"/>
  <c r="Q23" i="49"/>
  <c r="L23" i="49"/>
  <c r="K23" i="49"/>
  <c r="D23" i="49"/>
  <c r="C23" i="49"/>
  <c r="R22" i="49"/>
  <c r="Q22" i="49"/>
  <c r="L22" i="49"/>
  <c r="K22" i="49"/>
  <c r="D22" i="49"/>
  <c r="C22" i="49"/>
  <c r="R21" i="49"/>
  <c r="Q21" i="49"/>
  <c r="L21" i="49"/>
  <c r="D21" i="49"/>
  <c r="R20" i="49"/>
  <c r="Q20" i="49"/>
  <c r="L20" i="49"/>
  <c r="K20" i="49"/>
  <c r="D20" i="49"/>
  <c r="C20" i="49"/>
  <c r="R19" i="49"/>
  <c r="Q19" i="49"/>
  <c r="L19" i="49"/>
  <c r="D19" i="49"/>
  <c r="R18" i="49"/>
  <c r="Q18" i="49"/>
  <c r="L18" i="49"/>
  <c r="K18" i="49"/>
  <c r="D18" i="49"/>
  <c r="C18" i="49"/>
  <c r="R17" i="49"/>
  <c r="Q17" i="49"/>
  <c r="L17" i="49"/>
  <c r="K17" i="49"/>
  <c r="D17" i="49"/>
  <c r="C17" i="49"/>
  <c r="R16" i="49"/>
  <c r="Q16" i="49"/>
  <c r="L16" i="49"/>
  <c r="K16" i="49"/>
  <c r="D16" i="49"/>
  <c r="C16" i="49"/>
  <c r="R15" i="49"/>
  <c r="Q15" i="49"/>
  <c r="L15" i="49"/>
  <c r="K15" i="49"/>
  <c r="D15" i="49"/>
  <c r="C15" i="49"/>
  <c r="L23" i="1"/>
  <c r="L22" i="1"/>
  <c r="L21" i="1"/>
  <c r="L20" i="1"/>
  <c r="L19" i="1"/>
  <c r="L18" i="1"/>
  <c r="L17" i="1"/>
  <c r="L16" i="1"/>
  <c r="L15" i="1"/>
  <c r="D23" i="1"/>
  <c r="D22" i="1"/>
  <c r="D21" i="1"/>
  <c r="D20" i="1"/>
  <c r="D19" i="1"/>
  <c r="D18" i="1"/>
  <c r="D17" i="1"/>
  <c r="D16" i="1"/>
  <c r="D15" i="1"/>
  <c r="G53" i="51"/>
  <c r="O53" i="51"/>
  <c r="G52" i="51"/>
  <c r="O52" i="51"/>
  <c r="F51" i="51"/>
  <c r="H51" i="51"/>
  <c r="O50" i="51"/>
  <c r="G51" i="51"/>
  <c r="G50" i="51"/>
  <c r="F50" i="51"/>
  <c r="H50" i="51"/>
  <c r="G51" i="68"/>
  <c r="G50" i="68"/>
  <c r="G49" i="51"/>
  <c r="G48" i="51"/>
  <c r="O47" i="51"/>
  <c r="G47" i="51"/>
  <c r="O45" i="51"/>
  <c r="F45" i="51"/>
  <c r="H45" i="51"/>
  <c r="G52" i="60"/>
  <c r="F52" i="60"/>
  <c r="H52" i="60" s="1"/>
  <c r="F45" i="60"/>
  <c r="H45" i="60" s="1"/>
  <c r="R45" i="68"/>
  <c r="R49" i="68"/>
  <c r="F51" i="68"/>
  <c r="H51" i="68"/>
  <c r="R51" i="68"/>
  <c r="F50" i="68"/>
  <c r="H50" i="68"/>
  <c r="F49" i="67"/>
  <c r="H49" i="67"/>
  <c r="F46" i="67"/>
  <c r="H46" i="67"/>
  <c r="F48" i="67"/>
  <c r="H48" i="67"/>
  <c r="G48" i="67"/>
  <c r="I48" i="67"/>
  <c r="F52" i="67"/>
  <c r="H52" i="67"/>
  <c r="F53" i="67"/>
  <c r="H53" i="67"/>
  <c r="N49" i="64"/>
  <c r="F46" i="60"/>
  <c r="H46" i="60" s="1"/>
  <c r="G46" i="60"/>
  <c r="N49" i="60"/>
  <c r="N51" i="59"/>
  <c r="N51" i="57"/>
  <c r="N49" i="57"/>
  <c r="G45" i="55"/>
  <c r="F47" i="55"/>
  <c r="H47" i="55"/>
  <c r="N51" i="55"/>
  <c r="N49" i="55"/>
  <c r="F46" i="53"/>
  <c r="H46" i="53" s="1"/>
  <c r="F48" i="53"/>
  <c r="H48" i="53" s="1"/>
  <c r="G49" i="53"/>
  <c r="G47" i="53"/>
  <c r="G48" i="53"/>
  <c r="F47" i="53"/>
  <c r="H47" i="53" s="1"/>
  <c r="N49" i="53"/>
  <c r="F49" i="51"/>
  <c r="H49" i="51"/>
  <c r="I52" i="51"/>
  <c r="I53" i="51"/>
  <c r="G45" i="51"/>
  <c r="F48" i="51"/>
  <c r="H48" i="51"/>
  <c r="I51" i="51"/>
  <c r="I45" i="51"/>
  <c r="I49" i="51"/>
  <c r="I47" i="51"/>
  <c r="I48" i="51"/>
  <c r="F52" i="51"/>
  <c r="H52" i="51"/>
  <c r="J52" i="51"/>
  <c r="P52" i="51"/>
  <c r="F53" i="51"/>
  <c r="H53" i="51"/>
  <c r="J53" i="51"/>
  <c r="P53" i="51"/>
  <c r="J46" i="50"/>
  <c r="P46" i="50"/>
  <c r="F49" i="50"/>
  <c r="H49" i="50"/>
  <c r="I52" i="50"/>
  <c r="J52" i="50"/>
  <c r="P52" i="50"/>
  <c r="I53" i="50"/>
  <c r="J53" i="50"/>
  <c r="P53" i="50"/>
  <c r="G45" i="50"/>
  <c r="F47" i="50"/>
  <c r="H47" i="50"/>
  <c r="F48" i="50"/>
  <c r="H48" i="50"/>
  <c r="I51" i="50"/>
  <c r="I45" i="50"/>
  <c r="J45" i="50"/>
  <c r="P45" i="50"/>
  <c r="I49" i="50"/>
  <c r="N51" i="50"/>
  <c r="I46" i="50"/>
  <c r="I47" i="50"/>
  <c r="I48" i="50"/>
  <c r="N49" i="50"/>
  <c r="F51" i="50"/>
  <c r="H51" i="50"/>
  <c r="F50" i="50"/>
  <c r="H50" i="50"/>
  <c r="J50" i="50"/>
  <c r="F49" i="49"/>
  <c r="H49" i="49"/>
  <c r="I52" i="49"/>
  <c r="I53" i="49"/>
  <c r="G45" i="49"/>
  <c r="F46" i="49"/>
  <c r="H46" i="49"/>
  <c r="F47" i="49"/>
  <c r="H47" i="49"/>
  <c r="F48" i="49"/>
  <c r="H48" i="49"/>
  <c r="G49" i="49"/>
  <c r="I51" i="49"/>
  <c r="I45" i="49"/>
  <c r="I49" i="49"/>
  <c r="J49" i="49"/>
  <c r="N51" i="49"/>
  <c r="I46" i="49"/>
  <c r="J46" i="49"/>
  <c r="P46" i="49"/>
  <c r="I47" i="49"/>
  <c r="J47" i="49"/>
  <c r="I48" i="49"/>
  <c r="F52" i="49"/>
  <c r="H52" i="49"/>
  <c r="J52" i="49"/>
  <c r="F53" i="49"/>
  <c r="H53" i="49"/>
  <c r="J53" i="49"/>
  <c r="F51" i="49"/>
  <c r="H51" i="49"/>
  <c r="F50" i="49"/>
  <c r="H50" i="49"/>
  <c r="C23" i="1"/>
  <c r="C22" i="1"/>
  <c r="C20" i="1"/>
  <c r="C18" i="1"/>
  <c r="C17" i="1"/>
  <c r="C16" i="1"/>
  <c r="C15" i="1"/>
  <c r="D38" i="1"/>
  <c r="D37" i="1"/>
  <c r="D36" i="1"/>
  <c r="D35" i="1"/>
  <c r="D34" i="1"/>
  <c r="D33" i="1"/>
  <c r="D32" i="1"/>
  <c r="D31" i="1"/>
  <c r="C38" i="1"/>
  <c r="C37" i="1"/>
  <c r="C35" i="1"/>
  <c r="C31" i="1"/>
  <c r="C32" i="1"/>
  <c r="C33" i="1"/>
  <c r="C30" i="1"/>
  <c r="D30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53" i="68"/>
  <c r="R47" i="68"/>
  <c r="R52" i="68"/>
  <c r="R46" i="68"/>
  <c r="R50" i="68"/>
  <c r="J48" i="67"/>
  <c r="J49" i="50"/>
  <c r="P49" i="50"/>
  <c r="J48" i="50"/>
  <c r="P48" i="50"/>
  <c r="P50" i="50"/>
  <c r="J47" i="50"/>
  <c r="P47" i="50"/>
  <c r="J51" i="50"/>
  <c r="P51" i="50"/>
  <c r="J48" i="49"/>
  <c r="J51" i="49"/>
  <c r="P51" i="49"/>
  <c r="P49" i="49"/>
  <c r="K23" i="1"/>
  <c r="K15" i="1"/>
  <c r="K16" i="1"/>
  <c r="K17" i="1"/>
  <c r="K18" i="1"/>
  <c r="K20" i="1"/>
  <c r="K22" i="1"/>
  <c r="K32" i="1"/>
  <c r="K33" i="1"/>
  <c r="K37" i="1"/>
  <c r="K38" i="1"/>
  <c r="L32" i="1"/>
  <c r="K35" i="1"/>
  <c r="L33" i="1"/>
  <c r="L34" i="1"/>
  <c r="K30" i="1"/>
  <c r="L35" i="1"/>
  <c r="L30" i="1"/>
  <c r="L36" i="1"/>
  <c r="K31" i="1"/>
  <c r="L37" i="1"/>
  <c r="L31" i="1"/>
  <c r="L38" i="1"/>
  <c r="D44" i="3"/>
  <c r="E44" i="3"/>
  <c r="D45" i="3"/>
  <c r="E45" i="3"/>
  <c r="D46" i="3"/>
  <c r="E46" i="3"/>
  <c r="D47" i="3"/>
  <c r="E47" i="3"/>
  <c r="D48" i="3"/>
  <c r="E48" i="3"/>
  <c r="D49" i="3"/>
  <c r="E49" i="3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P54" i="50"/>
  <c r="T45" i="50"/>
  <c r="F50" i="67"/>
  <c r="H50" i="67"/>
  <c r="G51" i="67"/>
  <c r="I51" i="67"/>
  <c r="J51" i="67"/>
  <c r="G50" i="67"/>
  <c r="I50" i="67"/>
  <c r="J50" i="67"/>
  <c r="G46" i="67"/>
  <c r="I49" i="67"/>
  <c r="J49" i="67"/>
  <c r="R48" i="68"/>
  <c r="O47" i="49"/>
  <c r="P47" i="49"/>
  <c r="O48" i="49"/>
  <c r="P48" i="49"/>
  <c r="O52" i="49"/>
  <c r="P52" i="49"/>
  <c r="O53" i="49"/>
  <c r="P53" i="49"/>
  <c r="O50" i="49"/>
  <c r="G50" i="49"/>
  <c r="I50" i="49"/>
  <c r="J50" i="49"/>
  <c r="O45" i="49"/>
  <c r="F45" i="49"/>
  <c r="H45" i="49"/>
  <c r="J45" i="49"/>
  <c r="P45" i="49"/>
  <c r="E45" i="66"/>
  <c r="G45" i="66" s="1"/>
  <c r="M47" i="66"/>
  <c r="N47" i="66" s="1"/>
  <c r="E48" i="63"/>
  <c r="F48" i="63" s="1"/>
  <c r="H48" i="63" s="1"/>
  <c r="E50" i="63"/>
  <c r="G51" i="63" s="1"/>
  <c r="M47" i="1"/>
  <c r="N47" i="1" s="1"/>
  <c r="E47" i="63"/>
  <c r="G47" i="63" s="1"/>
  <c r="M52" i="63"/>
  <c r="N52" i="63" s="1"/>
  <c r="M48" i="63"/>
  <c r="N49" i="63" s="1"/>
  <c r="P50" i="49"/>
  <c r="P54" i="49"/>
  <c r="T45" i="49"/>
  <c r="R19" i="68"/>
  <c r="R21" i="68"/>
  <c r="R22" i="68"/>
  <c r="R20" i="68"/>
  <c r="R33" i="68"/>
  <c r="R38" i="68"/>
  <c r="R37" i="68"/>
  <c r="R23" i="68"/>
  <c r="R34" i="68"/>
  <c r="R18" i="68"/>
  <c r="R36" i="68"/>
  <c r="R35" i="68"/>
  <c r="I47" i="67"/>
  <c r="J47" i="67"/>
  <c r="I46" i="67"/>
  <c r="J46" i="67"/>
  <c r="I45" i="67"/>
  <c r="J45" i="67"/>
  <c r="I53" i="67"/>
  <c r="J53" i="67"/>
  <c r="I52" i="67"/>
  <c r="J52" i="67"/>
  <c r="O46" i="67"/>
  <c r="P46" i="67" s="1"/>
  <c r="Q51" i="66"/>
  <c r="Q47" i="66"/>
  <c r="Q49" i="66"/>
  <c r="Q50" i="66"/>
  <c r="Q53" i="66"/>
  <c r="E45" i="62"/>
  <c r="G45" i="62"/>
  <c r="J48" i="51"/>
  <c r="J49" i="51"/>
  <c r="P49" i="51"/>
  <c r="J45" i="51"/>
  <c r="P45" i="51"/>
  <c r="J51" i="51"/>
  <c r="P51" i="51"/>
  <c r="Q54" i="51"/>
  <c r="J47" i="51"/>
  <c r="P47" i="51"/>
  <c r="E50" i="64"/>
  <c r="O48" i="51"/>
  <c r="P48" i="51"/>
  <c r="I50" i="51"/>
  <c r="J50" i="51"/>
  <c r="P50" i="51"/>
  <c r="S54" i="51"/>
  <c r="I46" i="51"/>
  <c r="J46" i="51"/>
  <c r="P46" i="51"/>
  <c r="P54" i="51"/>
  <c r="T45" i="51"/>
  <c r="M50" i="62"/>
  <c r="N50" i="62"/>
  <c r="E48" i="61"/>
  <c r="F48" i="61" s="1"/>
  <c r="H48" i="61" s="1"/>
  <c r="F53" i="58"/>
  <c r="H53" i="58" s="1"/>
  <c r="M48" i="62"/>
  <c r="N49" i="62"/>
  <c r="Q48" i="66"/>
  <c r="Q52" i="66"/>
  <c r="Q34" i="66"/>
  <c r="Q19" i="66"/>
  <c r="Q36" i="66"/>
  <c r="R15" i="68"/>
  <c r="Q23" i="66"/>
  <c r="Q18" i="66"/>
  <c r="R17" i="68"/>
  <c r="Q21" i="66"/>
  <c r="Q37" i="66"/>
  <c r="Q20" i="66"/>
  <c r="Q33" i="66"/>
  <c r="R16" i="68"/>
  <c r="R30" i="68"/>
  <c r="R31" i="68"/>
  <c r="Q22" i="66"/>
  <c r="Q17" i="66"/>
  <c r="R32" i="68"/>
  <c r="Q32" i="66"/>
  <c r="Q35" i="66"/>
  <c r="Q38" i="66"/>
  <c r="E52" i="68"/>
  <c r="G52" i="68"/>
  <c r="M52" i="66"/>
  <c r="N52" i="66" s="1"/>
  <c r="F52" i="66"/>
  <c r="H52" i="66" s="1"/>
  <c r="G53" i="54"/>
  <c r="E46" i="66"/>
  <c r="F46" i="66" s="1"/>
  <c r="H46" i="66" s="1"/>
  <c r="E52" i="56"/>
  <c r="F52" i="56" s="1"/>
  <c r="H52" i="56" s="1"/>
  <c r="E50" i="66"/>
  <c r="G51" i="66" s="1"/>
  <c r="M46" i="68"/>
  <c r="N46" i="68" s="1"/>
  <c r="M47" i="63"/>
  <c r="N47" i="63" s="1"/>
  <c r="E47" i="66"/>
  <c r="G47" i="66" s="1"/>
  <c r="M50" i="60"/>
  <c r="N50" i="60" s="1"/>
  <c r="M52" i="68"/>
  <c r="N52" i="68" s="1"/>
  <c r="F47" i="60"/>
  <c r="H47" i="60" s="1"/>
  <c r="E48" i="66"/>
  <c r="G48" i="66" s="1"/>
  <c r="M45" i="63"/>
  <c r="N45" i="63" s="1"/>
  <c r="G53" i="68"/>
  <c r="F53" i="68"/>
  <c r="H53" i="68"/>
  <c r="E48" i="60"/>
  <c r="E45" i="68"/>
  <c r="G45" i="68"/>
  <c r="M47" i="68"/>
  <c r="N47" i="68" s="1"/>
  <c r="I48" i="55"/>
  <c r="J48" i="55"/>
  <c r="I45" i="55"/>
  <c r="F49" i="55"/>
  <c r="H49" i="55"/>
  <c r="G49" i="55"/>
  <c r="F48" i="55"/>
  <c r="H48" i="55"/>
  <c r="I47" i="55"/>
  <c r="J47" i="55"/>
  <c r="I49" i="55"/>
  <c r="I52" i="55"/>
  <c r="J52" i="55"/>
  <c r="I50" i="55"/>
  <c r="G47" i="55"/>
  <c r="F50" i="55"/>
  <c r="H50" i="55"/>
  <c r="I51" i="55"/>
  <c r="F51" i="55"/>
  <c r="H51" i="55"/>
  <c r="F46" i="55"/>
  <c r="H46" i="55"/>
  <c r="E50" i="57"/>
  <c r="F51" i="57" s="1"/>
  <c r="H51" i="57" s="1"/>
  <c r="E32" i="66"/>
  <c r="G32" i="66" s="1"/>
  <c r="Q54" i="55"/>
  <c r="R54" i="55"/>
  <c r="G46" i="55"/>
  <c r="S54" i="55"/>
  <c r="O47" i="55"/>
  <c r="O48" i="55"/>
  <c r="E48" i="52"/>
  <c r="O48" i="52" s="1"/>
  <c r="O45" i="55"/>
  <c r="I46" i="55"/>
  <c r="F45" i="55"/>
  <c r="H45" i="55"/>
  <c r="O50" i="55"/>
  <c r="G50" i="55"/>
  <c r="O52" i="55"/>
  <c r="G52" i="55"/>
  <c r="O53" i="55"/>
  <c r="G53" i="55"/>
  <c r="I53" i="55"/>
  <c r="J53" i="55"/>
  <c r="E52" i="52"/>
  <c r="F52" i="52" s="1"/>
  <c r="H52" i="52" s="1"/>
  <c r="M47" i="52"/>
  <c r="N47" i="52" s="1"/>
  <c r="E37" i="66"/>
  <c r="O37" i="66" s="1"/>
  <c r="E46" i="52"/>
  <c r="F46" i="52" s="1"/>
  <c r="H46" i="52" s="1"/>
  <c r="E53" i="52"/>
  <c r="G53" i="52" s="1"/>
  <c r="M52" i="52"/>
  <c r="N52" i="52" s="1"/>
  <c r="M30" i="53"/>
  <c r="N30" i="53" s="1"/>
  <c r="F47" i="64"/>
  <c r="H47" i="64"/>
  <c r="G47" i="64"/>
  <c r="M32" i="56"/>
  <c r="N32" i="56" s="1"/>
  <c r="M38" i="57"/>
  <c r="N38" i="57" s="1"/>
  <c r="E31" i="68"/>
  <c r="F31" i="68" s="1"/>
  <c r="H31" i="68" s="1"/>
  <c r="M31" i="52"/>
  <c r="N31" i="52" s="1"/>
  <c r="M38" i="59"/>
  <c r="N38" i="59" s="1"/>
  <c r="F51" i="66"/>
  <c r="H51" i="66" s="1"/>
  <c r="E45" i="64"/>
  <c r="G45" i="64"/>
  <c r="M30" i="62"/>
  <c r="N30" i="62" s="1"/>
  <c r="M32" i="62"/>
  <c r="N32" i="62" s="1"/>
  <c r="M37" i="63"/>
  <c r="N37" i="63" s="1"/>
  <c r="M37" i="65"/>
  <c r="N37" i="65" s="1"/>
  <c r="M30" i="61"/>
  <c r="N30" i="61" s="1"/>
  <c r="M32" i="61"/>
  <c r="N32" i="61" s="1"/>
  <c r="E37" i="60"/>
  <c r="G37" i="60" s="1"/>
  <c r="F45" i="62"/>
  <c r="H45" i="62"/>
  <c r="F52" i="64"/>
  <c r="H52" i="64"/>
  <c r="E37" i="56"/>
  <c r="N48" i="62"/>
  <c r="E35" i="63"/>
  <c r="G36" i="63" s="1"/>
  <c r="E37" i="62"/>
  <c r="O37" i="62" s="1"/>
  <c r="E46" i="64"/>
  <c r="E48" i="64"/>
  <c r="G48" i="64"/>
  <c r="F53" i="64"/>
  <c r="H53" i="64"/>
  <c r="G51" i="64"/>
  <c r="G50" i="64"/>
  <c r="F50" i="64"/>
  <c r="H50" i="64"/>
  <c r="F51" i="64"/>
  <c r="H51" i="64"/>
  <c r="F53" i="62"/>
  <c r="H53" i="62"/>
  <c r="G53" i="62"/>
  <c r="G46" i="54"/>
  <c r="M38" i="67"/>
  <c r="N38" i="67" s="1"/>
  <c r="E35" i="68"/>
  <c r="G35" i="68" s="1"/>
  <c r="R54" i="64"/>
  <c r="Q54" i="64"/>
  <c r="G51" i="62"/>
  <c r="G52" i="62"/>
  <c r="I52" i="62"/>
  <c r="J52" i="62" s="1"/>
  <c r="F52" i="62"/>
  <c r="H52" i="62"/>
  <c r="N51" i="62"/>
  <c r="F47" i="58"/>
  <c r="H47" i="58" s="1"/>
  <c r="F51" i="62"/>
  <c r="H51" i="62"/>
  <c r="G50" i="62"/>
  <c r="F50" i="62"/>
  <c r="H50" i="62"/>
  <c r="G53" i="64"/>
  <c r="G50" i="58"/>
  <c r="G51" i="58"/>
  <c r="F51" i="58"/>
  <c r="H51" i="58" s="1"/>
  <c r="F50" i="58"/>
  <c r="H50" i="58" s="1"/>
  <c r="F46" i="62"/>
  <c r="H46" i="62"/>
  <c r="G46" i="62"/>
  <c r="O46" i="62"/>
  <c r="F52" i="58"/>
  <c r="H52" i="58" s="1"/>
  <c r="G52" i="58"/>
  <c r="G48" i="60"/>
  <c r="N51" i="60"/>
  <c r="G49" i="60"/>
  <c r="F48" i="60"/>
  <c r="H48" i="60" s="1"/>
  <c r="O52" i="60"/>
  <c r="O48" i="60"/>
  <c r="F45" i="68"/>
  <c r="H45" i="68"/>
  <c r="F32" i="66"/>
  <c r="H32" i="66" s="1"/>
  <c r="Q51" i="60"/>
  <c r="O45" i="60"/>
  <c r="F49" i="60"/>
  <c r="H49" i="60" s="1"/>
  <c r="J49" i="55"/>
  <c r="P49" i="55"/>
  <c r="J45" i="55"/>
  <c r="P45" i="55"/>
  <c r="J51" i="55"/>
  <c r="P51" i="55"/>
  <c r="J50" i="55"/>
  <c r="P50" i="55"/>
  <c r="J46" i="55"/>
  <c r="P46" i="55"/>
  <c r="P52" i="55"/>
  <c r="P47" i="55"/>
  <c r="P48" i="55"/>
  <c r="P53" i="55"/>
  <c r="O47" i="64"/>
  <c r="O53" i="64"/>
  <c r="S54" i="64"/>
  <c r="G49" i="64"/>
  <c r="I45" i="64"/>
  <c r="O46" i="64"/>
  <c r="I52" i="64"/>
  <c r="J52" i="64"/>
  <c r="O48" i="64"/>
  <c r="I47" i="64"/>
  <c r="J47" i="64"/>
  <c r="P47" i="64"/>
  <c r="O50" i="64"/>
  <c r="I50" i="64"/>
  <c r="O52" i="64"/>
  <c r="I51" i="64"/>
  <c r="J51" i="64"/>
  <c r="P51" i="64"/>
  <c r="G46" i="64"/>
  <c r="I46" i="64"/>
  <c r="O45" i="64"/>
  <c r="O52" i="65"/>
  <c r="F45" i="64"/>
  <c r="H45" i="64"/>
  <c r="I53" i="64"/>
  <c r="J53" i="64"/>
  <c r="P53" i="64"/>
  <c r="I49" i="64"/>
  <c r="F46" i="64"/>
  <c r="H46" i="64"/>
  <c r="J46" i="64"/>
  <c r="I48" i="64"/>
  <c r="F49" i="64"/>
  <c r="H49" i="64"/>
  <c r="F48" i="64"/>
  <c r="H48" i="64"/>
  <c r="P52" i="64"/>
  <c r="J50" i="64"/>
  <c r="P50" i="64"/>
  <c r="Q47" i="60"/>
  <c r="Q48" i="60"/>
  <c r="Q50" i="60"/>
  <c r="Q49" i="60"/>
  <c r="Q45" i="60"/>
  <c r="Q53" i="60"/>
  <c r="P54" i="55"/>
  <c r="T45" i="55"/>
  <c r="Q45" i="66"/>
  <c r="Q46" i="66"/>
  <c r="Q35" i="60"/>
  <c r="Q34" i="60"/>
  <c r="Q38" i="60"/>
  <c r="Q18" i="60"/>
  <c r="Q21" i="60"/>
  <c r="Q30" i="60"/>
  <c r="Q19" i="60"/>
  <c r="Q32" i="60"/>
  <c r="P46" i="64"/>
  <c r="Q20" i="60"/>
  <c r="Q36" i="60"/>
  <c r="J45" i="64"/>
  <c r="P45" i="64"/>
  <c r="Q33" i="60"/>
  <c r="J48" i="64"/>
  <c r="P48" i="64"/>
  <c r="J49" i="64"/>
  <c r="P49" i="64"/>
  <c r="Q15" i="60"/>
  <c r="Q17" i="60"/>
  <c r="Q23" i="60"/>
  <c r="Q16" i="66"/>
  <c r="Q30" i="66"/>
  <c r="Q31" i="66"/>
  <c r="P54" i="64"/>
  <c r="T45" i="64"/>
  <c r="Q15" i="66"/>
  <c r="G47" i="68"/>
  <c r="O48" i="68"/>
  <c r="F48" i="68"/>
  <c r="H48" i="68"/>
  <c r="G48" i="68"/>
  <c r="G49" i="68"/>
  <c r="M32" i="50"/>
  <c r="N32" i="50" s="1"/>
  <c r="M38" i="63"/>
  <c r="N38" i="63" s="1"/>
  <c r="M30" i="67"/>
  <c r="N30" i="67" s="1"/>
  <c r="M48" i="54"/>
  <c r="N49" i="54" s="1"/>
  <c r="F52" i="68"/>
  <c r="H52" i="68"/>
  <c r="I50" i="68"/>
  <c r="J50" i="68"/>
  <c r="O52" i="68"/>
  <c r="I49" i="68"/>
  <c r="J49" i="68"/>
  <c r="I53" i="68"/>
  <c r="J53" i="68"/>
  <c r="I47" i="68"/>
  <c r="J47" i="68"/>
  <c r="I45" i="68"/>
  <c r="J45" i="68"/>
  <c r="G46" i="68"/>
  <c r="I46" i="68"/>
  <c r="S54" i="68"/>
  <c r="F46" i="68"/>
  <c r="H46" i="68"/>
  <c r="I51" i="68"/>
  <c r="J51" i="68"/>
  <c r="P51" i="68"/>
  <c r="I52" i="68"/>
  <c r="I48" i="68"/>
  <c r="O47" i="68"/>
  <c r="P47" i="68" s="1"/>
  <c r="G53" i="1"/>
  <c r="F53" i="1"/>
  <c r="H53" i="1" s="1"/>
  <c r="E30" i="66"/>
  <c r="O30" i="66" s="1"/>
  <c r="M38" i="68"/>
  <c r="N38" i="68" s="1"/>
  <c r="M31" i="49"/>
  <c r="N31" i="49" s="1"/>
  <c r="E38" i="52"/>
  <c r="F38" i="52" s="1"/>
  <c r="H38" i="52" s="1"/>
  <c r="M38" i="53"/>
  <c r="N38" i="53" s="1"/>
  <c r="E30" i="54"/>
  <c r="O30" i="54" s="1"/>
  <c r="E35" i="54"/>
  <c r="F36" i="54" s="1"/>
  <c r="H36" i="54" s="1"/>
  <c r="M45" i="68"/>
  <c r="N45" i="68" s="1"/>
  <c r="O45" i="68"/>
  <c r="P45" i="68" s="1"/>
  <c r="E38" i="58"/>
  <c r="G38" i="58" s="1"/>
  <c r="O53" i="66"/>
  <c r="M35" i="63"/>
  <c r="N36" i="63" s="1"/>
  <c r="M53" i="68"/>
  <c r="N53" i="68" s="1"/>
  <c r="O53" i="68"/>
  <c r="P53" i="68" s="1"/>
  <c r="M48" i="1"/>
  <c r="N49" i="1" s="1"/>
  <c r="M48" i="66"/>
  <c r="G47" i="65"/>
  <c r="O47" i="65"/>
  <c r="O50" i="68"/>
  <c r="P50" i="68" s="1"/>
  <c r="G47" i="62"/>
  <c r="O52" i="62"/>
  <c r="G52" i="1"/>
  <c r="F52" i="1"/>
  <c r="H52" i="1" s="1"/>
  <c r="F53" i="66"/>
  <c r="H53" i="66" s="1"/>
  <c r="G53" i="66"/>
  <c r="O47" i="56"/>
  <c r="N51" i="67"/>
  <c r="N50" i="67"/>
  <c r="O50" i="67" s="1"/>
  <c r="P50" i="67" s="1"/>
  <c r="G50" i="1"/>
  <c r="F50" i="1"/>
  <c r="H50" i="1" s="1"/>
  <c r="F51" i="1"/>
  <c r="H51" i="1" s="1"/>
  <c r="G51" i="1"/>
  <c r="N50" i="1"/>
  <c r="N51" i="1"/>
  <c r="F53" i="65"/>
  <c r="H53" i="65" s="1"/>
  <c r="G53" i="65"/>
  <c r="F49" i="1"/>
  <c r="H49" i="1" s="1"/>
  <c r="G52" i="66"/>
  <c r="O52" i="66"/>
  <c r="N50" i="61"/>
  <c r="N51" i="61"/>
  <c r="F47" i="1"/>
  <c r="H47" i="1" s="1"/>
  <c r="F46" i="1"/>
  <c r="H46" i="1" s="1"/>
  <c r="G46" i="1"/>
  <c r="O46" i="1"/>
  <c r="G45" i="54"/>
  <c r="J48" i="68"/>
  <c r="J52" i="68"/>
  <c r="J46" i="68"/>
  <c r="P46" i="68"/>
  <c r="E22" i="64" l="1"/>
  <c r="E32" i="64"/>
  <c r="E15" i="64"/>
  <c r="E17" i="64"/>
  <c r="G51" i="59"/>
  <c r="O50" i="59"/>
  <c r="G50" i="59"/>
  <c r="O48" i="59"/>
  <c r="G48" i="59"/>
  <c r="F53" i="59"/>
  <c r="H53" i="59" s="1"/>
  <c r="O53" i="59"/>
  <c r="F52" i="59"/>
  <c r="H52" i="59" s="1"/>
  <c r="G52" i="59"/>
  <c r="O52" i="59"/>
  <c r="F51" i="59"/>
  <c r="H51" i="59" s="1"/>
  <c r="F50" i="59"/>
  <c r="H50" i="59" s="1"/>
  <c r="F49" i="59"/>
  <c r="H49" i="59" s="1"/>
  <c r="F48" i="59"/>
  <c r="H48" i="59" s="1"/>
  <c r="G49" i="59"/>
  <c r="F46" i="59"/>
  <c r="H46" i="59" s="1"/>
  <c r="G46" i="59"/>
  <c r="I52" i="59"/>
  <c r="J52" i="59" s="1"/>
  <c r="P52" i="59" s="1"/>
  <c r="I53" i="59"/>
  <c r="G45" i="59"/>
  <c r="I51" i="59"/>
  <c r="I50" i="59"/>
  <c r="I45" i="59"/>
  <c r="I49" i="59"/>
  <c r="I46" i="59"/>
  <c r="I47" i="59"/>
  <c r="J47" i="59" s="1"/>
  <c r="P47" i="59" s="1"/>
  <c r="I48" i="59"/>
  <c r="O45" i="59"/>
  <c r="F45" i="59"/>
  <c r="H45" i="59" s="1"/>
  <c r="E20" i="55"/>
  <c r="O20" i="55" s="1"/>
  <c r="E20" i="57"/>
  <c r="O20" i="57" s="1"/>
  <c r="E20" i="68"/>
  <c r="E18" i="52"/>
  <c r="G18" i="52" s="1"/>
  <c r="N50" i="53"/>
  <c r="I49" i="53"/>
  <c r="I48" i="53"/>
  <c r="I47" i="53"/>
  <c r="J47" i="53" s="1"/>
  <c r="I46" i="53"/>
  <c r="J46" i="53" s="1"/>
  <c r="P46" i="53" s="1"/>
  <c r="O47" i="53"/>
  <c r="O50" i="53"/>
  <c r="O53" i="53"/>
  <c r="F52" i="53"/>
  <c r="H52" i="53" s="1"/>
  <c r="F51" i="53"/>
  <c r="H51" i="53" s="1"/>
  <c r="F50" i="53"/>
  <c r="H50" i="53" s="1"/>
  <c r="G50" i="53"/>
  <c r="I50" i="53" s="1"/>
  <c r="S54" i="53"/>
  <c r="R54" i="53"/>
  <c r="G45" i="53"/>
  <c r="I45" i="53" s="1"/>
  <c r="J45" i="53" s="1"/>
  <c r="J48" i="53"/>
  <c r="Q54" i="53"/>
  <c r="J49" i="53"/>
  <c r="P49" i="53" s="1"/>
  <c r="I52" i="53"/>
  <c r="O52" i="53"/>
  <c r="G51" i="53"/>
  <c r="I51" i="53" s="1"/>
  <c r="J51" i="53" s="1"/>
  <c r="P51" i="53" s="1"/>
  <c r="G53" i="53"/>
  <c r="I53" i="53" s="1"/>
  <c r="J53" i="53" s="1"/>
  <c r="O48" i="53"/>
  <c r="G46" i="53"/>
  <c r="O45" i="53"/>
  <c r="G49" i="58"/>
  <c r="G48" i="58"/>
  <c r="F48" i="58"/>
  <c r="H48" i="58" s="1"/>
  <c r="O52" i="58"/>
  <c r="G46" i="58"/>
  <c r="I49" i="58"/>
  <c r="J49" i="58" s="1"/>
  <c r="P49" i="58" s="1"/>
  <c r="I46" i="58"/>
  <c r="J46" i="58" s="1"/>
  <c r="I47" i="58"/>
  <c r="J47" i="58" s="1"/>
  <c r="I50" i="58"/>
  <c r="J50" i="58" s="1"/>
  <c r="F45" i="58"/>
  <c r="H45" i="58" s="1"/>
  <c r="I48" i="58"/>
  <c r="O47" i="58"/>
  <c r="I45" i="58"/>
  <c r="O46" i="58"/>
  <c r="I52" i="58"/>
  <c r="J52" i="58" s="1"/>
  <c r="I51" i="58"/>
  <c r="J51" i="58" s="1"/>
  <c r="P51" i="58" s="1"/>
  <c r="S54" i="58"/>
  <c r="G45" i="58"/>
  <c r="O45" i="58"/>
  <c r="O53" i="58"/>
  <c r="I53" i="58"/>
  <c r="J53" i="58" s="1"/>
  <c r="G49" i="54"/>
  <c r="F48" i="54"/>
  <c r="H48" i="54" s="1"/>
  <c r="N49" i="61"/>
  <c r="M20" i="59"/>
  <c r="N21" i="59" s="1"/>
  <c r="E18" i="63"/>
  <c r="M18" i="65"/>
  <c r="N18" i="65" s="1"/>
  <c r="E20" i="66"/>
  <c r="F21" i="66" s="1"/>
  <c r="H21" i="66" s="1"/>
  <c r="E20" i="58"/>
  <c r="E18" i="59"/>
  <c r="F19" i="59" s="1"/>
  <c r="H19" i="59" s="1"/>
  <c r="P52" i="68"/>
  <c r="P48" i="68"/>
  <c r="P49" i="68"/>
  <c r="O53" i="60"/>
  <c r="F53" i="60"/>
  <c r="H53" i="60" s="1"/>
  <c r="I52" i="60"/>
  <c r="J52" i="60" s="1"/>
  <c r="P52" i="60" s="1"/>
  <c r="I51" i="60"/>
  <c r="J51" i="60" s="1"/>
  <c r="P51" i="60" s="1"/>
  <c r="I47" i="60"/>
  <c r="J47" i="60" s="1"/>
  <c r="I53" i="60"/>
  <c r="J53" i="60" s="1"/>
  <c r="S54" i="60"/>
  <c r="G51" i="60"/>
  <c r="I46" i="60"/>
  <c r="J46" i="60" s="1"/>
  <c r="F50" i="60"/>
  <c r="H50" i="60" s="1"/>
  <c r="O47" i="60"/>
  <c r="O50" i="60"/>
  <c r="I48" i="60"/>
  <c r="J48" i="60" s="1"/>
  <c r="P48" i="60" s="1"/>
  <c r="O46" i="60"/>
  <c r="I50" i="60"/>
  <c r="I49" i="60"/>
  <c r="J49" i="60" s="1"/>
  <c r="P49" i="60" s="1"/>
  <c r="I45" i="60"/>
  <c r="J45" i="60" s="1"/>
  <c r="P45" i="60" s="1"/>
  <c r="R54" i="60"/>
  <c r="Q54" i="60"/>
  <c r="G50" i="60"/>
  <c r="E38" i="60"/>
  <c r="O38" i="60" s="1"/>
  <c r="E20" i="61"/>
  <c r="G20" i="61" s="1"/>
  <c r="E50" i="61"/>
  <c r="G50" i="61" s="1"/>
  <c r="E18" i="60"/>
  <c r="F19" i="60" s="1"/>
  <c r="H19" i="60" s="1"/>
  <c r="E20" i="62"/>
  <c r="F21" i="62" s="1"/>
  <c r="H21" i="62" s="1"/>
  <c r="E37" i="61"/>
  <c r="F37" i="61" s="1"/>
  <c r="H37" i="61" s="1"/>
  <c r="M23" i="54"/>
  <c r="N23" i="54" s="1"/>
  <c r="E23" i="58"/>
  <c r="G23" i="58" s="1"/>
  <c r="M23" i="57"/>
  <c r="N23" i="57" s="1"/>
  <c r="E17" i="68"/>
  <c r="F17" i="68" s="1"/>
  <c r="H17" i="68" s="1"/>
  <c r="M16" i="58"/>
  <c r="M23" i="59"/>
  <c r="N23" i="59" s="1"/>
  <c r="M17" i="60"/>
  <c r="M17" i="51"/>
  <c r="E23" i="50"/>
  <c r="G23" i="50" s="1"/>
  <c r="E22" i="52"/>
  <c r="G22" i="52" s="1"/>
  <c r="M22" i="54"/>
  <c r="N22" i="54" s="1"/>
  <c r="M18" i="61"/>
  <c r="N19" i="61" s="1"/>
  <c r="E33" i="58"/>
  <c r="F34" i="58" s="1"/>
  <c r="H34" i="58" s="1"/>
  <c r="M35" i="58"/>
  <c r="N36" i="58" s="1"/>
  <c r="M31" i="59"/>
  <c r="N31" i="59" s="1"/>
  <c r="M50" i="66"/>
  <c r="N51" i="66" s="1"/>
  <c r="E50" i="56"/>
  <c r="F50" i="56" s="1"/>
  <c r="H50" i="56" s="1"/>
  <c r="E47" i="52"/>
  <c r="G47" i="52" s="1"/>
  <c r="G50" i="54"/>
  <c r="M31" i="61"/>
  <c r="N31" i="61" s="1"/>
  <c r="O50" i="54"/>
  <c r="E30" i="1"/>
  <c r="E31" i="58"/>
  <c r="O31" i="58" s="1"/>
  <c r="M32" i="1"/>
  <c r="N32" i="1" s="1"/>
  <c r="E35" i="55"/>
  <c r="F35" i="55" s="1"/>
  <c r="H35" i="55" s="1"/>
  <c r="M37" i="55"/>
  <c r="N37" i="55" s="1"/>
  <c r="E31" i="50"/>
  <c r="F31" i="50" s="1"/>
  <c r="H31" i="50" s="1"/>
  <c r="M46" i="63"/>
  <c r="N46" i="63" s="1"/>
  <c r="E50" i="52"/>
  <c r="F51" i="52" s="1"/>
  <c r="H51" i="52" s="1"/>
  <c r="F51" i="63"/>
  <c r="H51" i="63" s="1"/>
  <c r="E20" i="50"/>
  <c r="F21" i="50" s="1"/>
  <c r="H21" i="50" s="1"/>
  <c r="E37" i="50"/>
  <c r="G37" i="50" s="1"/>
  <c r="E22" i="1"/>
  <c r="G22" i="1" s="1"/>
  <c r="E46" i="56"/>
  <c r="F17" i="67"/>
  <c r="H17" i="67" s="1"/>
  <c r="N50" i="58"/>
  <c r="O50" i="58" s="1"/>
  <c r="M15" i="1"/>
  <c r="N15" i="1" s="1"/>
  <c r="M17" i="54"/>
  <c r="E23" i="54"/>
  <c r="O23" i="54" s="1"/>
  <c r="M18" i="56"/>
  <c r="N19" i="56" s="1"/>
  <c r="E17" i="62"/>
  <c r="G17" i="62" s="1"/>
  <c r="M15" i="63"/>
  <c r="N15" i="63" s="1"/>
  <c r="M17" i="63"/>
  <c r="N17" i="63" s="1"/>
  <c r="E22" i="63"/>
  <c r="E20" i="64"/>
  <c r="F20" i="64" s="1"/>
  <c r="H20" i="64" s="1"/>
  <c r="M22" i="64"/>
  <c r="N22" i="64" s="1"/>
  <c r="M20" i="68"/>
  <c r="N20" i="68" s="1"/>
  <c r="M23" i="51"/>
  <c r="N23" i="51" s="1"/>
  <c r="E16" i="64"/>
  <c r="F16" i="64" s="1"/>
  <c r="H16" i="64" s="1"/>
  <c r="E22" i="51"/>
  <c r="E20" i="53"/>
  <c r="E18" i="67"/>
  <c r="G19" i="67" s="1"/>
  <c r="M18" i="49"/>
  <c r="N18" i="49" s="1"/>
  <c r="E23" i="49"/>
  <c r="F23" i="49" s="1"/>
  <c r="H23" i="49" s="1"/>
  <c r="M17" i="50"/>
  <c r="N16" i="50" s="1"/>
  <c r="E18" i="54"/>
  <c r="M23" i="52"/>
  <c r="N23" i="52" s="1"/>
  <c r="E15" i="53"/>
  <c r="F15" i="53" s="1"/>
  <c r="H15" i="53" s="1"/>
  <c r="M15" i="51"/>
  <c r="N15" i="51" s="1"/>
  <c r="E17" i="52"/>
  <c r="O17" i="52" s="1"/>
  <c r="E20" i="1"/>
  <c r="G21" i="1" s="1"/>
  <c r="M15" i="49"/>
  <c r="N15" i="49" s="1"/>
  <c r="M17" i="49"/>
  <c r="N16" i="49" s="1"/>
  <c r="E22" i="49"/>
  <c r="M16" i="50"/>
  <c r="M15" i="52"/>
  <c r="N15" i="52" s="1"/>
  <c r="M20" i="67"/>
  <c r="N20" i="67" s="1"/>
  <c r="M17" i="1"/>
  <c r="N17" i="1" s="1"/>
  <c r="M22" i="49"/>
  <c r="N22" i="49" s="1"/>
  <c r="E20" i="52"/>
  <c r="G20" i="52" s="1"/>
  <c r="E16" i="53"/>
  <c r="G16" i="53" s="1"/>
  <c r="E18" i="53"/>
  <c r="M31" i="54"/>
  <c r="N31" i="54" s="1"/>
  <c r="R39" i="61"/>
  <c r="E38" i="61"/>
  <c r="G38" i="61" s="1"/>
  <c r="E32" i="65"/>
  <c r="O32" i="65" s="1"/>
  <c r="M35" i="67"/>
  <c r="N36" i="67" s="1"/>
  <c r="E37" i="68"/>
  <c r="F37" i="68" s="1"/>
  <c r="H37" i="68" s="1"/>
  <c r="F30" i="66"/>
  <c r="H30" i="66" s="1"/>
  <c r="O17" i="67"/>
  <c r="E38" i="49"/>
  <c r="G38" i="49" s="1"/>
  <c r="M30" i="50"/>
  <c r="N30" i="50" s="1"/>
  <c r="M33" i="52"/>
  <c r="N33" i="52" s="1"/>
  <c r="M38" i="49"/>
  <c r="N38" i="49" s="1"/>
  <c r="M38" i="52"/>
  <c r="N38" i="52" s="1"/>
  <c r="E16" i="60"/>
  <c r="M31" i="65"/>
  <c r="N31" i="65" s="1"/>
  <c r="E38" i="65"/>
  <c r="F38" i="65" s="1"/>
  <c r="H38" i="65" s="1"/>
  <c r="M22" i="51"/>
  <c r="N22" i="51" s="1"/>
  <c r="M30" i="51"/>
  <c r="N30" i="51" s="1"/>
  <c r="M32" i="51"/>
  <c r="N32" i="51" s="1"/>
  <c r="E37" i="51"/>
  <c r="O37" i="51" s="1"/>
  <c r="O32" i="66"/>
  <c r="E32" i="1"/>
  <c r="E30" i="52"/>
  <c r="O30" i="52" s="1"/>
  <c r="E32" i="52"/>
  <c r="O32" i="52" s="1"/>
  <c r="M32" i="60"/>
  <c r="N32" i="60" s="1"/>
  <c r="M35" i="61"/>
  <c r="N36" i="61" s="1"/>
  <c r="E35" i="67"/>
  <c r="O35" i="67" s="1"/>
  <c r="M37" i="67"/>
  <c r="N37" i="67" s="1"/>
  <c r="F49" i="61"/>
  <c r="H49" i="61" s="1"/>
  <c r="M35" i="51"/>
  <c r="N35" i="51" s="1"/>
  <c r="F36" i="55"/>
  <c r="H36" i="55" s="1"/>
  <c r="M32" i="53"/>
  <c r="N32" i="53" s="1"/>
  <c r="E37" i="53"/>
  <c r="G37" i="53" s="1"/>
  <c r="M38" i="54"/>
  <c r="N38" i="54" s="1"/>
  <c r="E30" i="57"/>
  <c r="O30" i="57" s="1"/>
  <c r="E32" i="57"/>
  <c r="E30" i="58"/>
  <c r="O30" i="58" s="1"/>
  <c r="E32" i="58"/>
  <c r="M30" i="59"/>
  <c r="N30" i="59" s="1"/>
  <c r="E37" i="59"/>
  <c r="F37" i="59" s="1"/>
  <c r="H37" i="59" s="1"/>
  <c r="E30" i="60"/>
  <c r="F30" i="60" s="1"/>
  <c r="H30" i="60" s="1"/>
  <c r="E31" i="61"/>
  <c r="F31" i="61" s="1"/>
  <c r="H31" i="61" s="1"/>
  <c r="E31" i="62"/>
  <c r="O31" i="62" s="1"/>
  <c r="M31" i="63"/>
  <c r="N31" i="63" s="1"/>
  <c r="E38" i="63"/>
  <c r="O38" i="63" s="1"/>
  <c r="M38" i="64"/>
  <c r="N38" i="64" s="1"/>
  <c r="E38" i="50"/>
  <c r="O38" i="50" s="1"/>
  <c r="E31" i="51"/>
  <c r="G31" i="51" s="1"/>
  <c r="E33" i="51"/>
  <c r="G34" i="51" s="1"/>
  <c r="Q39" i="59"/>
  <c r="M33" i="61"/>
  <c r="N33" i="61" s="1"/>
  <c r="M33" i="65"/>
  <c r="N33" i="65" s="1"/>
  <c r="E38" i="66"/>
  <c r="G38" i="66" s="1"/>
  <c r="E31" i="67"/>
  <c r="G31" i="67" s="1"/>
  <c r="M33" i="67"/>
  <c r="N33" i="67" s="1"/>
  <c r="E15" i="68"/>
  <c r="E23" i="68"/>
  <c r="F23" i="68" s="1"/>
  <c r="H23" i="68" s="1"/>
  <c r="M31" i="68"/>
  <c r="N31" i="68" s="1"/>
  <c r="E33" i="68"/>
  <c r="F33" i="68" s="1"/>
  <c r="H33" i="68" s="1"/>
  <c r="M46" i="66"/>
  <c r="N46" i="66" s="1"/>
  <c r="F36" i="68"/>
  <c r="H36" i="68" s="1"/>
  <c r="E35" i="1"/>
  <c r="N48" i="1"/>
  <c r="O48" i="1" s="1"/>
  <c r="M31" i="56"/>
  <c r="N31" i="56" s="1"/>
  <c r="E32" i="55"/>
  <c r="G32" i="55" s="1"/>
  <c r="M38" i="56"/>
  <c r="N38" i="56" s="1"/>
  <c r="M22" i="1"/>
  <c r="N22" i="1" s="1"/>
  <c r="E30" i="68"/>
  <c r="F30" i="68" s="1"/>
  <c r="H30" i="68" s="1"/>
  <c r="M32" i="68"/>
  <c r="N32" i="68" s="1"/>
  <c r="E38" i="68"/>
  <c r="O38" i="68" s="1"/>
  <c r="G36" i="54"/>
  <c r="G30" i="66"/>
  <c r="E15" i="57"/>
  <c r="E17" i="57"/>
  <c r="M15" i="59"/>
  <c r="N15" i="59" s="1"/>
  <c r="M17" i="59"/>
  <c r="N16" i="59" s="1"/>
  <c r="E22" i="59"/>
  <c r="O22" i="59" s="1"/>
  <c r="O35" i="54"/>
  <c r="E35" i="65"/>
  <c r="F36" i="65" s="1"/>
  <c r="H36" i="65" s="1"/>
  <c r="E35" i="58"/>
  <c r="O35" i="58" s="1"/>
  <c r="M37" i="58"/>
  <c r="N37" i="58" s="1"/>
  <c r="E31" i="59"/>
  <c r="F31" i="59" s="1"/>
  <c r="H31" i="59" s="1"/>
  <c r="M38" i="62"/>
  <c r="N38" i="62" s="1"/>
  <c r="E30" i="63"/>
  <c r="E32" i="63"/>
  <c r="F32" i="63" s="1"/>
  <c r="H32" i="63" s="1"/>
  <c r="M30" i="64"/>
  <c r="N30" i="64" s="1"/>
  <c r="M32" i="64"/>
  <c r="N32" i="64" s="1"/>
  <c r="E37" i="64"/>
  <c r="G37" i="64" s="1"/>
  <c r="F37" i="62"/>
  <c r="H37" i="62" s="1"/>
  <c r="F23" i="64"/>
  <c r="H23" i="64" s="1"/>
  <c r="E16" i="1"/>
  <c r="F16" i="1" s="1"/>
  <c r="H16" i="1" s="1"/>
  <c r="M18" i="1"/>
  <c r="N19" i="1" s="1"/>
  <c r="E16" i="49"/>
  <c r="G16" i="49" s="1"/>
  <c r="M20" i="49"/>
  <c r="N21" i="49" s="1"/>
  <c r="E16" i="52"/>
  <c r="M16" i="53"/>
  <c r="M18" i="53"/>
  <c r="N19" i="53" s="1"/>
  <c r="E23" i="53"/>
  <c r="F23" i="53" s="1"/>
  <c r="H23" i="53" s="1"/>
  <c r="M15" i="54"/>
  <c r="N15" i="54" s="1"/>
  <c r="E31" i="57"/>
  <c r="G31" i="57" s="1"/>
  <c r="E33" i="57"/>
  <c r="F33" i="57" s="1"/>
  <c r="H33" i="57" s="1"/>
  <c r="M35" i="57"/>
  <c r="N36" i="57" s="1"/>
  <c r="F47" i="56"/>
  <c r="H47" i="56" s="1"/>
  <c r="E32" i="54"/>
  <c r="F32" i="54" s="1"/>
  <c r="H32" i="54" s="1"/>
  <c r="E31" i="1"/>
  <c r="F31" i="1" s="1"/>
  <c r="H31" i="1" s="1"/>
  <c r="E16" i="55"/>
  <c r="F16" i="55" s="1"/>
  <c r="H16" i="55" s="1"/>
  <c r="M20" i="55"/>
  <c r="N21" i="55" s="1"/>
  <c r="M33" i="66"/>
  <c r="N33" i="66" s="1"/>
  <c r="M45" i="52"/>
  <c r="N45" i="52" s="1"/>
  <c r="M50" i="52"/>
  <c r="N50" i="52" s="1"/>
  <c r="O52" i="56"/>
  <c r="M33" i="49"/>
  <c r="N34" i="49" s="1"/>
  <c r="E33" i="1"/>
  <c r="G34" i="1" s="1"/>
  <c r="Q39" i="49"/>
  <c r="M30" i="52"/>
  <c r="N30" i="52" s="1"/>
  <c r="M32" i="52"/>
  <c r="N32" i="52" s="1"/>
  <c r="E37" i="52"/>
  <c r="F37" i="52" s="1"/>
  <c r="H37" i="52" s="1"/>
  <c r="F32" i="57"/>
  <c r="H32" i="57" s="1"/>
  <c r="O32" i="57"/>
  <c r="N35" i="61"/>
  <c r="F46" i="56"/>
  <c r="H46" i="56" s="1"/>
  <c r="G46" i="56"/>
  <c r="O46" i="56"/>
  <c r="G50" i="63"/>
  <c r="G37" i="62"/>
  <c r="M18" i="50"/>
  <c r="N18" i="50" s="1"/>
  <c r="M38" i="55"/>
  <c r="N38" i="55" s="1"/>
  <c r="E38" i="56"/>
  <c r="G38" i="56" s="1"/>
  <c r="M22" i="60"/>
  <c r="N22" i="60" s="1"/>
  <c r="M23" i="61"/>
  <c r="N23" i="61" s="1"/>
  <c r="M17" i="65"/>
  <c r="E22" i="65"/>
  <c r="F22" i="65" s="1"/>
  <c r="H22" i="65" s="1"/>
  <c r="E15" i="66"/>
  <c r="G15" i="66" s="1"/>
  <c r="E18" i="66"/>
  <c r="F19" i="66" s="1"/>
  <c r="H19" i="66" s="1"/>
  <c r="E22" i="66"/>
  <c r="F22" i="66" s="1"/>
  <c r="H22" i="66" s="1"/>
  <c r="M16" i="67"/>
  <c r="M18" i="67"/>
  <c r="N18" i="67" s="1"/>
  <c r="E23" i="67"/>
  <c r="E48" i="56"/>
  <c r="G49" i="56" s="1"/>
  <c r="E45" i="52"/>
  <c r="I52" i="52" s="1"/>
  <c r="J52" i="52" s="1"/>
  <c r="M48" i="52"/>
  <c r="N49" i="52" s="1"/>
  <c r="M53" i="52"/>
  <c r="N53" i="52" s="1"/>
  <c r="E47" i="61"/>
  <c r="F47" i="61" s="1"/>
  <c r="H47" i="61" s="1"/>
  <c r="M33" i="63"/>
  <c r="N33" i="63" s="1"/>
  <c r="R39" i="63"/>
  <c r="R39" i="64"/>
  <c r="Q39" i="65"/>
  <c r="M33" i="68"/>
  <c r="N34" i="68" s="1"/>
  <c r="R54" i="62"/>
  <c r="M33" i="50"/>
  <c r="N33" i="50" s="1"/>
  <c r="R39" i="62"/>
  <c r="M35" i="49"/>
  <c r="O38" i="52"/>
  <c r="I50" i="1"/>
  <c r="E38" i="59"/>
  <c r="O38" i="59" s="1"/>
  <c r="M37" i="54"/>
  <c r="N37" i="54" s="1"/>
  <c r="E33" i="55"/>
  <c r="F33" i="55" s="1"/>
  <c r="H33" i="55" s="1"/>
  <c r="O52" i="52"/>
  <c r="E37" i="1"/>
  <c r="M23" i="49"/>
  <c r="N23" i="49" s="1"/>
  <c r="E33" i="49"/>
  <c r="G34" i="49" s="1"/>
  <c r="G34" i="58"/>
  <c r="E35" i="60"/>
  <c r="G35" i="60" s="1"/>
  <c r="M35" i="62"/>
  <c r="N35" i="62" s="1"/>
  <c r="G49" i="1"/>
  <c r="F51" i="56"/>
  <c r="H51" i="56" s="1"/>
  <c r="M30" i="1"/>
  <c r="N30" i="1" s="1"/>
  <c r="O37" i="60"/>
  <c r="G48" i="1"/>
  <c r="I48" i="1" s="1"/>
  <c r="J48" i="1" s="1"/>
  <c r="O47" i="52"/>
  <c r="M18" i="58"/>
  <c r="N18" i="58" s="1"/>
  <c r="E30" i="49"/>
  <c r="G30" i="49" s="1"/>
  <c r="G22" i="57"/>
  <c r="I46" i="1"/>
  <c r="J46" i="1" s="1"/>
  <c r="P46" i="1" s="1"/>
  <c r="M30" i="49"/>
  <c r="N30" i="49" s="1"/>
  <c r="M32" i="49"/>
  <c r="N32" i="49" s="1"/>
  <c r="E37" i="49"/>
  <c r="O37" i="49" s="1"/>
  <c r="M31" i="50"/>
  <c r="N31" i="50" s="1"/>
  <c r="O33" i="58"/>
  <c r="F50" i="63"/>
  <c r="H50" i="63" s="1"/>
  <c r="E37" i="57"/>
  <c r="O37" i="57" s="1"/>
  <c r="M20" i="54"/>
  <c r="N21" i="54" s="1"/>
  <c r="E17" i="55"/>
  <c r="O17" i="55" s="1"/>
  <c r="E18" i="55"/>
  <c r="E20" i="56"/>
  <c r="G20" i="56" s="1"/>
  <c r="M23" i="56"/>
  <c r="N23" i="56" s="1"/>
  <c r="E16" i="57"/>
  <c r="G16" i="57" s="1"/>
  <c r="E18" i="57"/>
  <c r="F19" i="57" s="1"/>
  <c r="H19" i="57" s="1"/>
  <c r="M20" i="57"/>
  <c r="N21" i="57" s="1"/>
  <c r="Q24" i="59"/>
  <c r="E15" i="60"/>
  <c r="F15" i="60" s="1"/>
  <c r="H15" i="60" s="1"/>
  <c r="M15" i="68"/>
  <c r="N15" i="68" s="1"/>
  <c r="E23" i="60"/>
  <c r="G23" i="60" s="1"/>
  <c r="M15" i="61"/>
  <c r="N15" i="61" s="1"/>
  <c r="M17" i="61"/>
  <c r="N16" i="61" s="1"/>
  <c r="M16" i="63"/>
  <c r="M18" i="63"/>
  <c r="N18" i="63" s="1"/>
  <c r="E23" i="63"/>
  <c r="M23" i="64"/>
  <c r="N23" i="64" s="1"/>
  <c r="N18" i="68"/>
  <c r="M16" i="1"/>
  <c r="E23" i="51"/>
  <c r="G23" i="51" s="1"/>
  <c r="M16" i="49"/>
  <c r="E20" i="60"/>
  <c r="F20" i="60" s="1"/>
  <c r="H20" i="60" s="1"/>
  <c r="R24" i="62"/>
  <c r="R24" i="63"/>
  <c r="Q24" i="65"/>
  <c r="E20" i="65"/>
  <c r="F20" i="65" s="1"/>
  <c r="H20" i="65" s="1"/>
  <c r="M22" i="65"/>
  <c r="N22" i="65" s="1"/>
  <c r="M22" i="66"/>
  <c r="N22" i="66" s="1"/>
  <c r="Q24" i="67"/>
  <c r="M23" i="67"/>
  <c r="N23" i="67" s="1"/>
  <c r="M23" i="68"/>
  <c r="N23" i="68" s="1"/>
  <c r="F16" i="68"/>
  <c r="H16" i="68" s="1"/>
  <c r="E16" i="54"/>
  <c r="F16" i="54" s="1"/>
  <c r="H16" i="54" s="1"/>
  <c r="M15" i="55"/>
  <c r="N15" i="55" s="1"/>
  <c r="E22" i="55"/>
  <c r="F22" i="55" s="1"/>
  <c r="H22" i="55" s="1"/>
  <c r="E15" i="56"/>
  <c r="F15" i="56" s="1"/>
  <c r="H15" i="56" s="1"/>
  <c r="E17" i="56"/>
  <c r="F17" i="56" s="1"/>
  <c r="H17" i="56" s="1"/>
  <c r="M16" i="57"/>
  <c r="M18" i="57"/>
  <c r="N19" i="57" s="1"/>
  <c r="E23" i="57"/>
  <c r="G23" i="57" s="1"/>
  <c r="M17" i="62"/>
  <c r="N16" i="62" s="1"/>
  <c r="E22" i="62"/>
  <c r="E20" i="63"/>
  <c r="G21" i="63" s="1"/>
  <c r="E18" i="64"/>
  <c r="G18" i="64" s="1"/>
  <c r="E18" i="68"/>
  <c r="M20" i="60"/>
  <c r="N21" i="60" s="1"/>
  <c r="M16" i="54"/>
  <c r="M23" i="58"/>
  <c r="N23" i="58" s="1"/>
  <c r="M20" i="1"/>
  <c r="N21" i="1" s="1"/>
  <c r="E17" i="49"/>
  <c r="G17" i="49" s="1"/>
  <c r="E18" i="49"/>
  <c r="F19" i="49" s="1"/>
  <c r="H19" i="49" s="1"/>
  <c r="M17" i="67"/>
  <c r="N16" i="67" s="1"/>
  <c r="E22" i="67"/>
  <c r="F22" i="67" s="1"/>
  <c r="H22" i="67" s="1"/>
  <c r="M18" i="60"/>
  <c r="N18" i="60" s="1"/>
  <c r="E16" i="61"/>
  <c r="G16" i="61" s="1"/>
  <c r="E18" i="61"/>
  <c r="F19" i="61" s="1"/>
  <c r="H19" i="61" s="1"/>
  <c r="M20" i="61"/>
  <c r="N21" i="61" s="1"/>
  <c r="O22" i="1"/>
  <c r="F18" i="52"/>
  <c r="H18" i="52" s="1"/>
  <c r="E23" i="1"/>
  <c r="G23" i="1" s="1"/>
  <c r="M20" i="51"/>
  <c r="N21" i="51" s="1"/>
  <c r="M18" i="51"/>
  <c r="N19" i="51" s="1"/>
  <c r="M22" i="57"/>
  <c r="N22" i="57" s="1"/>
  <c r="F30" i="63"/>
  <c r="H30" i="63" s="1"/>
  <c r="O30" i="63"/>
  <c r="O32" i="55"/>
  <c r="F31" i="57"/>
  <c r="H31" i="57" s="1"/>
  <c r="G33" i="57"/>
  <c r="G47" i="57"/>
  <c r="F47" i="57"/>
  <c r="H47" i="57" s="1"/>
  <c r="G38" i="52"/>
  <c r="F16" i="63"/>
  <c r="H16" i="63" s="1"/>
  <c r="F50" i="57"/>
  <c r="H50" i="57" s="1"/>
  <c r="G45" i="65"/>
  <c r="F52" i="61"/>
  <c r="H52" i="61" s="1"/>
  <c r="E30" i="62"/>
  <c r="O30" i="62" s="1"/>
  <c r="E32" i="62"/>
  <c r="O32" i="62" s="1"/>
  <c r="E33" i="62"/>
  <c r="M30" i="63"/>
  <c r="N30" i="63" s="1"/>
  <c r="M32" i="63"/>
  <c r="N32" i="63" s="1"/>
  <c r="E37" i="63"/>
  <c r="G37" i="63" s="1"/>
  <c r="E35" i="64"/>
  <c r="O35" i="64" s="1"/>
  <c r="M37" i="64"/>
  <c r="N37" i="64" s="1"/>
  <c r="M30" i="65"/>
  <c r="N30" i="65" s="1"/>
  <c r="M31" i="66"/>
  <c r="N31" i="66" s="1"/>
  <c r="E35" i="66"/>
  <c r="G36" i="66" s="1"/>
  <c r="M38" i="66"/>
  <c r="N38" i="66" s="1"/>
  <c r="R24" i="67"/>
  <c r="M31" i="67"/>
  <c r="N31" i="67" s="1"/>
  <c r="R39" i="67"/>
  <c r="E38" i="67"/>
  <c r="O38" i="67" s="1"/>
  <c r="E32" i="68"/>
  <c r="O32" i="68" s="1"/>
  <c r="M37" i="68"/>
  <c r="N37" i="68" s="1"/>
  <c r="E48" i="57"/>
  <c r="G49" i="57" s="1"/>
  <c r="I49" i="57" s="1"/>
  <c r="E45" i="56"/>
  <c r="G45" i="56" s="1"/>
  <c r="R54" i="58"/>
  <c r="M33" i="60"/>
  <c r="N34" i="60" s="1"/>
  <c r="E33" i="61"/>
  <c r="G33" i="61" s="1"/>
  <c r="F34" i="1"/>
  <c r="H34" i="1" s="1"/>
  <c r="G36" i="68"/>
  <c r="R54" i="68"/>
  <c r="R24" i="51"/>
  <c r="E30" i="51"/>
  <c r="G30" i="51" s="1"/>
  <c r="E32" i="51"/>
  <c r="G32" i="51" s="1"/>
  <c r="Q24" i="53"/>
  <c r="E30" i="53"/>
  <c r="F30" i="53" s="1"/>
  <c r="H30" i="53" s="1"/>
  <c r="E32" i="53"/>
  <c r="O32" i="53" s="1"/>
  <c r="M30" i="54"/>
  <c r="N30" i="54" s="1"/>
  <c r="M32" i="54"/>
  <c r="N32" i="54" s="1"/>
  <c r="E38" i="54"/>
  <c r="G38" i="54" s="1"/>
  <c r="R24" i="55"/>
  <c r="M30" i="55"/>
  <c r="N30" i="55" s="1"/>
  <c r="M32" i="55"/>
  <c r="N32" i="55" s="1"/>
  <c r="E37" i="55"/>
  <c r="O37" i="55" s="1"/>
  <c r="E30" i="56"/>
  <c r="O30" i="56" s="1"/>
  <c r="E32" i="56"/>
  <c r="G32" i="56" s="1"/>
  <c r="M33" i="57"/>
  <c r="N33" i="57" s="1"/>
  <c r="E38" i="57"/>
  <c r="F38" i="57" s="1"/>
  <c r="H38" i="57" s="1"/>
  <c r="Q54" i="57"/>
  <c r="Q24" i="58"/>
  <c r="M31" i="58"/>
  <c r="N31" i="58" s="1"/>
  <c r="E30" i="67"/>
  <c r="F30" i="67" s="1"/>
  <c r="H30" i="67" s="1"/>
  <c r="E32" i="67"/>
  <c r="G32" i="67" s="1"/>
  <c r="O37" i="52"/>
  <c r="F35" i="68"/>
  <c r="H35" i="68" s="1"/>
  <c r="O32" i="49"/>
  <c r="O35" i="68"/>
  <c r="G48" i="63"/>
  <c r="F37" i="53"/>
  <c r="H37" i="53" s="1"/>
  <c r="M32" i="59"/>
  <c r="N32" i="59" s="1"/>
  <c r="M32" i="57"/>
  <c r="N32" i="57" s="1"/>
  <c r="F32" i="49"/>
  <c r="H32" i="49" s="1"/>
  <c r="M30" i="58"/>
  <c r="N30" i="58" s="1"/>
  <c r="M32" i="58"/>
  <c r="N32" i="58" s="1"/>
  <c r="G37" i="52"/>
  <c r="F17" i="59"/>
  <c r="H17" i="59" s="1"/>
  <c r="O17" i="59"/>
  <c r="N50" i="63"/>
  <c r="N51" i="63"/>
  <c r="G47" i="54"/>
  <c r="O47" i="54"/>
  <c r="F47" i="54"/>
  <c r="H47" i="54" s="1"/>
  <c r="F37" i="1"/>
  <c r="H37" i="1" s="1"/>
  <c r="O37" i="1"/>
  <c r="G37" i="1"/>
  <c r="F17" i="52"/>
  <c r="H17" i="52" s="1"/>
  <c r="G32" i="57"/>
  <c r="F35" i="54"/>
  <c r="H35" i="54" s="1"/>
  <c r="G20" i="67"/>
  <c r="F49" i="63"/>
  <c r="H49" i="63" s="1"/>
  <c r="G52" i="56"/>
  <c r="O53" i="52"/>
  <c r="E15" i="49"/>
  <c r="G35" i="54"/>
  <c r="G21" i="55"/>
  <c r="F22" i="61"/>
  <c r="H22" i="61" s="1"/>
  <c r="G49" i="63"/>
  <c r="O46" i="52"/>
  <c r="F50" i="52"/>
  <c r="H50" i="52" s="1"/>
  <c r="G30" i="64"/>
  <c r="E33" i="67"/>
  <c r="G34" i="67" s="1"/>
  <c r="Q39" i="67"/>
  <c r="R54" i="67"/>
  <c r="Q24" i="68"/>
  <c r="Q54" i="68"/>
  <c r="G51" i="52"/>
  <c r="F20" i="67"/>
  <c r="H20" i="67" s="1"/>
  <c r="G21" i="66"/>
  <c r="G50" i="52"/>
  <c r="E31" i="54"/>
  <c r="M38" i="58"/>
  <c r="N38" i="58" s="1"/>
  <c r="E30" i="59"/>
  <c r="O30" i="59" s="1"/>
  <c r="E32" i="59"/>
  <c r="R39" i="59"/>
  <c r="R24" i="60"/>
  <c r="E32" i="60"/>
  <c r="G32" i="60" s="1"/>
  <c r="R39" i="60"/>
  <c r="M37" i="60"/>
  <c r="N37" i="60" s="1"/>
  <c r="Q24" i="61"/>
  <c r="Q39" i="61"/>
  <c r="E35" i="61"/>
  <c r="O35" i="61" s="1"/>
  <c r="M37" i="61"/>
  <c r="N37" i="61" s="1"/>
  <c r="E35" i="62"/>
  <c r="F35" i="62" s="1"/>
  <c r="H35" i="62" s="1"/>
  <c r="M37" i="62"/>
  <c r="N37" i="62" s="1"/>
  <c r="E31" i="63"/>
  <c r="O31" i="63" s="1"/>
  <c r="Q39" i="63"/>
  <c r="Q54" i="63"/>
  <c r="Q24" i="64"/>
  <c r="M31" i="64"/>
  <c r="N31" i="64" s="1"/>
  <c r="M33" i="64"/>
  <c r="N34" i="64" s="1"/>
  <c r="E38" i="64"/>
  <c r="G38" i="64" s="1"/>
  <c r="R24" i="65"/>
  <c r="E31" i="65"/>
  <c r="O31" i="65" s="1"/>
  <c r="E33" i="65"/>
  <c r="O33" i="65" s="1"/>
  <c r="M35" i="65"/>
  <c r="N36" i="65" s="1"/>
  <c r="R39" i="65"/>
  <c r="R54" i="65"/>
  <c r="M32" i="66"/>
  <c r="N32" i="66" s="1"/>
  <c r="M35" i="66"/>
  <c r="Q24" i="57"/>
  <c r="R24" i="58"/>
  <c r="M33" i="58"/>
  <c r="N33" i="58" s="1"/>
  <c r="R39" i="58"/>
  <c r="R54" i="63"/>
  <c r="M16" i="51"/>
  <c r="M31" i="55"/>
  <c r="N31" i="55" s="1"/>
  <c r="M33" i="55"/>
  <c r="N34" i="55" s="1"/>
  <c r="R39" i="55"/>
  <c r="E38" i="55"/>
  <c r="F38" i="55" s="1"/>
  <c r="H38" i="55" s="1"/>
  <c r="M16" i="56"/>
  <c r="R24" i="56"/>
  <c r="E31" i="56"/>
  <c r="F31" i="56" s="1"/>
  <c r="H31" i="56" s="1"/>
  <c r="E33" i="56"/>
  <c r="F34" i="56" s="1"/>
  <c r="H34" i="56" s="1"/>
  <c r="M35" i="56"/>
  <c r="N35" i="56" s="1"/>
  <c r="R39" i="56"/>
  <c r="R24" i="57"/>
  <c r="M30" i="57"/>
  <c r="N30" i="57" s="1"/>
  <c r="R39" i="57"/>
  <c r="G16" i="65"/>
  <c r="G19" i="52"/>
  <c r="O53" i="54"/>
  <c r="M37" i="49"/>
  <c r="N37" i="49" s="1"/>
  <c r="E15" i="50"/>
  <c r="F15" i="50" s="1"/>
  <c r="H15" i="50" s="1"/>
  <c r="E17" i="50"/>
  <c r="G17" i="50" s="1"/>
  <c r="R24" i="50"/>
  <c r="M35" i="50"/>
  <c r="N35" i="50" s="1"/>
  <c r="Q24" i="51"/>
  <c r="M20" i="52"/>
  <c r="N21" i="52" s="1"/>
  <c r="R24" i="52"/>
  <c r="R39" i="52"/>
  <c r="E35" i="52"/>
  <c r="O35" i="52" s="1"/>
  <c r="M37" i="52"/>
  <c r="N37" i="52" s="1"/>
  <c r="R54" i="52"/>
  <c r="E31" i="53"/>
  <c r="G31" i="53" s="1"/>
  <c r="E33" i="53"/>
  <c r="G34" i="53" s="1"/>
  <c r="M35" i="53"/>
  <c r="N35" i="53" s="1"/>
  <c r="Q39" i="54"/>
  <c r="E33" i="54"/>
  <c r="F33" i="54" s="1"/>
  <c r="H33" i="54" s="1"/>
  <c r="E37" i="54"/>
  <c r="O37" i="54" s="1"/>
  <c r="Q24" i="55"/>
  <c r="Q24" i="56"/>
  <c r="M33" i="56"/>
  <c r="N34" i="56" s="1"/>
  <c r="M22" i="68"/>
  <c r="N22" i="68" s="1"/>
  <c r="G49" i="61"/>
  <c r="M37" i="1"/>
  <c r="N37" i="1" s="1"/>
  <c r="R39" i="1"/>
  <c r="R24" i="1"/>
  <c r="E38" i="1"/>
  <c r="F38" i="1" s="1"/>
  <c r="H38" i="1" s="1"/>
  <c r="E17" i="1"/>
  <c r="G17" i="1" s="1"/>
  <c r="Q24" i="49"/>
  <c r="E31" i="49"/>
  <c r="O31" i="49" s="1"/>
  <c r="Q24" i="50"/>
  <c r="E30" i="50"/>
  <c r="G30" i="50" s="1"/>
  <c r="E32" i="50"/>
  <c r="O32" i="50" s="1"/>
  <c r="E33" i="50"/>
  <c r="O33" i="50" s="1"/>
  <c r="M31" i="51"/>
  <c r="N31" i="51" s="1"/>
  <c r="M33" i="51"/>
  <c r="N33" i="51" s="1"/>
  <c r="R39" i="51"/>
  <c r="E38" i="51"/>
  <c r="O38" i="51" s="1"/>
  <c r="Q24" i="52"/>
  <c r="M35" i="52"/>
  <c r="N36" i="52" s="1"/>
  <c r="Q39" i="52"/>
  <c r="M31" i="53"/>
  <c r="N31" i="53" s="1"/>
  <c r="M33" i="53"/>
  <c r="N34" i="53" s="1"/>
  <c r="Q39" i="53"/>
  <c r="E38" i="53"/>
  <c r="O38" i="53" s="1"/>
  <c r="E16" i="59"/>
  <c r="M31" i="62"/>
  <c r="N31" i="62" s="1"/>
  <c r="M33" i="62"/>
  <c r="E38" i="62"/>
  <c r="F38" i="62" s="1"/>
  <c r="H38" i="62" s="1"/>
  <c r="M37" i="66"/>
  <c r="N37" i="66" s="1"/>
  <c r="O45" i="52"/>
  <c r="Q54" i="1"/>
  <c r="M33" i="1"/>
  <c r="N33" i="1" s="1"/>
  <c r="Q39" i="1"/>
  <c r="R24" i="49"/>
  <c r="F50" i="61"/>
  <c r="H50" i="61" s="1"/>
  <c r="O50" i="52"/>
  <c r="E17" i="51"/>
  <c r="E33" i="59"/>
  <c r="O33" i="59" s="1"/>
  <c r="E33" i="60"/>
  <c r="G34" i="60" s="1"/>
  <c r="G46" i="52"/>
  <c r="R39" i="68"/>
  <c r="M32" i="65"/>
  <c r="N32" i="65" s="1"/>
  <c r="E37" i="65"/>
  <c r="O52" i="54"/>
  <c r="G52" i="54"/>
  <c r="I49" i="54"/>
  <c r="F52" i="54"/>
  <c r="H52" i="54" s="1"/>
  <c r="O32" i="60"/>
  <c r="O32" i="58"/>
  <c r="F32" i="58"/>
  <c r="H32" i="58" s="1"/>
  <c r="G32" i="58"/>
  <c r="O32" i="1"/>
  <c r="O18" i="54"/>
  <c r="G19" i="54"/>
  <c r="O31" i="1"/>
  <c r="G31" i="1"/>
  <c r="O33" i="49"/>
  <c r="N35" i="49"/>
  <c r="N36" i="49"/>
  <c r="E33" i="63"/>
  <c r="N48" i="54"/>
  <c r="F46" i="57"/>
  <c r="H46" i="57" s="1"/>
  <c r="N33" i="49"/>
  <c r="I46" i="52"/>
  <c r="E20" i="49"/>
  <c r="F21" i="49" s="1"/>
  <c r="H21" i="49" s="1"/>
  <c r="E22" i="50"/>
  <c r="F22" i="50" s="1"/>
  <c r="H22" i="50" s="1"/>
  <c r="M23" i="53"/>
  <c r="N23" i="53" s="1"/>
  <c r="O35" i="63"/>
  <c r="P54" i="68"/>
  <c r="G37" i="66"/>
  <c r="F49" i="54"/>
  <c r="H49" i="54" s="1"/>
  <c r="M23" i="1"/>
  <c r="N23" i="1" s="1"/>
  <c r="E35" i="59"/>
  <c r="F32" i="51"/>
  <c r="H32" i="51" s="1"/>
  <c r="F19" i="63"/>
  <c r="H19" i="63" s="1"/>
  <c r="N16" i="58"/>
  <c r="F37" i="66"/>
  <c r="H37" i="66" s="1"/>
  <c r="G16" i="66"/>
  <c r="Q39" i="62"/>
  <c r="Q54" i="62"/>
  <c r="E53" i="56"/>
  <c r="M38" i="60"/>
  <c r="N38" i="60" s="1"/>
  <c r="E15" i="63"/>
  <c r="O20" i="63" s="1"/>
  <c r="N35" i="57"/>
  <c r="O48" i="54"/>
  <c r="F32" i="52"/>
  <c r="H32" i="52" s="1"/>
  <c r="G51" i="56"/>
  <c r="O35" i="55"/>
  <c r="F47" i="52"/>
  <c r="H47" i="52" s="1"/>
  <c r="R39" i="50"/>
  <c r="E35" i="50"/>
  <c r="G45" i="52"/>
  <c r="I45" i="52"/>
  <c r="E31" i="60"/>
  <c r="J50" i="1"/>
  <c r="F30" i="57"/>
  <c r="H30" i="57" s="1"/>
  <c r="O38" i="49"/>
  <c r="N34" i="61"/>
  <c r="F30" i="56"/>
  <c r="H30" i="56" s="1"/>
  <c r="G50" i="56"/>
  <c r="M35" i="1"/>
  <c r="N35" i="1" s="1"/>
  <c r="O50" i="56"/>
  <c r="F15" i="55"/>
  <c r="H15" i="55" s="1"/>
  <c r="F47" i="63"/>
  <c r="H47" i="63" s="1"/>
  <c r="E35" i="53"/>
  <c r="M37" i="53"/>
  <c r="N37" i="53" s="1"/>
  <c r="F17" i="54"/>
  <c r="H17" i="54" s="1"/>
  <c r="F38" i="61"/>
  <c r="H38" i="61" s="1"/>
  <c r="M23" i="60"/>
  <c r="N23" i="60" s="1"/>
  <c r="N19" i="64"/>
  <c r="N20" i="63"/>
  <c r="E15" i="1"/>
  <c r="F15" i="1" s="1"/>
  <c r="H15" i="1" s="1"/>
  <c r="E18" i="1"/>
  <c r="G18" i="1" s="1"/>
  <c r="M15" i="50"/>
  <c r="N15" i="50" s="1"/>
  <c r="E22" i="60"/>
  <c r="F20" i="57"/>
  <c r="H20" i="57" s="1"/>
  <c r="F21" i="61"/>
  <c r="H21" i="61" s="1"/>
  <c r="M22" i="50"/>
  <c r="N22" i="50" s="1"/>
  <c r="F21" i="55"/>
  <c r="H21" i="55" s="1"/>
  <c r="O22" i="57"/>
  <c r="G20" i="55"/>
  <c r="F23" i="65"/>
  <c r="H23" i="65" s="1"/>
  <c r="E16" i="50"/>
  <c r="M20" i="50"/>
  <c r="N20" i="50" s="1"/>
  <c r="M16" i="59"/>
  <c r="F20" i="55"/>
  <c r="H20" i="55" s="1"/>
  <c r="G21" i="67"/>
  <c r="N18" i="62"/>
  <c r="M18" i="59"/>
  <c r="N18" i="59" s="1"/>
  <c r="E15" i="61"/>
  <c r="G15" i="61" s="1"/>
  <c r="E17" i="61"/>
  <c r="F17" i="61" s="1"/>
  <c r="H17" i="61" s="1"/>
  <c r="E15" i="62"/>
  <c r="F15" i="62" s="1"/>
  <c r="H15" i="62" s="1"/>
  <c r="N17" i="64"/>
  <c r="G21" i="61"/>
  <c r="M20" i="64"/>
  <c r="F19" i="52"/>
  <c r="H19" i="52" s="1"/>
  <c r="M23" i="50"/>
  <c r="N23" i="50" s="1"/>
  <c r="E16" i="56"/>
  <c r="E18" i="56"/>
  <c r="O18" i="56" s="1"/>
  <c r="G23" i="54"/>
  <c r="E48" i="65"/>
  <c r="I53" i="65" s="1"/>
  <c r="J53" i="65" s="1"/>
  <c r="P53" i="65" s="1"/>
  <c r="E15" i="52"/>
  <c r="M15" i="53"/>
  <c r="N15" i="53" s="1"/>
  <c r="M17" i="53"/>
  <c r="N16" i="53" s="1"/>
  <c r="E22" i="53"/>
  <c r="E22" i="54"/>
  <c r="M16" i="61"/>
  <c r="E23" i="61"/>
  <c r="R24" i="64"/>
  <c r="M23" i="65"/>
  <c r="N23" i="65" s="1"/>
  <c r="E17" i="66"/>
  <c r="M20" i="66"/>
  <c r="M16" i="68"/>
  <c r="E22" i="68"/>
  <c r="O20" i="68" s="1"/>
  <c r="Q24" i="1"/>
  <c r="E20" i="51"/>
  <c r="G20" i="51" s="1"/>
  <c r="Q24" i="63"/>
  <c r="N20" i="59"/>
  <c r="N16" i="1"/>
  <c r="G20" i="68"/>
  <c r="E16" i="51"/>
  <c r="M17" i="52"/>
  <c r="E23" i="59"/>
  <c r="E17" i="60"/>
  <c r="Q24" i="62"/>
  <c r="M23" i="62"/>
  <c r="N23" i="62" s="1"/>
  <c r="E15" i="65"/>
  <c r="E17" i="65"/>
  <c r="M17" i="66"/>
  <c r="E16" i="67"/>
  <c r="O20" i="67" s="1"/>
  <c r="E18" i="51"/>
  <c r="F22" i="56"/>
  <c r="H22" i="56" s="1"/>
  <c r="F15" i="59"/>
  <c r="H15" i="59" s="1"/>
  <c r="N18" i="54"/>
  <c r="M22" i="52"/>
  <c r="N22" i="52" s="1"/>
  <c r="M20" i="53"/>
  <c r="E15" i="54"/>
  <c r="E20" i="54"/>
  <c r="F21" i="54" s="1"/>
  <c r="H21" i="54" s="1"/>
  <c r="M18" i="55"/>
  <c r="N19" i="55" s="1"/>
  <c r="E23" i="55"/>
  <c r="O15" i="55" s="1"/>
  <c r="M20" i="56"/>
  <c r="E15" i="58"/>
  <c r="E17" i="58"/>
  <c r="M15" i="65"/>
  <c r="N15" i="65" s="1"/>
  <c r="N16" i="56"/>
  <c r="M15" i="62"/>
  <c r="N15" i="62" s="1"/>
  <c r="M15" i="66"/>
  <c r="N15" i="66" s="1"/>
  <c r="M18" i="66"/>
  <c r="N19" i="66" s="1"/>
  <c r="F15" i="67"/>
  <c r="H15" i="67" s="1"/>
  <c r="F16" i="53"/>
  <c r="H16" i="53" s="1"/>
  <c r="Q24" i="60"/>
  <c r="F18" i="55"/>
  <c r="H18" i="55" s="1"/>
  <c r="M22" i="63"/>
  <c r="N22" i="63" s="1"/>
  <c r="F21" i="57"/>
  <c r="H21" i="57" s="1"/>
  <c r="E15" i="51"/>
  <c r="G15" i="51" s="1"/>
  <c r="M16" i="52"/>
  <c r="M18" i="52"/>
  <c r="E23" i="52"/>
  <c r="F23" i="52" s="1"/>
  <c r="H23" i="52" s="1"/>
  <c r="E18" i="65"/>
  <c r="F19" i="65" s="1"/>
  <c r="H19" i="65" s="1"/>
  <c r="E17" i="53"/>
  <c r="M17" i="55"/>
  <c r="E16" i="58"/>
  <c r="E18" i="58"/>
  <c r="M20" i="58"/>
  <c r="N21" i="58" s="1"/>
  <c r="E20" i="59"/>
  <c r="O18" i="59" s="1"/>
  <c r="M22" i="59"/>
  <c r="N22" i="59" s="1"/>
  <c r="E16" i="62"/>
  <c r="F16" i="62" s="1"/>
  <c r="H16" i="62" s="1"/>
  <c r="E18" i="62"/>
  <c r="M20" i="62"/>
  <c r="M15" i="67"/>
  <c r="N15" i="67" s="1"/>
  <c r="E18" i="50"/>
  <c r="O30" i="68"/>
  <c r="F30" i="1"/>
  <c r="H30" i="1" s="1"/>
  <c r="G30" i="1"/>
  <c r="O30" i="1"/>
  <c r="G30" i="54"/>
  <c r="O47" i="1"/>
  <c r="I45" i="1"/>
  <c r="J45" i="1" s="1"/>
  <c r="O53" i="1"/>
  <c r="N51" i="68"/>
  <c r="N50" i="68"/>
  <c r="F30" i="52"/>
  <c r="H30" i="52" s="1"/>
  <c r="G30" i="52"/>
  <c r="F23" i="62"/>
  <c r="H23" i="62" s="1"/>
  <c r="G32" i="1"/>
  <c r="F32" i="1"/>
  <c r="H32" i="1" s="1"/>
  <c r="G53" i="57"/>
  <c r="F53" i="57"/>
  <c r="H53" i="57" s="1"/>
  <c r="O16" i="54"/>
  <c r="N20" i="51"/>
  <c r="F36" i="1"/>
  <c r="H36" i="1" s="1"/>
  <c r="O35" i="1"/>
  <c r="G35" i="1"/>
  <c r="G36" i="1"/>
  <c r="F35" i="1"/>
  <c r="H35" i="1" s="1"/>
  <c r="G32" i="53"/>
  <c r="F32" i="53"/>
  <c r="H32" i="53" s="1"/>
  <c r="F38" i="58"/>
  <c r="H38" i="58" s="1"/>
  <c r="O38" i="58"/>
  <c r="F35" i="65"/>
  <c r="H35" i="65" s="1"/>
  <c r="G35" i="65"/>
  <c r="G36" i="65"/>
  <c r="O35" i="65"/>
  <c r="F45" i="57"/>
  <c r="H45" i="57" s="1"/>
  <c r="G45" i="57"/>
  <c r="F30" i="64"/>
  <c r="H30" i="64" s="1"/>
  <c r="F37" i="63"/>
  <c r="H37" i="63" s="1"/>
  <c r="E35" i="51"/>
  <c r="M38" i="51"/>
  <c r="N38" i="51" s="1"/>
  <c r="E31" i="64"/>
  <c r="O31" i="64" s="1"/>
  <c r="E33" i="64"/>
  <c r="F33" i="64" s="1"/>
  <c r="H33" i="64" s="1"/>
  <c r="M35" i="64"/>
  <c r="N35" i="64" s="1"/>
  <c r="Q39" i="64"/>
  <c r="E53" i="63"/>
  <c r="G51" i="57"/>
  <c r="F33" i="51"/>
  <c r="H33" i="51" s="1"/>
  <c r="F23" i="56"/>
  <c r="H23" i="56" s="1"/>
  <c r="M38" i="1"/>
  <c r="N38" i="1" s="1"/>
  <c r="Q39" i="57"/>
  <c r="M31" i="60"/>
  <c r="N31" i="60" s="1"/>
  <c r="G50" i="57"/>
  <c r="G22" i="58"/>
  <c r="E30" i="55"/>
  <c r="I36" i="55" s="1"/>
  <c r="J36" i="55" s="1"/>
  <c r="P36" i="55" s="1"/>
  <c r="G21" i="68"/>
  <c r="G33" i="51"/>
  <c r="F35" i="67"/>
  <c r="H35" i="67" s="1"/>
  <c r="O31" i="51"/>
  <c r="G37" i="61"/>
  <c r="F33" i="1"/>
  <c r="H33" i="1" s="1"/>
  <c r="F38" i="59"/>
  <c r="H38" i="59" s="1"/>
  <c r="I47" i="52"/>
  <c r="J47" i="52" s="1"/>
  <c r="O15" i="59"/>
  <c r="F36" i="67"/>
  <c r="H36" i="67" s="1"/>
  <c r="R54" i="1"/>
  <c r="M37" i="57"/>
  <c r="N37" i="57" s="1"/>
  <c r="M33" i="59"/>
  <c r="N33" i="59" s="1"/>
  <c r="E30" i="61"/>
  <c r="G30" i="61" s="1"/>
  <c r="E32" i="61"/>
  <c r="O32" i="61" s="1"/>
  <c r="M30" i="66"/>
  <c r="N30" i="66" s="1"/>
  <c r="M32" i="67"/>
  <c r="N32" i="67" s="1"/>
  <c r="E37" i="67"/>
  <c r="Q54" i="67"/>
  <c r="M30" i="68"/>
  <c r="N30" i="68" s="1"/>
  <c r="Q39" i="68"/>
  <c r="M35" i="68"/>
  <c r="O38" i="61"/>
  <c r="Q39" i="58"/>
  <c r="Q54" i="58"/>
  <c r="R24" i="59"/>
  <c r="R24" i="61"/>
  <c r="N34" i="58"/>
  <c r="F38" i="51"/>
  <c r="H38" i="51" s="1"/>
  <c r="O37" i="61"/>
  <c r="G31" i="59"/>
  <c r="G38" i="59"/>
  <c r="F18" i="63"/>
  <c r="H18" i="63" s="1"/>
  <c r="R24" i="68"/>
  <c r="R54" i="57"/>
  <c r="E31" i="66"/>
  <c r="G31" i="66" s="1"/>
  <c r="E33" i="66"/>
  <c r="O33" i="66" s="1"/>
  <c r="M37" i="59"/>
  <c r="N37" i="59" s="1"/>
  <c r="E30" i="65"/>
  <c r="O31" i="68"/>
  <c r="I48" i="52"/>
  <c r="F48" i="52"/>
  <c r="H48" i="52" s="1"/>
  <c r="N16" i="68"/>
  <c r="R39" i="53"/>
  <c r="Q24" i="54"/>
  <c r="M33" i="54"/>
  <c r="N34" i="54" s="1"/>
  <c r="M35" i="54"/>
  <c r="N36" i="54" s="1"/>
  <c r="Q54" i="54"/>
  <c r="E31" i="55"/>
  <c r="G31" i="55" s="1"/>
  <c r="M35" i="55"/>
  <c r="Q39" i="55"/>
  <c r="Q39" i="56"/>
  <c r="E35" i="56"/>
  <c r="M37" i="56"/>
  <c r="N37" i="56" s="1"/>
  <c r="Q54" i="56"/>
  <c r="R54" i="56"/>
  <c r="E35" i="57"/>
  <c r="Q54" i="65"/>
  <c r="G31" i="68"/>
  <c r="E31" i="52"/>
  <c r="G31" i="52" s="1"/>
  <c r="E33" i="52"/>
  <c r="I35" i="52" s="1"/>
  <c r="Q54" i="52"/>
  <c r="M35" i="60"/>
  <c r="N35" i="60" s="1"/>
  <c r="G37" i="49"/>
  <c r="F37" i="49"/>
  <c r="H37" i="49" s="1"/>
  <c r="O18" i="52"/>
  <c r="G31" i="56"/>
  <c r="O31" i="56"/>
  <c r="F34" i="59"/>
  <c r="H34" i="59" s="1"/>
  <c r="G33" i="59"/>
  <c r="G34" i="59"/>
  <c r="F50" i="54"/>
  <c r="H50" i="54" s="1"/>
  <c r="I46" i="54"/>
  <c r="G51" i="54"/>
  <c r="I50" i="54"/>
  <c r="S54" i="54"/>
  <c r="I47" i="54"/>
  <c r="I52" i="54"/>
  <c r="F45" i="52"/>
  <c r="H45" i="52" s="1"/>
  <c r="I51" i="52"/>
  <c r="J51" i="52" s="1"/>
  <c r="P51" i="52" s="1"/>
  <c r="S54" i="52"/>
  <c r="I49" i="52"/>
  <c r="I53" i="52"/>
  <c r="I50" i="52"/>
  <c r="G20" i="57"/>
  <c r="F19" i="67"/>
  <c r="H19" i="67" s="1"/>
  <c r="N50" i="66"/>
  <c r="N17" i="50"/>
  <c r="G38" i="50"/>
  <c r="F38" i="50"/>
  <c r="H38" i="50" s="1"/>
  <c r="F52" i="63"/>
  <c r="H52" i="63" s="1"/>
  <c r="G52" i="63"/>
  <c r="O33" i="57"/>
  <c r="N20" i="65"/>
  <c r="N21" i="65"/>
  <c r="G47" i="1"/>
  <c r="I47" i="1" s="1"/>
  <c r="J47" i="1" s="1"/>
  <c r="O52" i="1"/>
  <c r="I49" i="1"/>
  <c r="J49" i="1" s="1"/>
  <c r="P49" i="1" s="1"/>
  <c r="S54" i="1"/>
  <c r="G21" i="57"/>
  <c r="G32" i="68"/>
  <c r="O33" i="1"/>
  <c r="N48" i="66"/>
  <c r="N49" i="66"/>
  <c r="O37" i="50"/>
  <c r="F37" i="50"/>
  <c r="H37" i="50" s="1"/>
  <c r="N16" i="57"/>
  <c r="N17" i="57"/>
  <c r="F52" i="65"/>
  <c r="H52" i="65" s="1"/>
  <c r="G52" i="65"/>
  <c r="F18" i="59"/>
  <c r="H18" i="59" s="1"/>
  <c r="F19" i="54"/>
  <c r="H19" i="54" s="1"/>
  <c r="G18" i="54"/>
  <c r="F18" i="54"/>
  <c r="H18" i="54" s="1"/>
  <c r="F30" i="54"/>
  <c r="H30" i="54" s="1"/>
  <c r="F23" i="50"/>
  <c r="H23" i="50" s="1"/>
  <c r="N35" i="63"/>
  <c r="F32" i="60"/>
  <c r="H32" i="60" s="1"/>
  <c r="F19" i="55"/>
  <c r="H19" i="55" s="1"/>
  <c r="G35" i="63"/>
  <c r="F35" i="63"/>
  <c r="H35" i="63" s="1"/>
  <c r="F36" i="63"/>
  <c r="H36" i="63" s="1"/>
  <c r="G48" i="52"/>
  <c r="F49" i="52"/>
  <c r="H49" i="52" s="1"/>
  <c r="G49" i="52"/>
  <c r="F46" i="54"/>
  <c r="H46" i="54" s="1"/>
  <c r="O46" i="54"/>
  <c r="O31" i="50"/>
  <c r="G31" i="50"/>
  <c r="F36" i="53"/>
  <c r="H36" i="53" s="1"/>
  <c r="G35" i="53"/>
  <c r="G38" i="60"/>
  <c r="F38" i="60"/>
  <c r="H38" i="60" s="1"/>
  <c r="G18" i="59"/>
  <c r="F34" i="57"/>
  <c r="H34" i="57" s="1"/>
  <c r="G34" i="57"/>
  <c r="R24" i="53"/>
  <c r="O45" i="1"/>
  <c r="I51" i="1"/>
  <c r="J51" i="1" s="1"/>
  <c r="P51" i="1" s="1"/>
  <c r="I52" i="1"/>
  <c r="J52" i="1" s="1"/>
  <c r="Q24" i="66"/>
  <c r="I53" i="1"/>
  <c r="J53" i="1" s="1"/>
  <c r="Q39" i="60"/>
  <c r="P52" i="62"/>
  <c r="G52" i="52"/>
  <c r="R39" i="49"/>
  <c r="E35" i="49"/>
  <c r="I34" i="49" s="1"/>
  <c r="E53" i="61"/>
  <c r="E46" i="61"/>
  <c r="F46" i="61" s="1"/>
  <c r="H46" i="61" s="1"/>
  <c r="G36" i="55"/>
  <c r="F33" i="58"/>
  <c r="H33" i="58" s="1"/>
  <c r="N35" i="67"/>
  <c r="F53" i="52"/>
  <c r="H53" i="52" s="1"/>
  <c r="M38" i="50"/>
  <c r="N38" i="50" s="1"/>
  <c r="M35" i="59"/>
  <c r="Q39" i="51"/>
  <c r="G35" i="55"/>
  <c r="N51" i="52"/>
  <c r="M30" i="60"/>
  <c r="N30" i="60" s="1"/>
  <c r="N35" i="58"/>
  <c r="G33" i="58"/>
  <c r="G32" i="65"/>
  <c r="G30" i="63"/>
  <c r="Q39" i="50"/>
  <c r="M38" i="65"/>
  <c r="N38" i="65" s="1"/>
  <c r="M31" i="1"/>
  <c r="N31" i="1" s="1"/>
  <c r="M37" i="50"/>
  <c r="N37" i="50" s="1"/>
  <c r="M30" i="56"/>
  <c r="N30" i="56" s="1"/>
  <c r="E37" i="58"/>
  <c r="M38" i="61"/>
  <c r="N38" i="61" s="1"/>
  <c r="G52" i="57"/>
  <c r="I52" i="57" s="1"/>
  <c r="F52" i="57"/>
  <c r="H52" i="57" s="1"/>
  <c r="O47" i="57"/>
  <c r="O45" i="57"/>
  <c r="I46" i="57"/>
  <c r="O46" i="57"/>
  <c r="I47" i="57"/>
  <c r="J47" i="57" s="1"/>
  <c r="O33" i="56"/>
  <c r="F33" i="56"/>
  <c r="H33" i="56" s="1"/>
  <c r="G33" i="56"/>
  <c r="G34" i="56"/>
  <c r="G33" i="1"/>
  <c r="I36" i="1"/>
  <c r="N36" i="66"/>
  <c r="N35" i="66"/>
  <c r="I51" i="62"/>
  <c r="J51" i="62" s="1"/>
  <c r="P51" i="62" s="1"/>
  <c r="I53" i="62"/>
  <c r="J53" i="62" s="1"/>
  <c r="O50" i="62"/>
  <c r="I48" i="62"/>
  <c r="O53" i="62"/>
  <c r="O47" i="62"/>
  <c r="I50" i="62"/>
  <c r="J50" i="62" s="1"/>
  <c r="I46" i="62"/>
  <c r="J46" i="62" s="1"/>
  <c r="P46" i="62" s="1"/>
  <c r="I45" i="62"/>
  <c r="J45" i="62" s="1"/>
  <c r="I47" i="62"/>
  <c r="O48" i="62"/>
  <c r="I49" i="62"/>
  <c r="S54" i="62"/>
  <c r="F47" i="62"/>
  <c r="H47" i="62" s="1"/>
  <c r="O45" i="62"/>
  <c r="F31" i="58"/>
  <c r="H31" i="58" s="1"/>
  <c r="G31" i="58"/>
  <c r="I30" i="1"/>
  <c r="F36" i="64"/>
  <c r="H36" i="64" s="1"/>
  <c r="I35" i="1"/>
  <c r="G22" i="56"/>
  <c r="F38" i="63"/>
  <c r="H38" i="63" s="1"/>
  <c r="G38" i="63"/>
  <c r="G38" i="53"/>
  <c r="F38" i="53"/>
  <c r="H38" i="53" s="1"/>
  <c r="F38" i="49"/>
  <c r="H38" i="49" s="1"/>
  <c r="G37" i="56"/>
  <c r="F37" i="56"/>
  <c r="H37" i="56" s="1"/>
  <c r="O37" i="56"/>
  <c r="N33" i="56"/>
  <c r="G36" i="61"/>
  <c r="G35" i="61"/>
  <c r="F35" i="61"/>
  <c r="H35" i="61" s="1"/>
  <c r="F36" i="61"/>
  <c r="H36" i="61" s="1"/>
  <c r="N34" i="57"/>
  <c r="F49" i="62"/>
  <c r="H49" i="62" s="1"/>
  <c r="F48" i="62"/>
  <c r="H48" i="62" s="1"/>
  <c r="G48" i="62"/>
  <c r="G49" i="62"/>
  <c r="N49" i="68"/>
  <c r="N48" i="68"/>
  <c r="Q39" i="66"/>
  <c r="G23" i="66"/>
  <c r="F23" i="66"/>
  <c r="H23" i="66" s="1"/>
  <c r="N48" i="67"/>
  <c r="O48" i="67" s="1"/>
  <c r="P48" i="67" s="1"/>
  <c r="P54" i="67" s="1"/>
  <c r="N49" i="67"/>
  <c r="F45" i="63"/>
  <c r="H45" i="63" s="1"/>
  <c r="O45" i="63"/>
  <c r="F38" i="56"/>
  <c r="H38" i="56" s="1"/>
  <c r="F32" i="59"/>
  <c r="H32" i="59" s="1"/>
  <c r="O38" i="65"/>
  <c r="G38" i="65"/>
  <c r="N49" i="58"/>
  <c r="N48" i="58"/>
  <c r="O48" i="58" s="1"/>
  <c r="O50" i="1"/>
  <c r="P50" i="1" s="1"/>
  <c r="G46" i="63"/>
  <c r="F46" i="63"/>
  <c r="H46" i="63" s="1"/>
  <c r="I51" i="54"/>
  <c r="J51" i="54" s="1"/>
  <c r="P51" i="54" s="1"/>
  <c r="R51" i="54" s="1"/>
  <c r="I45" i="54"/>
  <c r="F45" i="54"/>
  <c r="H45" i="54" s="1"/>
  <c r="I53" i="54"/>
  <c r="J53" i="54" s="1"/>
  <c r="I48" i="54"/>
  <c r="F17" i="63"/>
  <c r="H17" i="63" s="1"/>
  <c r="G17" i="63"/>
  <c r="O38" i="56"/>
  <c r="G33" i="49"/>
  <c r="F35" i="58"/>
  <c r="H35" i="58" s="1"/>
  <c r="F50" i="65"/>
  <c r="H50" i="65" s="1"/>
  <c r="G51" i="65"/>
  <c r="F51" i="65"/>
  <c r="H51" i="65" s="1"/>
  <c r="J46" i="52"/>
  <c r="F46" i="65"/>
  <c r="H46" i="65" s="1"/>
  <c r="F37" i="60"/>
  <c r="H37" i="60" s="1"/>
  <c r="G37" i="65"/>
  <c r="N48" i="63"/>
  <c r="G35" i="67"/>
  <c r="G48" i="61"/>
  <c r="N50" i="54"/>
  <c r="F32" i="65"/>
  <c r="H32" i="65" s="1"/>
  <c r="O50" i="66"/>
  <c r="F47" i="66"/>
  <c r="H47" i="66" s="1"/>
  <c r="F50" i="66"/>
  <c r="H50" i="66" s="1"/>
  <c r="G50" i="66"/>
  <c r="O48" i="66"/>
  <c r="F48" i="66"/>
  <c r="H48" i="66" s="1"/>
  <c r="G49" i="66"/>
  <c r="O47" i="66"/>
  <c r="F49" i="66"/>
  <c r="H49" i="66" s="1"/>
  <c r="Q54" i="66"/>
  <c r="O45" i="66"/>
  <c r="I49" i="66"/>
  <c r="G46" i="66"/>
  <c r="I51" i="66"/>
  <c r="J51" i="66" s="1"/>
  <c r="P51" i="66" s="1"/>
  <c r="R51" i="66" s="1"/>
  <c r="O46" i="66"/>
  <c r="I47" i="66"/>
  <c r="I52" i="66"/>
  <c r="J52" i="66" s="1"/>
  <c r="P52" i="66" s="1"/>
  <c r="R52" i="66" s="1"/>
  <c r="F45" i="66"/>
  <c r="H45" i="66" s="1"/>
  <c r="I46" i="66"/>
  <c r="J46" i="66" s="1"/>
  <c r="I48" i="66"/>
  <c r="S54" i="66"/>
  <c r="I50" i="66"/>
  <c r="I45" i="66"/>
  <c r="I53" i="66"/>
  <c r="J53" i="66" s="1"/>
  <c r="P53" i="66" s="1"/>
  <c r="R53" i="66" s="1"/>
  <c r="O52" i="61"/>
  <c r="O48" i="61"/>
  <c r="R54" i="61"/>
  <c r="Q54" i="61"/>
  <c r="O45" i="61"/>
  <c r="F45" i="61"/>
  <c r="H45" i="61" s="1"/>
  <c r="G45" i="61"/>
  <c r="O22" i="64" l="1"/>
  <c r="G22" i="64"/>
  <c r="F22" i="64"/>
  <c r="H22" i="64" s="1"/>
  <c r="F32" i="64"/>
  <c r="H32" i="64" s="1"/>
  <c r="O32" i="64"/>
  <c r="G32" i="64"/>
  <c r="F15" i="64"/>
  <c r="H15" i="64" s="1"/>
  <c r="G15" i="64"/>
  <c r="I15" i="64" s="1"/>
  <c r="J15" i="64" s="1"/>
  <c r="P15" i="64" s="1"/>
  <c r="O15" i="64"/>
  <c r="F17" i="64"/>
  <c r="H17" i="64" s="1"/>
  <c r="G17" i="64"/>
  <c r="J53" i="59"/>
  <c r="P53" i="59" s="1"/>
  <c r="J45" i="59"/>
  <c r="P45" i="59" s="1"/>
  <c r="J50" i="59"/>
  <c r="P50" i="59" s="1"/>
  <c r="J46" i="59"/>
  <c r="P46" i="59" s="1"/>
  <c r="J49" i="59"/>
  <c r="P49" i="59" s="1"/>
  <c r="J51" i="59"/>
  <c r="P51" i="59" s="1"/>
  <c r="J48" i="59"/>
  <c r="P48" i="59" s="1"/>
  <c r="F21" i="68"/>
  <c r="H21" i="68" s="1"/>
  <c r="F20" i="68"/>
  <c r="H20" i="68" s="1"/>
  <c r="N16" i="60"/>
  <c r="N17" i="60"/>
  <c r="N16" i="51"/>
  <c r="N17" i="51"/>
  <c r="F16" i="60"/>
  <c r="H16" i="60" s="1"/>
  <c r="G16" i="60"/>
  <c r="G16" i="52"/>
  <c r="O16" i="52"/>
  <c r="F16" i="52"/>
  <c r="H16" i="52" s="1"/>
  <c r="F23" i="63"/>
  <c r="H23" i="63" s="1"/>
  <c r="G23" i="63"/>
  <c r="I23" i="63" s="1"/>
  <c r="J23" i="63" s="1"/>
  <c r="O23" i="67"/>
  <c r="O22" i="53"/>
  <c r="O15" i="65"/>
  <c r="G19" i="63"/>
  <c r="G18" i="63"/>
  <c r="I18" i="63" s="1"/>
  <c r="J18" i="63" s="1"/>
  <c r="P18" i="63" s="1"/>
  <c r="G21" i="58"/>
  <c r="I21" i="58" s="1"/>
  <c r="G20" i="58"/>
  <c r="N17" i="54"/>
  <c r="N16" i="54"/>
  <c r="G22" i="63"/>
  <c r="I22" i="63" s="1"/>
  <c r="J22" i="63" s="1"/>
  <c r="F22" i="63"/>
  <c r="H22" i="63" s="1"/>
  <c r="G22" i="51"/>
  <c r="F22" i="51"/>
  <c r="H22" i="51" s="1"/>
  <c r="F20" i="53"/>
  <c r="H20" i="53" s="1"/>
  <c r="G20" i="53"/>
  <c r="I20" i="53" s="1"/>
  <c r="J20" i="53" s="1"/>
  <c r="P20" i="53" s="1"/>
  <c r="G22" i="49"/>
  <c r="I22" i="49" s="1"/>
  <c r="O22" i="49"/>
  <c r="O16" i="68"/>
  <c r="F15" i="68"/>
  <c r="H15" i="68" s="1"/>
  <c r="G15" i="68"/>
  <c r="I15" i="68" s="1"/>
  <c r="J15" i="68" s="1"/>
  <c r="P15" i="68" s="1"/>
  <c r="G15" i="57"/>
  <c r="F15" i="57"/>
  <c r="H15" i="57" s="1"/>
  <c r="F17" i="57"/>
  <c r="H17" i="57" s="1"/>
  <c r="G17" i="57"/>
  <c r="N17" i="65"/>
  <c r="N16" i="65"/>
  <c r="G19" i="55"/>
  <c r="G18" i="55"/>
  <c r="G15" i="58"/>
  <c r="I15" i="58" s="1"/>
  <c r="O22" i="58"/>
  <c r="O17" i="64"/>
  <c r="O23" i="56"/>
  <c r="N17" i="61"/>
  <c r="O17" i="61" s="1"/>
  <c r="F19" i="64"/>
  <c r="H19" i="64" s="1"/>
  <c r="O17" i="51"/>
  <c r="O22" i="51"/>
  <c r="O16" i="56"/>
  <c r="O15" i="68"/>
  <c r="O18" i="53"/>
  <c r="G21" i="62"/>
  <c r="I21" i="62" s="1"/>
  <c r="J21" i="62" s="1"/>
  <c r="P21" i="62" s="1"/>
  <c r="F53" i="63"/>
  <c r="H53" i="63" s="1"/>
  <c r="O46" i="63"/>
  <c r="O16" i="58"/>
  <c r="J52" i="53"/>
  <c r="P52" i="53" s="1"/>
  <c r="P45" i="53"/>
  <c r="P47" i="53"/>
  <c r="P53" i="53"/>
  <c r="J50" i="53"/>
  <c r="P50" i="53" s="1"/>
  <c r="P48" i="53"/>
  <c r="P52" i="58"/>
  <c r="J48" i="58"/>
  <c r="P48" i="58" s="1"/>
  <c r="P46" i="58"/>
  <c r="P47" i="58"/>
  <c r="P53" i="58"/>
  <c r="P50" i="58"/>
  <c r="J45" i="58"/>
  <c r="P45" i="58" s="1"/>
  <c r="P53" i="54"/>
  <c r="R53" i="54" s="1"/>
  <c r="J48" i="54"/>
  <c r="P48" i="54" s="1"/>
  <c r="R48" i="54" s="1"/>
  <c r="G51" i="61"/>
  <c r="O50" i="61"/>
  <c r="F51" i="61"/>
  <c r="H51" i="61" s="1"/>
  <c r="O23" i="51"/>
  <c r="G20" i="1"/>
  <c r="G19" i="59"/>
  <c r="O18" i="63"/>
  <c r="N19" i="65"/>
  <c r="O18" i="64"/>
  <c r="G16" i="64"/>
  <c r="I16" i="64" s="1"/>
  <c r="J16" i="64" s="1"/>
  <c r="S24" i="57"/>
  <c r="O18" i="55"/>
  <c r="G21" i="53"/>
  <c r="I21" i="53" s="1"/>
  <c r="J21" i="53" s="1"/>
  <c r="P21" i="53" s="1"/>
  <c r="F21" i="58"/>
  <c r="H21" i="58" s="1"/>
  <c r="I22" i="64"/>
  <c r="J22" i="64" s="1"/>
  <c r="P22" i="64" s="1"/>
  <c r="O22" i="52"/>
  <c r="G20" i="66"/>
  <c r="I20" i="66" s="1"/>
  <c r="J20" i="66" s="1"/>
  <c r="F23" i="54"/>
  <c r="H23" i="54" s="1"/>
  <c r="N21" i="67"/>
  <c r="F20" i="52"/>
  <c r="H20" i="52" s="1"/>
  <c r="F21" i="53"/>
  <c r="H21" i="53" s="1"/>
  <c r="F20" i="50"/>
  <c r="H20" i="50" s="1"/>
  <c r="G16" i="1"/>
  <c r="O23" i="61"/>
  <c r="F23" i="57"/>
  <c r="H23" i="57" s="1"/>
  <c r="G17" i="68"/>
  <c r="I17" i="68" s="1"/>
  <c r="J17" i="68" s="1"/>
  <c r="O17" i="63"/>
  <c r="F20" i="66"/>
  <c r="H20" i="66" s="1"/>
  <c r="I17" i="64"/>
  <c r="J17" i="64" s="1"/>
  <c r="P17" i="64" s="1"/>
  <c r="F18" i="60"/>
  <c r="H18" i="60" s="1"/>
  <c r="N18" i="56"/>
  <c r="F20" i="61"/>
  <c r="H20" i="61" s="1"/>
  <c r="G18" i="60"/>
  <c r="O17" i="56"/>
  <c r="F22" i="52"/>
  <c r="H22" i="52" s="1"/>
  <c r="G19" i="60"/>
  <c r="O22" i="61"/>
  <c r="O20" i="52"/>
  <c r="G15" i="53"/>
  <c r="I15" i="53" s="1"/>
  <c r="J15" i="53" s="1"/>
  <c r="G21" i="56"/>
  <c r="I21" i="56" s="1"/>
  <c r="F20" i="56"/>
  <c r="H20" i="56" s="1"/>
  <c r="G20" i="64"/>
  <c r="I20" i="64" s="1"/>
  <c r="J20" i="64" s="1"/>
  <c r="F20" i="58"/>
  <c r="H20" i="58" s="1"/>
  <c r="O17" i="68"/>
  <c r="G19" i="49"/>
  <c r="I19" i="49" s="1"/>
  <c r="J19" i="49" s="1"/>
  <c r="P19" i="49" s="1"/>
  <c r="G20" i="62"/>
  <c r="I20" i="62" s="1"/>
  <c r="J20" i="62" s="1"/>
  <c r="O16" i="1"/>
  <c r="O16" i="49"/>
  <c r="N20" i="60"/>
  <c r="N20" i="49"/>
  <c r="O20" i="49" s="1"/>
  <c r="N20" i="54"/>
  <c r="F21" i="52"/>
  <c r="H21" i="52" s="1"/>
  <c r="N19" i="50"/>
  <c r="F16" i="49"/>
  <c r="H16" i="49" s="1"/>
  <c r="O16" i="53"/>
  <c r="F20" i="1"/>
  <c r="H20" i="1" s="1"/>
  <c r="F20" i="62"/>
  <c r="H20" i="62" s="1"/>
  <c r="N19" i="60"/>
  <c r="N21" i="68"/>
  <c r="N18" i="61"/>
  <c r="O18" i="61" s="1"/>
  <c r="O15" i="53"/>
  <c r="N19" i="63"/>
  <c r="G21" i="64"/>
  <c r="I21" i="64" s="1"/>
  <c r="G17" i="52"/>
  <c r="O16" i="61"/>
  <c r="F22" i="1"/>
  <c r="H22" i="1" s="1"/>
  <c r="O23" i="57"/>
  <c r="O17" i="65"/>
  <c r="O23" i="50"/>
  <c r="I16" i="57"/>
  <c r="O23" i="62"/>
  <c r="F23" i="58"/>
  <c r="H23" i="58" s="1"/>
  <c r="F21" i="64"/>
  <c r="H21" i="64" s="1"/>
  <c r="F17" i="55"/>
  <c r="H17" i="55" s="1"/>
  <c r="O23" i="66"/>
  <c r="G35" i="66"/>
  <c r="G22" i="66"/>
  <c r="I22" i="66" s="1"/>
  <c r="J22" i="66" s="1"/>
  <c r="O35" i="66"/>
  <c r="O38" i="66"/>
  <c r="F36" i="66"/>
  <c r="H36" i="66" s="1"/>
  <c r="F38" i="66"/>
  <c r="H38" i="66" s="1"/>
  <c r="F35" i="66"/>
  <c r="H35" i="66" s="1"/>
  <c r="O22" i="62"/>
  <c r="P53" i="60"/>
  <c r="P47" i="60"/>
  <c r="P46" i="60"/>
  <c r="J50" i="60"/>
  <c r="P50" i="60" s="1"/>
  <c r="O22" i="60"/>
  <c r="O17" i="54"/>
  <c r="O16" i="59"/>
  <c r="O18" i="60"/>
  <c r="G30" i="60"/>
  <c r="G30" i="68"/>
  <c r="O23" i="68"/>
  <c r="F38" i="68"/>
  <c r="H38" i="68" s="1"/>
  <c r="F31" i="51"/>
  <c r="H31" i="51" s="1"/>
  <c r="F30" i="51"/>
  <c r="H30" i="51" s="1"/>
  <c r="O30" i="51"/>
  <c r="O16" i="51"/>
  <c r="O47" i="61"/>
  <c r="G47" i="61"/>
  <c r="F16" i="61"/>
  <c r="H16" i="61" s="1"/>
  <c r="F34" i="61"/>
  <c r="H34" i="61" s="1"/>
  <c r="G34" i="61"/>
  <c r="F33" i="61"/>
  <c r="H33" i="61" s="1"/>
  <c r="F21" i="1"/>
  <c r="H21" i="1" s="1"/>
  <c r="O15" i="1"/>
  <c r="G21" i="52"/>
  <c r="F23" i="60"/>
  <c r="H23" i="60" s="1"/>
  <c r="G23" i="68"/>
  <c r="I23" i="68" s="1"/>
  <c r="J23" i="68" s="1"/>
  <c r="O16" i="64"/>
  <c r="I23" i="64"/>
  <c r="J23" i="64" s="1"/>
  <c r="F18" i="53"/>
  <c r="H18" i="53" s="1"/>
  <c r="F18" i="67"/>
  <c r="H18" i="67" s="1"/>
  <c r="O20" i="64"/>
  <c r="G18" i="67"/>
  <c r="G48" i="56"/>
  <c r="F35" i="64"/>
  <c r="H35" i="64" s="1"/>
  <c r="I53" i="57"/>
  <c r="N36" i="50"/>
  <c r="N34" i="51"/>
  <c r="F21" i="56"/>
  <c r="H21" i="56" s="1"/>
  <c r="I50" i="56"/>
  <c r="J50" i="56" s="1"/>
  <c r="I49" i="56"/>
  <c r="S54" i="57"/>
  <c r="F49" i="56"/>
  <c r="H49" i="56" s="1"/>
  <c r="G36" i="64"/>
  <c r="O48" i="57"/>
  <c r="G35" i="58"/>
  <c r="G35" i="64"/>
  <c r="I37" i="55"/>
  <c r="S39" i="56"/>
  <c r="O32" i="54"/>
  <c r="O37" i="64"/>
  <c r="G18" i="53"/>
  <c r="O52" i="57"/>
  <c r="P47" i="52"/>
  <c r="G19" i="53"/>
  <c r="O45" i="56"/>
  <c r="F18" i="49"/>
  <c r="H18" i="49" s="1"/>
  <c r="O31" i="61"/>
  <c r="O31" i="67"/>
  <c r="F23" i="51"/>
  <c r="H23" i="51" s="1"/>
  <c r="N17" i="59"/>
  <c r="O53" i="57"/>
  <c r="F45" i="56"/>
  <c r="H45" i="56" s="1"/>
  <c r="I45" i="57"/>
  <c r="F19" i="53"/>
  <c r="H19" i="53" s="1"/>
  <c r="F15" i="66"/>
  <c r="H15" i="66" s="1"/>
  <c r="I51" i="57"/>
  <c r="J51" i="57" s="1"/>
  <c r="P51" i="57" s="1"/>
  <c r="G18" i="49"/>
  <c r="I18" i="49" s="1"/>
  <c r="O50" i="57"/>
  <c r="G36" i="58"/>
  <c r="I50" i="57"/>
  <c r="G32" i="52"/>
  <c r="I16" i="55"/>
  <c r="J16" i="55" s="1"/>
  <c r="O37" i="68"/>
  <c r="P37" i="68" s="1"/>
  <c r="G31" i="61"/>
  <c r="F37" i="64"/>
  <c r="H37" i="64" s="1"/>
  <c r="F48" i="57"/>
  <c r="H48" i="57" s="1"/>
  <c r="O31" i="57"/>
  <c r="N34" i="66"/>
  <c r="O15" i="57"/>
  <c r="I47" i="56"/>
  <c r="J47" i="56" s="1"/>
  <c r="P47" i="56" s="1"/>
  <c r="G21" i="65"/>
  <c r="N36" i="51"/>
  <c r="G32" i="63"/>
  <c r="I31" i="68"/>
  <c r="J31" i="68" s="1"/>
  <c r="N20" i="1"/>
  <c r="O20" i="1" s="1"/>
  <c r="G23" i="49"/>
  <c r="I23" i="49" s="1"/>
  <c r="J23" i="49" s="1"/>
  <c r="N18" i="53"/>
  <c r="I15" i="57"/>
  <c r="I21" i="57"/>
  <c r="J21" i="57" s="1"/>
  <c r="P21" i="57" s="1"/>
  <c r="G30" i="53"/>
  <c r="I22" i="57"/>
  <c r="J22" i="57" s="1"/>
  <c r="P22" i="57" s="1"/>
  <c r="J52" i="54"/>
  <c r="P52" i="54" s="1"/>
  <c r="R52" i="54" s="1"/>
  <c r="N34" i="65"/>
  <c r="O23" i="49"/>
  <c r="F48" i="56"/>
  <c r="H48" i="56" s="1"/>
  <c r="G30" i="57"/>
  <c r="F32" i="62"/>
  <c r="H32" i="62" s="1"/>
  <c r="O23" i="63"/>
  <c r="N18" i="51"/>
  <c r="O38" i="54"/>
  <c r="O37" i="59"/>
  <c r="F22" i="59"/>
  <c r="H22" i="59" s="1"/>
  <c r="G22" i="59"/>
  <c r="F17" i="51"/>
  <c r="H17" i="51" s="1"/>
  <c r="G34" i="68"/>
  <c r="J48" i="52"/>
  <c r="P48" i="52" s="1"/>
  <c r="G37" i="68"/>
  <c r="G21" i="50"/>
  <c r="G20" i="50"/>
  <c r="N16" i="63"/>
  <c r="O30" i="60"/>
  <c r="J30" i="1"/>
  <c r="O20" i="51"/>
  <c r="G15" i="50"/>
  <c r="I35" i="63"/>
  <c r="O22" i="55"/>
  <c r="I22" i="67"/>
  <c r="J22" i="67" s="1"/>
  <c r="F21" i="63"/>
  <c r="H21" i="63" s="1"/>
  <c r="G30" i="56"/>
  <c r="O35" i="60"/>
  <c r="G37" i="59"/>
  <c r="O48" i="56"/>
  <c r="F20" i="63"/>
  <c r="H20" i="63" s="1"/>
  <c r="F32" i="55"/>
  <c r="H32" i="55" s="1"/>
  <c r="O37" i="53"/>
  <c r="G31" i="63"/>
  <c r="N18" i="1"/>
  <c r="G32" i="54"/>
  <c r="O32" i="63"/>
  <c r="G33" i="68"/>
  <c r="F36" i="58"/>
  <c r="H36" i="58" s="1"/>
  <c r="N33" i="68"/>
  <c r="N34" i="52"/>
  <c r="O33" i="68"/>
  <c r="I35" i="57"/>
  <c r="O17" i="57"/>
  <c r="G37" i="57"/>
  <c r="F37" i="57"/>
  <c r="H37" i="57" s="1"/>
  <c r="N19" i="49"/>
  <c r="N17" i="67"/>
  <c r="F17" i="62"/>
  <c r="H17" i="62" s="1"/>
  <c r="I52" i="65"/>
  <c r="J52" i="65" s="1"/>
  <c r="P52" i="65" s="1"/>
  <c r="N17" i="49"/>
  <c r="G15" i="1"/>
  <c r="G17" i="55"/>
  <c r="O23" i="64"/>
  <c r="G17" i="51"/>
  <c r="F22" i="49"/>
  <c r="H22" i="49" s="1"/>
  <c r="O50" i="65"/>
  <c r="I51" i="65"/>
  <c r="J51" i="65" s="1"/>
  <c r="P51" i="65" s="1"/>
  <c r="G19" i="64"/>
  <c r="I19" i="64" s="1"/>
  <c r="J19" i="64" s="1"/>
  <c r="P19" i="64" s="1"/>
  <c r="F18" i="66"/>
  <c r="H18" i="66" s="1"/>
  <c r="O22" i="66"/>
  <c r="I23" i="66"/>
  <c r="I20" i="57"/>
  <c r="J20" i="57" s="1"/>
  <c r="P20" i="57" s="1"/>
  <c r="G18" i="57"/>
  <c r="O18" i="57"/>
  <c r="O22" i="63"/>
  <c r="G20" i="63"/>
  <c r="I20" i="63" s="1"/>
  <c r="O15" i="58"/>
  <c r="I17" i="57"/>
  <c r="I21" i="66"/>
  <c r="J21" i="66" s="1"/>
  <c r="P21" i="66" s="1"/>
  <c r="R21" i="66" s="1"/>
  <c r="F21" i="65"/>
  <c r="H21" i="65" s="1"/>
  <c r="I31" i="1"/>
  <c r="J31" i="1" s="1"/>
  <c r="P31" i="1" s="1"/>
  <c r="I38" i="1"/>
  <c r="J38" i="1" s="1"/>
  <c r="N34" i="67"/>
  <c r="G36" i="67"/>
  <c r="F37" i="51"/>
  <c r="H37" i="51" s="1"/>
  <c r="G19" i="57"/>
  <c r="G37" i="51"/>
  <c r="I15" i="1"/>
  <c r="J15" i="1" s="1"/>
  <c r="F33" i="67"/>
  <c r="H33" i="67" s="1"/>
  <c r="G16" i="55"/>
  <c r="P46" i="52"/>
  <c r="I34" i="62"/>
  <c r="I23" i="57"/>
  <c r="G32" i="50"/>
  <c r="G36" i="62"/>
  <c r="I34" i="63"/>
  <c r="G20" i="65"/>
  <c r="I18" i="64"/>
  <c r="I51" i="56"/>
  <c r="J51" i="56" s="1"/>
  <c r="P51" i="56" s="1"/>
  <c r="O38" i="55"/>
  <c r="F32" i="67"/>
  <c r="H32" i="67" s="1"/>
  <c r="O31" i="59"/>
  <c r="N20" i="55"/>
  <c r="O35" i="62"/>
  <c r="F33" i="59"/>
  <c r="H33" i="59" s="1"/>
  <c r="G35" i="62"/>
  <c r="F34" i="55"/>
  <c r="H34" i="55" s="1"/>
  <c r="G31" i="62"/>
  <c r="S54" i="61"/>
  <c r="I37" i="1"/>
  <c r="J37" i="1" s="1"/>
  <c r="P37" i="1" s="1"/>
  <c r="N18" i="66"/>
  <c r="O18" i="66" s="1"/>
  <c r="F31" i="62"/>
  <c r="H31" i="62" s="1"/>
  <c r="G33" i="55"/>
  <c r="O15" i="50"/>
  <c r="G33" i="60"/>
  <c r="I19" i="54"/>
  <c r="J19" i="54" s="1"/>
  <c r="P19" i="54" s="1"/>
  <c r="R19" i="54" s="1"/>
  <c r="P30" i="1"/>
  <c r="F32" i="50"/>
  <c r="H32" i="50" s="1"/>
  <c r="I38" i="63"/>
  <c r="N19" i="67"/>
  <c r="F34" i="53"/>
  <c r="H34" i="53" s="1"/>
  <c r="G38" i="68"/>
  <c r="P52" i="52"/>
  <c r="O32" i="67"/>
  <c r="I35" i="53"/>
  <c r="I48" i="63"/>
  <c r="J48" i="63" s="1"/>
  <c r="I48" i="61"/>
  <c r="J48" i="61" s="1"/>
  <c r="P48" i="61" s="1"/>
  <c r="G38" i="55"/>
  <c r="F34" i="68"/>
  <c r="H34" i="68" s="1"/>
  <c r="G15" i="56"/>
  <c r="I15" i="56" s="1"/>
  <c r="J15" i="56" s="1"/>
  <c r="I37" i="56"/>
  <c r="P45" i="1"/>
  <c r="G30" i="59"/>
  <c r="I33" i="56"/>
  <c r="J33" i="56" s="1"/>
  <c r="P33" i="56" s="1"/>
  <c r="F30" i="59"/>
  <c r="H30" i="59" s="1"/>
  <c r="O15" i="56"/>
  <c r="I19" i="57"/>
  <c r="J19" i="57" s="1"/>
  <c r="P19" i="57" s="1"/>
  <c r="F34" i="51"/>
  <c r="H34" i="51" s="1"/>
  <c r="F31" i="67"/>
  <c r="H31" i="67" s="1"/>
  <c r="I53" i="61"/>
  <c r="G23" i="53"/>
  <c r="F34" i="49"/>
  <c r="H34" i="49" s="1"/>
  <c r="J34" i="49" s="1"/>
  <c r="P34" i="49" s="1"/>
  <c r="F30" i="58"/>
  <c r="H30" i="58" s="1"/>
  <c r="O33" i="67"/>
  <c r="O16" i="55"/>
  <c r="F23" i="67"/>
  <c r="H23" i="67" s="1"/>
  <c r="O33" i="51"/>
  <c r="O23" i="53"/>
  <c r="F33" i="49"/>
  <c r="H33" i="49" s="1"/>
  <c r="G30" i="58"/>
  <c r="N34" i="50"/>
  <c r="G23" i="67"/>
  <c r="I18" i="57"/>
  <c r="I31" i="53"/>
  <c r="J50" i="57"/>
  <c r="N48" i="52"/>
  <c r="F35" i="60"/>
  <c r="H35" i="60" s="1"/>
  <c r="N19" i="58"/>
  <c r="G19" i="66"/>
  <c r="I19" i="66" s="1"/>
  <c r="J19" i="66" s="1"/>
  <c r="P19" i="66" s="1"/>
  <c r="R19" i="66" s="1"/>
  <c r="F33" i="66"/>
  <c r="H33" i="66" s="1"/>
  <c r="O53" i="61"/>
  <c r="I32" i="1"/>
  <c r="J32" i="1" s="1"/>
  <c r="P32" i="1" s="1"/>
  <c r="O23" i="60"/>
  <c r="F30" i="62"/>
  <c r="H30" i="62" s="1"/>
  <c r="I34" i="68"/>
  <c r="J34" i="68" s="1"/>
  <c r="P34" i="68" s="1"/>
  <c r="I35" i="68"/>
  <c r="J35" i="68" s="1"/>
  <c r="P35" i="68" s="1"/>
  <c r="I38" i="68"/>
  <c r="J38" i="68" s="1"/>
  <c r="P38" i="68" s="1"/>
  <c r="I32" i="54"/>
  <c r="J32" i="54" s="1"/>
  <c r="P32" i="54" s="1"/>
  <c r="R32" i="54" s="1"/>
  <c r="I33" i="68"/>
  <c r="J33" i="68" s="1"/>
  <c r="P33" i="68" s="1"/>
  <c r="G31" i="65"/>
  <c r="I37" i="68"/>
  <c r="J37" i="68" s="1"/>
  <c r="N36" i="53"/>
  <c r="J53" i="57"/>
  <c r="P53" i="57" s="1"/>
  <c r="I33" i="1"/>
  <c r="J33" i="1" s="1"/>
  <c r="P33" i="1" s="1"/>
  <c r="N34" i="63"/>
  <c r="F49" i="57"/>
  <c r="H49" i="57" s="1"/>
  <c r="J49" i="57" s="1"/>
  <c r="P49" i="57" s="1"/>
  <c r="I32" i="61"/>
  <c r="P47" i="1"/>
  <c r="G31" i="49"/>
  <c r="I34" i="1"/>
  <c r="J34" i="1" s="1"/>
  <c r="P34" i="1" s="1"/>
  <c r="S39" i="68"/>
  <c r="G48" i="57"/>
  <c r="I48" i="57" s="1"/>
  <c r="J48" i="57" s="1"/>
  <c r="T45" i="68"/>
  <c r="F36" i="60"/>
  <c r="H36" i="60" s="1"/>
  <c r="I36" i="68"/>
  <c r="J36" i="68" s="1"/>
  <c r="P36" i="68" s="1"/>
  <c r="F32" i="68"/>
  <c r="H32" i="68" s="1"/>
  <c r="G38" i="1"/>
  <c r="I36" i="63"/>
  <c r="J36" i="63" s="1"/>
  <c r="P36" i="63" s="1"/>
  <c r="G36" i="60"/>
  <c r="G18" i="66"/>
  <c r="G38" i="62"/>
  <c r="N35" i="54"/>
  <c r="S24" i="63"/>
  <c r="I35" i="59"/>
  <c r="I19" i="50"/>
  <c r="I16" i="63"/>
  <c r="J16" i="63" s="1"/>
  <c r="F18" i="1"/>
  <c r="H18" i="1" s="1"/>
  <c r="G53" i="63"/>
  <c r="I53" i="63" s="1"/>
  <c r="O50" i="63"/>
  <c r="I50" i="63"/>
  <c r="J50" i="63" s="1"/>
  <c r="O33" i="55"/>
  <c r="G34" i="55"/>
  <c r="O32" i="51"/>
  <c r="O37" i="63"/>
  <c r="O48" i="63"/>
  <c r="I49" i="61"/>
  <c r="J49" i="61" s="1"/>
  <c r="P49" i="61" s="1"/>
  <c r="I34" i="56"/>
  <c r="J34" i="56" s="1"/>
  <c r="P34" i="56" s="1"/>
  <c r="I49" i="63"/>
  <c r="J49" i="63" s="1"/>
  <c r="P49" i="63" s="1"/>
  <c r="N33" i="54"/>
  <c r="J49" i="52"/>
  <c r="P49" i="52" s="1"/>
  <c r="I32" i="68"/>
  <c r="N35" i="52"/>
  <c r="F33" i="65"/>
  <c r="H33" i="65" s="1"/>
  <c r="I38" i="55"/>
  <c r="J38" i="55" s="1"/>
  <c r="J49" i="54"/>
  <c r="P49" i="54" s="1"/>
  <c r="R49" i="54" s="1"/>
  <c r="F30" i="49"/>
  <c r="H30" i="49" s="1"/>
  <c r="O33" i="61"/>
  <c r="N36" i="62"/>
  <c r="O53" i="63"/>
  <c r="I46" i="63"/>
  <c r="J46" i="63" s="1"/>
  <c r="P46" i="63" s="1"/>
  <c r="O52" i="63"/>
  <c r="I35" i="62"/>
  <c r="J35" i="62" s="1"/>
  <c r="F22" i="53"/>
  <c r="H22" i="53" s="1"/>
  <c r="G20" i="49"/>
  <c r="I30" i="60"/>
  <c r="J30" i="60" s="1"/>
  <c r="I32" i="63"/>
  <c r="J32" i="63" s="1"/>
  <c r="P32" i="63" s="1"/>
  <c r="G38" i="51"/>
  <c r="F33" i="53"/>
  <c r="H33" i="53" s="1"/>
  <c r="F34" i="65"/>
  <c r="H34" i="65" s="1"/>
  <c r="O30" i="49"/>
  <c r="I47" i="63"/>
  <c r="J47" i="63" s="1"/>
  <c r="G33" i="65"/>
  <c r="I32" i="62"/>
  <c r="J32" i="62" s="1"/>
  <c r="P32" i="62" s="1"/>
  <c r="N36" i="56"/>
  <c r="S54" i="63"/>
  <c r="I51" i="63"/>
  <c r="J51" i="63" s="1"/>
  <c r="P51" i="63" s="1"/>
  <c r="G32" i="62"/>
  <c r="N20" i="58"/>
  <c r="O20" i="58" s="1"/>
  <c r="I52" i="63"/>
  <c r="I38" i="54"/>
  <c r="I31" i="62"/>
  <c r="I30" i="54"/>
  <c r="P50" i="56"/>
  <c r="N18" i="57"/>
  <c r="O38" i="64"/>
  <c r="G33" i="67"/>
  <c r="O32" i="56"/>
  <c r="G30" i="62"/>
  <c r="I17" i="63"/>
  <c r="J17" i="63" s="1"/>
  <c r="O47" i="63"/>
  <c r="F37" i="55"/>
  <c r="H37" i="55" s="1"/>
  <c r="O38" i="62"/>
  <c r="F38" i="54"/>
  <c r="H38" i="54" s="1"/>
  <c r="N33" i="53"/>
  <c r="G22" i="65"/>
  <c r="G38" i="57"/>
  <c r="F34" i="54"/>
  <c r="H34" i="54" s="1"/>
  <c r="N33" i="64"/>
  <c r="I45" i="63"/>
  <c r="O15" i="51"/>
  <c r="O16" i="62"/>
  <c r="I31" i="56"/>
  <c r="J31" i="56" s="1"/>
  <c r="I21" i="63"/>
  <c r="N21" i="50"/>
  <c r="F36" i="62"/>
  <c r="H36" i="62" s="1"/>
  <c r="G37" i="54"/>
  <c r="O38" i="1"/>
  <c r="O30" i="50"/>
  <c r="G33" i="54"/>
  <c r="F32" i="56"/>
  <c r="H32" i="56" s="1"/>
  <c r="T45" i="67"/>
  <c r="I34" i="54"/>
  <c r="O38" i="57"/>
  <c r="O33" i="54"/>
  <c r="J38" i="63"/>
  <c r="P38" i="63" s="1"/>
  <c r="N20" i="57"/>
  <c r="I30" i="63"/>
  <c r="J30" i="63" s="1"/>
  <c r="P30" i="63" s="1"/>
  <c r="N36" i="1"/>
  <c r="S39" i="53"/>
  <c r="I37" i="62"/>
  <c r="J37" i="62" s="1"/>
  <c r="P37" i="62" s="1"/>
  <c r="J45" i="52"/>
  <c r="P45" i="52" s="1"/>
  <c r="N36" i="64"/>
  <c r="I31" i="63"/>
  <c r="I36" i="54"/>
  <c r="J36" i="54" s="1"/>
  <c r="P36" i="54" s="1"/>
  <c r="R36" i="54" s="1"/>
  <c r="N35" i="65"/>
  <c r="O30" i="53"/>
  <c r="O31" i="66"/>
  <c r="I35" i="54"/>
  <c r="J35" i="54" s="1"/>
  <c r="P35" i="54" s="1"/>
  <c r="R35" i="54" s="1"/>
  <c r="I33" i="54"/>
  <c r="F38" i="67"/>
  <c r="H38" i="67" s="1"/>
  <c r="F16" i="57"/>
  <c r="H16" i="57" s="1"/>
  <c r="N34" i="1"/>
  <c r="S39" i="63"/>
  <c r="I36" i="59"/>
  <c r="J35" i="63"/>
  <c r="P35" i="63" s="1"/>
  <c r="J45" i="57"/>
  <c r="P45" i="57" s="1"/>
  <c r="O16" i="57"/>
  <c r="I15" i="52"/>
  <c r="I22" i="54"/>
  <c r="F17" i="50"/>
  <c r="H17" i="50" s="1"/>
  <c r="G22" i="62"/>
  <c r="I22" i="62" s="1"/>
  <c r="F17" i="65"/>
  <c r="H17" i="65" s="1"/>
  <c r="S24" i="51"/>
  <c r="I18" i="50"/>
  <c r="O20" i="54"/>
  <c r="I22" i="50"/>
  <c r="J22" i="50" s="1"/>
  <c r="O18" i="51"/>
  <c r="N20" i="52"/>
  <c r="F18" i="64"/>
  <c r="H18" i="64" s="1"/>
  <c r="F22" i="62"/>
  <c r="H22" i="62" s="1"/>
  <c r="F18" i="57"/>
  <c r="H18" i="57" s="1"/>
  <c r="I16" i="66"/>
  <c r="J16" i="66" s="1"/>
  <c r="O15" i="60"/>
  <c r="N20" i="61"/>
  <c r="O20" i="61" s="1"/>
  <c r="N17" i="62"/>
  <c r="G15" i="63"/>
  <c r="I15" i="63" s="1"/>
  <c r="I18" i="60"/>
  <c r="F23" i="1"/>
  <c r="H23" i="1" s="1"/>
  <c r="O23" i="1"/>
  <c r="I20" i="68"/>
  <c r="G15" i="60"/>
  <c r="O17" i="1"/>
  <c r="G22" i="55"/>
  <c r="G21" i="60"/>
  <c r="G16" i="51"/>
  <c r="F18" i="61"/>
  <c r="H18" i="61" s="1"/>
  <c r="G17" i="56"/>
  <c r="I17" i="56" s="1"/>
  <c r="J17" i="56" s="1"/>
  <c r="P17" i="56" s="1"/>
  <c r="G20" i="60"/>
  <c r="G17" i="61"/>
  <c r="I17" i="61" s="1"/>
  <c r="J17" i="61" s="1"/>
  <c r="F21" i="60"/>
  <c r="H21" i="60" s="1"/>
  <c r="G16" i="54"/>
  <c r="I21" i="61"/>
  <c r="J21" i="61" s="1"/>
  <c r="P21" i="61" s="1"/>
  <c r="O18" i="68"/>
  <c r="G18" i="61"/>
  <c r="I18" i="61" s="1"/>
  <c r="I16" i="60"/>
  <c r="J16" i="60" s="1"/>
  <c r="I16" i="52"/>
  <c r="F17" i="1"/>
  <c r="H17" i="1" s="1"/>
  <c r="I17" i="49"/>
  <c r="F20" i="54"/>
  <c r="H20" i="54" s="1"/>
  <c r="F18" i="68"/>
  <c r="H18" i="68" s="1"/>
  <c r="I22" i="61"/>
  <c r="J22" i="61" s="1"/>
  <c r="O17" i="49"/>
  <c r="F15" i="49"/>
  <c r="H15" i="49" s="1"/>
  <c r="F17" i="49"/>
  <c r="H17" i="49" s="1"/>
  <c r="F16" i="51"/>
  <c r="H16" i="51" s="1"/>
  <c r="G19" i="61"/>
  <c r="I19" i="61" s="1"/>
  <c r="J19" i="61" s="1"/>
  <c r="P19" i="61" s="1"/>
  <c r="F19" i="68"/>
  <c r="H19" i="68" s="1"/>
  <c r="I15" i="50"/>
  <c r="J15" i="50" s="1"/>
  <c r="I15" i="61"/>
  <c r="I16" i="49"/>
  <c r="O16" i="60"/>
  <c r="G15" i="49"/>
  <c r="I15" i="49" s="1"/>
  <c r="O22" i="67"/>
  <c r="G22" i="67"/>
  <c r="I16" i="68"/>
  <c r="J16" i="68" s="1"/>
  <c r="G18" i="68"/>
  <c r="G22" i="60"/>
  <c r="I22" i="60" s="1"/>
  <c r="G19" i="68"/>
  <c r="F22" i="60"/>
  <c r="H22" i="60" s="1"/>
  <c r="I20" i="49"/>
  <c r="S39" i="54"/>
  <c r="F30" i="50"/>
  <c r="H30" i="50" s="1"/>
  <c r="F31" i="53"/>
  <c r="H31" i="53" s="1"/>
  <c r="F31" i="65"/>
  <c r="H31" i="65" s="1"/>
  <c r="F34" i="67"/>
  <c r="H34" i="67" s="1"/>
  <c r="G37" i="55"/>
  <c r="N33" i="60"/>
  <c r="G38" i="67"/>
  <c r="O33" i="62"/>
  <c r="I32" i="56"/>
  <c r="J47" i="54"/>
  <c r="P47" i="54" s="1"/>
  <c r="R47" i="54" s="1"/>
  <c r="I21" i="52"/>
  <c r="O15" i="49"/>
  <c r="O32" i="59"/>
  <c r="F33" i="62"/>
  <c r="H33" i="62" s="1"/>
  <c r="G23" i="52"/>
  <c r="I23" i="52" s="1"/>
  <c r="J23" i="52" s="1"/>
  <c r="J35" i="1"/>
  <c r="P35" i="1" s="1"/>
  <c r="J36" i="1"/>
  <c r="P36" i="1" s="1"/>
  <c r="J50" i="52"/>
  <c r="P50" i="52" s="1"/>
  <c r="I20" i="60"/>
  <c r="J20" i="60" s="1"/>
  <c r="S39" i="50"/>
  <c r="N17" i="53"/>
  <c r="I30" i="50"/>
  <c r="I32" i="59"/>
  <c r="J32" i="59" s="1"/>
  <c r="P32" i="59" s="1"/>
  <c r="F38" i="64"/>
  <c r="H38" i="64" s="1"/>
  <c r="G32" i="59"/>
  <c r="G33" i="62"/>
  <c r="I31" i="50"/>
  <c r="J31" i="50" s="1"/>
  <c r="P31" i="50" s="1"/>
  <c r="I36" i="62"/>
  <c r="I36" i="50"/>
  <c r="G16" i="59"/>
  <c r="J33" i="54"/>
  <c r="I33" i="67"/>
  <c r="J33" i="67" s="1"/>
  <c r="P33" i="67" s="1"/>
  <c r="F31" i="63"/>
  <c r="H31" i="63" s="1"/>
  <c r="F16" i="59"/>
  <c r="H16" i="59" s="1"/>
  <c r="J37" i="55"/>
  <c r="P37" i="55" s="1"/>
  <c r="G34" i="62"/>
  <c r="I35" i="50"/>
  <c r="N33" i="55"/>
  <c r="I37" i="63"/>
  <c r="J37" i="63" s="1"/>
  <c r="F34" i="62"/>
  <c r="H34" i="62" s="1"/>
  <c r="J34" i="62" s="1"/>
  <c r="P34" i="62" s="1"/>
  <c r="I15" i="67"/>
  <c r="J15" i="67" s="1"/>
  <c r="I30" i="56"/>
  <c r="J30" i="56" s="1"/>
  <c r="P30" i="56" s="1"/>
  <c r="J30" i="54"/>
  <c r="P30" i="54" s="1"/>
  <c r="R30" i="54" s="1"/>
  <c r="I20" i="67"/>
  <c r="J20" i="67" s="1"/>
  <c r="P20" i="67" s="1"/>
  <c r="O18" i="67"/>
  <c r="F34" i="64"/>
  <c r="H34" i="64" s="1"/>
  <c r="I38" i="62"/>
  <c r="J38" i="62" s="1"/>
  <c r="I23" i="59"/>
  <c r="O20" i="50"/>
  <c r="S39" i="1"/>
  <c r="G33" i="53"/>
  <c r="G34" i="65"/>
  <c r="G30" i="67"/>
  <c r="I22" i="58"/>
  <c r="J22" i="58" s="1"/>
  <c r="I33" i="62"/>
  <c r="I31" i="52"/>
  <c r="G33" i="50"/>
  <c r="I30" i="62"/>
  <c r="J30" i="62" s="1"/>
  <c r="P30" i="62" s="1"/>
  <c r="O30" i="67"/>
  <c r="F15" i="58"/>
  <c r="H15" i="58" s="1"/>
  <c r="I19" i="67"/>
  <c r="J19" i="67" s="1"/>
  <c r="P19" i="67" s="1"/>
  <c r="G21" i="49"/>
  <c r="I21" i="49" s="1"/>
  <c r="J21" i="49" s="1"/>
  <c r="P21" i="49" s="1"/>
  <c r="O33" i="53"/>
  <c r="I30" i="68"/>
  <c r="J30" i="68" s="1"/>
  <c r="P30" i="68" s="1"/>
  <c r="F34" i="50"/>
  <c r="H34" i="50" s="1"/>
  <c r="O31" i="53"/>
  <c r="I37" i="59"/>
  <c r="J37" i="59" s="1"/>
  <c r="F37" i="65"/>
  <c r="H37" i="65" s="1"/>
  <c r="O37" i="65"/>
  <c r="I51" i="61"/>
  <c r="J51" i="61" s="1"/>
  <c r="P51" i="61" s="1"/>
  <c r="I23" i="54"/>
  <c r="I20" i="52"/>
  <c r="I31" i="66"/>
  <c r="I21" i="60"/>
  <c r="S54" i="56"/>
  <c r="S24" i="54"/>
  <c r="G34" i="50"/>
  <c r="G34" i="54"/>
  <c r="S39" i="62"/>
  <c r="N19" i="59"/>
  <c r="I31" i="54"/>
  <c r="I37" i="54"/>
  <c r="F33" i="50"/>
  <c r="H33" i="50" s="1"/>
  <c r="G36" i="52"/>
  <c r="F31" i="54"/>
  <c r="H31" i="54" s="1"/>
  <c r="G31" i="54"/>
  <c r="O31" i="54"/>
  <c r="I18" i="52"/>
  <c r="J18" i="52" s="1"/>
  <c r="P18" i="52" s="1"/>
  <c r="I21" i="50"/>
  <c r="J21" i="50" s="1"/>
  <c r="P21" i="50" s="1"/>
  <c r="I53" i="56"/>
  <c r="I17" i="50"/>
  <c r="O20" i="60"/>
  <c r="F35" i="52"/>
  <c r="H35" i="52" s="1"/>
  <c r="J35" i="52" s="1"/>
  <c r="P35" i="52" s="1"/>
  <c r="I52" i="61"/>
  <c r="J52" i="61" s="1"/>
  <c r="P52" i="61" s="1"/>
  <c r="O46" i="61"/>
  <c r="G46" i="61"/>
  <c r="I47" i="61"/>
  <c r="J47" i="61" s="1"/>
  <c r="F35" i="57"/>
  <c r="H35" i="57" s="1"/>
  <c r="I21" i="54"/>
  <c r="J21" i="54" s="1"/>
  <c r="P21" i="54" s="1"/>
  <c r="R21" i="54" s="1"/>
  <c r="N34" i="59"/>
  <c r="I17" i="52"/>
  <c r="J17" i="52" s="1"/>
  <c r="P17" i="52" s="1"/>
  <c r="G22" i="50"/>
  <c r="I48" i="56"/>
  <c r="J48" i="56" s="1"/>
  <c r="P48" i="56" s="1"/>
  <c r="I33" i="60"/>
  <c r="I23" i="50"/>
  <c r="J23" i="50" s="1"/>
  <c r="I33" i="50"/>
  <c r="F36" i="52"/>
  <c r="H36" i="52" s="1"/>
  <c r="F33" i="60"/>
  <c r="H33" i="60" s="1"/>
  <c r="F34" i="60"/>
  <c r="H34" i="60" s="1"/>
  <c r="O33" i="60"/>
  <c r="P31" i="68"/>
  <c r="F31" i="60"/>
  <c r="H31" i="60" s="1"/>
  <c r="O22" i="50"/>
  <c r="F37" i="54"/>
  <c r="H37" i="54" s="1"/>
  <c r="G53" i="56"/>
  <c r="I31" i="60"/>
  <c r="F20" i="49"/>
  <c r="H20" i="49" s="1"/>
  <c r="G35" i="52"/>
  <c r="N33" i="62"/>
  <c r="N34" i="62"/>
  <c r="I50" i="61"/>
  <c r="J50" i="61" s="1"/>
  <c r="J49" i="56"/>
  <c r="P49" i="56" s="1"/>
  <c r="G31" i="60"/>
  <c r="I32" i="53"/>
  <c r="J32" i="53" s="1"/>
  <c r="P32" i="53" s="1"/>
  <c r="I38" i="50"/>
  <c r="J38" i="50" s="1"/>
  <c r="P38" i="50" s="1"/>
  <c r="I15" i="66"/>
  <c r="F31" i="49"/>
  <c r="H31" i="49" s="1"/>
  <c r="I31" i="59"/>
  <c r="J31" i="59" s="1"/>
  <c r="P31" i="59" s="1"/>
  <c r="I18" i="54"/>
  <c r="J18" i="54" s="1"/>
  <c r="P18" i="54" s="1"/>
  <c r="R18" i="54" s="1"/>
  <c r="I38" i="53"/>
  <c r="J38" i="53" s="1"/>
  <c r="P38" i="53" s="1"/>
  <c r="I16" i="53"/>
  <c r="J16" i="53" s="1"/>
  <c r="I20" i="61"/>
  <c r="O16" i="63"/>
  <c r="O17" i="60"/>
  <c r="I37" i="50"/>
  <c r="J37" i="50" s="1"/>
  <c r="P37" i="50" s="1"/>
  <c r="I33" i="59"/>
  <c r="J33" i="59" s="1"/>
  <c r="P33" i="59" s="1"/>
  <c r="J46" i="57"/>
  <c r="I23" i="56"/>
  <c r="J23" i="56" s="1"/>
  <c r="F36" i="57"/>
  <c r="H36" i="57" s="1"/>
  <c r="F34" i="66"/>
  <c r="H34" i="66" s="1"/>
  <c r="I30" i="53"/>
  <c r="J30" i="53" s="1"/>
  <c r="I16" i="61"/>
  <c r="O18" i="65"/>
  <c r="F15" i="63"/>
  <c r="H15" i="63" s="1"/>
  <c r="G19" i="1"/>
  <c r="I50" i="65"/>
  <c r="J50" i="65" s="1"/>
  <c r="I34" i="50"/>
  <c r="P38" i="1"/>
  <c r="I45" i="61"/>
  <c r="J45" i="61" s="1"/>
  <c r="P45" i="61" s="1"/>
  <c r="I20" i="56"/>
  <c r="I20" i="65"/>
  <c r="J20" i="65" s="1"/>
  <c r="G35" i="57"/>
  <c r="G34" i="66"/>
  <c r="G32" i="61"/>
  <c r="I21" i="65"/>
  <c r="O20" i="65"/>
  <c r="I16" i="50"/>
  <c r="O15" i="52"/>
  <c r="I22" i="51"/>
  <c r="J22" i="51" s="1"/>
  <c r="O15" i="63"/>
  <c r="I22" i="1"/>
  <c r="I32" i="60"/>
  <c r="J32" i="60" s="1"/>
  <c r="P32" i="60" s="1"/>
  <c r="I34" i="60"/>
  <c r="S39" i="60"/>
  <c r="I37" i="60"/>
  <c r="J37" i="60" s="1"/>
  <c r="P37" i="60" s="1"/>
  <c r="O31" i="60"/>
  <c r="I35" i="60"/>
  <c r="I36" i="60"/>
  <c r="O53" i="56"/>
  <c r="F53" i="56"/>
  <c r="H53" i="56" s="1"/>
  <c r="P53" i="1"/>
  <c r="F31" i="52"/>
  <c r="H31" i="52" s="1"/>
  <c r="S24" i="56"/>
  <c r="P45" i="62"/>
  <c r="P52" i="1"/>
  <c r="G33" i="66"/>
  <c r="F32" i="61"/>
  <c r="H32" i="61" s="1"/>
  <c r="G17" i="65"/>
  <c r="I17" i="65" s="1"/>
  <c r="I37" i="66"/>
  <c r="J37" i="66" s="1"/>
  <c r="P37" i="66" s="1"/>
  <c r="R37" i="66" s="1"/>
  <c r="F31" i="55"/>
  <c r="H31" i="55" s="1"/>
  <c r="I16" i="1"/>
  <c r="J16" i="1" s="1"/>
  <c r="I19" i="63"/>
  <c r="J19" i="63" s="1"/>
  <c r="P19" i="63" s="1"/>
  <c r="F19" i="1"/>
  <c r="H19" i="1" s="1"/>
  <c r="I37" i="53"/>
  <c r="J37" i="53" s="1"/>
  <c r="O31" i="52"/>
  <c r="I22" i="56"/>
  <c r="J22" i="56" s="1"/>
  <c r="F30" i="61"/>
  <c r="H30" i="61" s="1"/>
  <c r="G34" i="64"/>
  <c r="O31" i="55"/>
  <c r="O18" i="1"/>
  <c r="S24" i="1"/>
  <c r="O35" i="59"/>
  <c r="F35" i="59"/>
  <c r="H35" i="59" s="1"/>
  <c r="G36" i="59"/>
  <c r="F36" i="59"/>
  <c r="H36" i="59" s="1"/>
  <c r="G35" i="59"/>
  <c r="S39" i="59"/>
  <c r="J49" i="62"/>
  <c r="P49" i="62" s="1"/>
  <c r="O22" i="65"/>
  <c r="I20" i="1"/>
  <c r="I38" i="59"/>
  <c r="J38" i="59" s="1"/>
  <c r="P38" i="59" s="1"/>
  <c r="I46" i="56"/>
  <c r="J46" i="56" s="1"/>
  <c r="P46" i="56" s="1"/>
  <c r="I38" i="60"/>
  <c r="J38" i="60" s="1"/>
  <c r="P38" i="60" s="1"/>
  <c r="I33" i="64"/>
  <c r="J33" i="64" s="1"/>
  <c r="S24" i="49"/>
  <c r="O18" i="49"/>
  <c r="F35" i="50"/>
  <c r="H35" i="50" s="1"/>
  <c r="F36" i="50"/>
  <c r="H36" i="50" s="1"/>
  <c r="J36" i="50" s="1"/>
  <c r="P36" i="50" s="1"/>
  <c r="O35" i="50"/>
  <c r="G35" i="50"/>
  <c r="G36" i="50"/>
  <c r="N18" i="55"/>
  <c r="G36" i="53"/>
  <c r="F35" i="53"/>
  <c r="H35" i="53" s="1"/>
  <c r="J35" i="53" s="1"/>
  <c r="O35" i="53"/>
  <c r="I34" i="59"/>
  <c r="J53" i="52"/>
  <c r="P53" i="52" s="1"/>
  <c r="I16" i="59"/>
  <c r="G15" i="62"/>
  <c r="I15" i="62" s="1"/>
  <c r="J15" i="62" s="1"/>
  <c r="P48" i="1"/>
  <c r="I33" i="53"/>
  <c r="J33" i="53" s="1"/>
  <c r="I34" i="53"/>
  <c r="J34" i="53" s="1"/>
  <c r="P34" i="53" s="1"/>
  <c r="I52" i="56"/>
  <c r="J52" i="56" s="1"/>
  <c r="P52" i="56" s="1"/>
  <c r="O15" i="62"/>
  <c r="J34" i="59"/>
  <c r="P34" i="59" s="1"/>
  <c r="G34" i="63"/>
  <c r="F34" i="63"/>
  <c r="H34" i="63" s="1"/>
  <c r="J34" i="63" s="1"/>
  <c r="P34" i="63" s="1"/>
  <c r="G33" i="63"/>
  <c r="O33" i="63"/>
  <c r="F33" i="63"/>
  <c r="H33" i="63" s="1"/>
  <c r="I32" i="50"/>
  <c r="I36" i="53"/>
  <c r="J36" i="53" s="1"/>
  <c r="P36" i="53" s="1"/>
  <c r="I30" i="59"/>
  <c r="J30" i="59" s="1"/>
  <c r="P30" i="59" s="1"/>
  <c r="I33" i="63"/>
  <c r="I45" i="56"/>
  <c r="J45" i="56" s="1"/>
  <c r="P45" i="56" s="1"/>
  <c r="I20" i="59"/>
  <c r="I23" i="58"/>
  <c r="O17" i="50"/>
  <c r="I23" i="51"/>
  <c r="I18" i="1"/>
  <c r="I15" i="51"/>
  <c r="I17" i="62"/>
  <c r="O16" i="50"/>
  <c r="F16" i="50"/>
  <c r="H16" i="50" s="1"/>
  <c r="G16" i="50"/>
  <c r="F19" i="56"/>
  <c r="H19" i="56" s="1"/>
  <c r="F18" i="56"/>
  <c r="H18" i="56" s="1"/>
  <c r="G19" i="56"/>
  <c r="G18" i="56"/>
  <c r="I18" i="56" s="1"/>
  <c r="F16" i="56"/>
  <c r="H16" i="56" s="1"/>
  <c r="G16" i="56"/>
  <c r="I16" i="56" s="1"/>
  <c r="I22" i="55"/>
  <c r="J22" i="55" s="1"/>
  <c r="I21" i="67"/>
  <c r="J21" i="67" s="1"/>
  <c r="P21" i="67" s="1"/>
  <c r="I23" i="55"/>
  <c r="I19" i="56"/>
  <c r="I19" i="1"/>
  <c r="F49" i="65"/>
  <c r="H49" i="65" s="1"/>
  <c r="I46" i="65"/>
  <c r="J46" i="65" s="1"/>
  <c r="O46" i="65"/>
  <c r="O48" i="65"/>
  <c r="I45" i="65"/>
  <c r="J45" i="65" s="1"/>
  <c r="O45" i="65"/>
  <c r="F48" i="65"/>
  <c r="H48" i="65" s="1"/>
  <c r="G48" i="65"/>
  <c r="I48" i="65" s="1"/>
  <c r="S54" i="65"/>
  <c r="G49" i="65"/>
  <c r="I49" i="65" s="1"/>
  <c r="O15" i="61"/>
  <c r="F15" i="61"/>
  <c r="H15" i="61" s="1"/>
  <c r="I17" i="1"/>
  <c r="I16" i="65"/>
  <c r="J16" i="65" s="1"/>
  <c r="I21" i="1"/>
  <c r="I47" i="65"/>
  <c r="J47" i="65" s="1"/>
  <c r="P47" i="65" s="1"/>
  <c r="O22" i="56"/>
  <c r="I20" i="50"/>
  <c r="O23" i="52"/>
  <c r="I19" i="52"/>
  <c r="J19" i="52" s="1"/>
  <c r="P19" i="52" s="1"/>
  <c r="I17" i="67"/>
  <c r="J17" i="67" s="1"/>
  <c r="P17" i="67" s="1"/>
  <c r="I22" i="65"/>
  <c r="J22" i="65" s="1"/>
  <c r="I23" i="1"/>
  <c r="N21" i="64"/>
  <c r="N20" i="64"/>
  <c r="J23" i="66"/>
  <c r="I22" i="52"/>
  <c r="G20" i="54"/>
  <c r="I19" i="68"/>
  <c r="O15" i="67"/>
  <c r="F17" i="58"/>
  <c r="H17" i="58" s="1"/>
  <c r="G17" i="58"/>
  <c r="I17" i="58" s="1"/>
  <c r="O17" i="58"/>
  <c r="N17" i="52"/>
  <c r="N16" i="52"/>
  <c r="I23" i="62"/>
  <c r="J23" i="62" s="1"/>
  <c r="N20" i="62"/>
  <c r="O20" i="62" s="1"/>
  <c r="N21" i="62"/>
  <c r="I16" i="67"/>
  <c r="F23" i="61"/>
  <c r="H23" i="61" s="1"/>
  <c r="G23" i="61"/>
  <c r="I23" i="61" s="1"/>
  <c r="I20" i="51"/>
  <c r="I16" i="54"/>
  <c r="J16" i="54" s="1"/>
  <c r="P16" i="54" s="1"/>
  <c r="F19" i="62"/>
  <c r="H19" i="62" s="1"/>
  <c r="O18" i="62"/>
  <c r="G19" i="62"/>
  <c r="I19" i="62" s="1"/>
  <c r="F18" i="62"/>
  <c r="H18" i="62" s="1"/>
  <c r="G18" i="62"/>
  <c r="I18" i="62" s="1"/>
  <c r="I15" i="60"/>
  <c r="J15" i="60" s="1"/>
  <c r="N20" i="56"/>
  <c r="O20" i="56" s="1"/>
  <c r="N21" i="56"/>
  <c r="F19" i="51"/>
  <c r="H19" i="51" s="1"/>
  <c r="G18" i="51"/>
  <c r="I18" i="51" s="1"/>
  <c r="G19" i="51"/>
  <c r="F18" i="51"/>
  <c r="H18" i="51" s="1"/>
  <c r="I23" i="60"/>
  <c r="G16" i="62"/>
  <c r="I16" i="62" s="1"/>
  <c r="J16" i="62" s="1"/>
  <c r="O17" i="62"/>
  <c r="G18" i="65"/>
  <c r="I18" i="65" s="1"/>
  <c r="G19" i="65"/>
  <c r="I19" i="65" s="1"/>
  <c r="J19" i="65" s="1"/>
  <c r="P19" i="65" s="1"/>
  <c r="F18" i="65"/>
  <c r="H18" i="65" s="1"/>
  <c r="G23" i="55"/>
  <c r="I15" i="55"/>
  <c r="J15" i="55" s="1"/>
  <c r="P15" i="55" s="1"/>
  <c r="O23" i="55"/>
  <c r="I17" i="55"/>
  <c r="F23" i="55"/>
  <c r="H23" i="55" s="1"/>
  <c r="I20" i="55"/>
  <c r="J20" i="55" s="1"/>
  <c r="P20" i="55" s="1"/>
  <c r="I19" i="55"/>
  <c r="J19" i="55" s="1"/>
  <c r="P19" i="55" s="1"/>
  <c r="G22" i="54"/>
  <c r="F22" i="54"/>
  <c r="H22" i="54" s="1"/>
  <c r="O22" i="54"/>
  <c r="I16" i="51"/>
  <c r="I19" i="51"/>
  <c r="G21" i="54"/>
  <c r="I18" i="67"/>
  <c r="J18" i="67" s="1"/>
  <c r="S24" i="67"/>
  <c r="I23" i="67"/>
  <c r="F16" i="67"/>
  <c r="H16" i="67" s="1"/>
  <c r="G16" i="67"/>
  <c r="O16" i="67"/>
  <c r="I18" i="59"/>
  <c r="J18" i="59" s="1"/>
  <c r="P18" i="59" s="1"/>
  <c r="G20" i="59"/>
  <c r="O20" i="59"/>
  <c r="F20" i="59"/>
  <c r="H20" i="59" s="1"/>
  <c r="F21" i="59"/>
  <c r="H21" i="59" s="1"/>
  <c r="G21" i="59"/>
  <c r="N19" i="52"/>
  <c r="N18" i="52"/>
  <c r="N16" i="66"/>
  <c r="O16" i="66" s="1"/>
  <c r="N17" i="66"/>
  <c r="O17" i="66" s="1"/>
  <c r="I15" i="59"/>
  <c r="J15" i="59" s="1"/>
  <c r="P15" i="59" s="1"/>
  <c r="I19" i="59"/>
  <c r="J19" i="59" s="1"/>
  <c r="P19" i="59" s="1"/>
  <c r="S24" i="59"/>
  <c r="I20" i="54"/>
  <c r="G22" i="53"/>
  <c r="I18" i="55"/>
  <c r="J18" i="55" s="1"/>
  <c r="O15" i="54"/>
  <c r="G15" i="54"/>
  <c r="F15" i="54"/>
  <c r="H15" i="54" s="1"/>
  <c r="F23" i="59"/>
  <c r="H23" i="59" s="1"/>
  <c r="O23" i="59"/>
  <c r="G23" i="59"/>
  <c r="F19" i="58"/>
  <c r="H19" i="58" s="1"/>
  <c r="G18" i="58"/>
  <c r="I18" i="58" s="1"/>
  <c r="F18" i="58"/>
  <c r="H18" i="58" s="1"/>
  <c r="G19" i="58"/>
  <c r="I19" i="58" s="1"/>
  <c r="O18" i="58"/>
  <c r="N21" i="53"/>
  <c r="N20" i="53"/>
  <c r="O20" i="53" s="1"/>
  <c r="G15" i="65"/>
  <c r="I23" i="65"/>
  <c r="J23" i="65" s="1"/>
  <c r="O16" i="65"/>
  <c r="F15" i="65"/>
  <c r="H15" i="65" s="1"/>
  <c r="O23" i="65"/>
  <c r="I15" i="65"/>
  <c r="S24" i="65"/>
  <c r="G21" i="51"/>
  <c r="I21" i="51" s="1"/>
  <c r="F21" i="51"/>
  <c r="H21" i="51" s="1"/>
  <c r="F20" i="51"/>
  <c r="H20" i="51" s="1"/>
  <c r="G22" i="68"/>
  <c r="I22" i="68" s="1"/>
  <c r="O22" i="68"/>
  <c r="I21" i="68"/>
  <c r="J21" i="68" s="1"/>
  <c r="P21" i="68" s="1"/>
  <c r="F22" i="68"/>
  <c r="H22" i="68" s="1"/>
  <c r="I18" i="68"/>
  <c r="F15" i="52"/>
  <c r="H15" i="52" s="1"/>
  <c r="G15" i="52"/>
  <c r="I17" i="54"/>
  <c r="J17" i="54" s="1"/>
  <c r="F15" i="51"/>
  <c r="H15" i="51" s="1"/>
  <c r="G19" i="50"/>
  <c r="S24" i="50"/>
  <c r="F19" i="50"/>
  <c r="H19" i="50" s="1"/>
  <c r="J19" i="50" s="1"/>
  <c r="P19" i="50" s="1"/>
  <c r="G18" i="50"/>
  <c r="F18" i="50"/>
  <c r="H18" i="50" s="1"/>
  <c r="O18" i="50"/>
  <c r="G16" i="58"/>
  <c r="I16" i="58" s="1"/>
  <c r="F16" i="58"/>
  <c r="H16" i="58" s="1"/>
  <c r="I21" i="55"/>
  <c r="J21" i="55" s="1"/>
  <c r="P21" i="55" s="1"/>
  <c r="I22" i="59"/>
  <c r="J22" i="59" s="1"/>
  <c r="P22" i="59" s="1"/>
  <c r="S24" i="55"/>
  <c r="N17" i="55"/>
  <c r="N16" i="55"/>
  <c r="N20" i="66"/>
  <c r="O20" i="66" s="1"/>
  <c r="N21" i="66"/>
  <c r="I21" i="59"/>
  <c r="I20" i="58"/>
  <c r="O23" i="58"/>
  <c r="I15" i="54"/>
  <c r="I17" i="51"/>
  <c r="G17" i="53"/>
  <c r="I17" i="53" s="1"/>
  <c r="I23" i="53"/>
  <c r="J23" i="53" s="1"/>
  <c r="I19" i="53"/>
  <c r="J19" i="53" s="1"/>
  <c r="P19" i="53" s="1"/>
  <c r="I22" i="53"/>
  <c r="F17" i="53"/>
  <c r="H17" i="53" s="1"/>
  <c r="I18" i="53"/>
  <c r="J18" i="53" s="1"/>
  <c r="P18" i="53" s="1"/>
  <c r="O17" i="53"/>
  <c r="F17" i="60"/>
  <c r="H17" i="60" s="1"/>
  <c r="I17" i="60"/>
  <c r="G17" i="60"/>
  <c r="I19" i="60"/>
  <c r="J19" i="60" s="1"/>
  <c r="P19" i="60" s="1"/>
  <c r="G17" i="66"/>
  <c r="I17" i="66" s="1"/>
  <c r="O15" i="66"/>
  <c r="F17" i="66"/>
  <c r="H17" i="66" s="1"/>
  <c r="I18" i="66"/>
  <c r="I17" i="59"/>
  <c r="J17" i="59" s="1"/>
  <c r="P17" i="59" s="1"/>
  <c r="I31" i="51"/>
  <c r="J31" i="51" s="1"/>
  <c r="P31" i="51" s="1"/>
  <c r="O35" i="51"/>
  <c r="F35" i="51"/>
  <c r="H35" i="51" s="1"/>
  <c r="I34" i="51"/>
  <c r="G35" i="51"/>
  <c r="G36" i="51"/>
  <c r="I38" i="51"/>
  <c r="J38" i="51" s="1"/>
  <c r="P38" i="51" s="1"/>
  <c r="I36" i="51"/>
  <c r="F36" i="51"/>
  <c r="H36" i="51" s="1"/>
  <c r="N35" i="68"/>
  <c r="N36" i="68"/>
  <c r="I36" i="66"/>
  <c r="J36" i="66" s="1"/>
  <c r="P36" i="66" s="1"/>
  <c r="R36" i="66" s="1"/>
  <c r="I38" i="52"/>
  <c r="J38" i="52" s="1"/>
  <c r="P38" i="52" s="1"/>
  <c r="P50" i="62"/>
  <c r="G36" i="57"/>
  <c r="I37" i="51"/>
  <c r="J37" i="51" s="1"/>
  <c r="P37" i="51" s="1"/>
  <c r="O35" i="56"/>
  <c r="G35" i="56"/>
  <c r="G36" i="56"/>
  <c r="F35" i="56"/>
  <c r="H35" i="56" s="1"/>
  <c r="F36" i="56"/>
  <c r="H36" i="56" s="1"/>
  <c r="I36" i="56"/>
  <c r="I32" i="51"/>
  <c r="J32" i="51" s="1"/>
  <c r="P32" i="51" s="1"/>
  <c r="I32" i="52"/>
  <c r="J32" i="52" s="1"/>
  <c r="P32" i="52" s="1"/>
  <c r="G30" i="65"/>
  <c r="S39" i="65"/>
  <c r="I36" i="65"/>
  <c r="J36" i="65" s="1"/>
  <c r="P36" i="65" s="1"/>
  <c r="I38" i="65"/>
  <c r="J38" i="65" s="1"/>
  <c r="P38" i="65" s="1"/>
  <c r="O30" i="65"/>
  <c r="I37" i="65"/>
  <c r="I30" i="65"/>
  <c r="I35" i="65"/>
  <c r="J35" i="65" s="1"/>
  <c r="P35" i="65" s="1"/>
  <c r="I31" i="65"/>
  <c r="I32" i="65"/>
  <c r="J32" i="65" s="1"/>
  <c r="P32" i="65" s="1"/>
  <c r="F30" i="65"/>
  <c r="H30" i="65" s="1"/>
  <c r="I34" i="65"/>
  <c r="I33" i="65"/>
  <c r="S39" i="67"/>
  <c r="I30" i="67"/>
  <c r="J30" i="67" s="1"/>
  <c r="I36" i="67"/>
  <c r="J36" i="67" s="1"/>
  <c r="P36" i="67" s="1"/>
  <c r="I32" i="67"/>
  <c r="J32" i="67" s="1"/>
  <c r="I38" i="67"/>
  <c r="J38" i="67" s="1"/>
  <c r="P38" i="67" s="1"/>
  <c r="I35" i="67"/>
  <c r="J35" i="67" s="1"/>
  <c r="P35" i="67" s="1"/>
  <c r="O37" i="67"/>
  <c r="F37" i="67"/>
  <c r="H37" i="67" s="1"/>
  <c r="I31" i="67"/>
  <c r="J31" i="67" s="1"/>
  <c r="P31" i="67" s="1"/>
  <c r="I37" i="67"/>
  <c r="G37" i="67"/>
  <c r="I34" i="67"/>
  <c r="I33" i="51"/>
  <c r="J33" i="51" s="1"/>
  <c r="I35" i="51"/>
  <c r="J32" i="68"/>
  <c r="P32" i="68" s="1"/>
  <c r="F33" i="52"/>
  <c r="H33" i="52" s="1"/>
  <c r="F34" i="52"/>
  <c r="H34" i="52" s="1"/>
  <c r="G34" i="52"/>
  <c r="I37" i="52"/>
  <c r="J37" i="52" s="1"/>
  <c r="P37" i="52" s="1"/>
  <c r="I30" i="52"/>
  <c r="J30" i="52" s="1"/>
  <c r="P30" i="52" s="1"/>
  <c r="G33" i="52"/>
  <c r="I33" i="52"/>
  <c r="I34" i="52"/>
  <c r="O33" i="52"/>
  <c r="S39" i="55"/>
  <c r="O30" i="55"/>
  <c r="G30" i="55"/>
  <c r="I32" i="55"/>
  <c r="J32" i="55" s="1"/>
  <c r="P32" i="55" s="1"/>
  <c r="I31" i="55"/>
  <c r="F30" i="55"/>
  <c r="H30" i="55" s="1"/>
  <c r="I35" i="55"/>
  <c r="J35" i="55" s="1"/>
  <c r="P35" i="55" s="1"/>
  <c r="I33" i="55"/>
  <c r="J33" i="55" s="1"/>
  <c r="P33" i="55" s="1"/>
  <c r="I34" i="55"/>
  <c r="J34" i="55" s="1"/>
  <c r="P34" i="55" s="1"/>
  <c r="N35" i="55"/>
  <c r="N36" i="55"/>
  <c r="I30" i="51"/>
  <c r="J30" i="51" s="1"/>
  <c r="P30" i="51" s="1"/>
  <c r="I38" i="56"/>
  <c r="J38" i="56" s="1"/>
  <c r="P38" i="56" s="1"/>
  <c r="I35" i="66"/>
  <c r="J35" i="66" s="1"/>
  <c r="P35" i="66" s="1"/>
  <c r="R35" i="66" s="1"/>
  <c r="I32" i="66"/>
  <c r="J32" i="66" s="1"/>
  <c r="P32" i="66" s="1"/>
  <c r="R32" i="66" s="1"/>
  <c r="I34" i="66"/>
  <c r="I33" i="66"/>
  <c r="F31" i="66"/>
  <c r="H31" i="66" s="1"/>
  <c r="I30" i="66"/>
  <c r="J30" i="66" s="1"/>
  <c r="P30" i="66" s="1"/>
  <c r="R30" i="66" s="1"/>
  <c r="I38" i="66"/>
  <c r="J38" i="66" s="1"/>
  <c r="P38" i="66" s="1"/>
  <c r="R38" i="66" s="1"/>
  <c r="I30" i="55"/>
  <c r="I35" i="56"/>
  <c r="N36" i="60"/>
  <c r="I35" i="61"/>
  <c r="J35" i="61" s="1"/>
  <c r="P35" i="61" s="1"/>
  <c r="O30" i="61"/>
  <c r="I33" i="61"/>
  <c r="J33" i="61" s="1"/>
  <c r="P33" i="61" s="1"/>
  <c r="I38" i="61"/>
  <c r="J38" i="61" s="1"/>
  <c r="P38" i="61" s="1"/>
  <c r="I31" i="61"/>
  <c r="J31" i="61" s="1"/>
  <c r="P31" i="61" s="1"/>
  <c r="I34" i="61"/>
  <c r="I30" i="61"/>
  <c r="S39" i="61"/>
  <c r="I37" i="61"/>
  <c r="J37" i="61" s="1"/>
  <c r="P37" i="61" s="1"/>
  <c r="I36" i="61"/>
  <c r="J36" i="61" s="1"/>
  <c r="P36" i="61" s="1"/>
  <c r="G33" i="64"/>
  <c r="O33" i="64"/>
  <c r="I36" i="52"/>
  <c r="J45" i="54"/>
  <c r="P45" i="54" s="1"/>
  <c r="R45" i="54" s="1"/>
  <c r="G31" i="64"/>
  <c r="I30" i="64"/>
  <c r="J30" i="64" s="1"/>
  <c r="P30" i="64" s="1"/>
  <c r="I34" i="64"/>
  <c r="I35" i="64"/>
  <c r="I37" i="64"/>
  <c r="I36" i="64"/>
  <c r="J36" i="64" s="1"/>
  <c r="P36" i="64" s="1"/>
  <c r="S39" i="64"/>
  <c r="I32" i="64"/>
  <c r="J32" i="64" s="1"/>
  <c r="I38" i="64"/>
  <c r="I31" i="64"/>
  <c r="F31" i="64"/>
  <c r="H31" i="64" s="1"/>
  <c r="S39" i="52"/>
  <c r="J52" i="63"/>
  <c r="P52" i="63" s="1"/>
  <c r="I38" i="57"/>
  <c r="J38" i="57" s="1"/>
  <c r="O35" i="57"/>
  <c r="I37" i="57"/>
  <c r="J37" i="57" s="1"/>
  <c r="P37" i="57" s="1"/>
  <c r="I31" i="57"/>
  <c r="J31" i="57" s="1"/>
  <c r="P31" i="57" s="1"/>
  <c r="S39" i="57"/>
  <c r="I33" i="57"/>
  <c r="J33" i="57" s="1"/>
  <c r="P33" i="57" s="1"/>
  <c r="I30" i="57"/>
  <c r="J30" i="57" s="1"/>
  <c r="P30" i="57" s="1"/>
  <c r="I32" i="57"/>
  <c r="J32" i="57" s="1"/>
  <c r="P32" i="57" s="1"/>
  <c r="I34" i="57"/>
  <c r="J34" i="57" s="1"/>
  <c r="P34" i="57" s="1"/>
  <c r="I36" i="57"/>
  <c r="S39" i="51"/>
  <c r="P50" i="57"/>
  <c r="J46" i="54"/>
  <c r="P46" i="54" s="1"/>
  <c r="J50" i="54"/>
  <c r="P50" i="54" s="1"/>
  <c r="R50" i="54" s="1"/>
  <c r="P31" i="56"/>
  <c r="G53" i="61"/>
  <c r="F53" i="61"/>
  <c r="H53" i="61" s="1"/>
  <c r="F36" i="49"/>
  <c r="H36" i="49" s="1"/>
  <c r="G35" i="49"/>
  <c r="F35" i="49"/>
  <c r="H35" i="49" s="1"/>
  <c r="I35" i="49"/>
  <c r="I33" i="49"/>
  <c r="J33" i="49" s="1"/>
  <c r="P33" i="49" s="1"/>
  <c r="I31" i="49"/>
  <c r="J31" i="49" s="1"/>
  <c r="P31" i="49" s="1"/>
  <c r="I32" i="49"/>
  <c r="J32" i="49" s="1"/>
  <c r="P32" i="49" s="1"/>
  <c r="O35" i="49"/>
  <c r="G36" i="49"/>
  <c r="I38" i="49"/>
  <c r="J38" i="49" s="1"/>
  <c r="P38" i="49" s="1"/>
  <c r="I37" i="49"/>
  <c r="J37" i="49" s="1"/>
  <c r="P37" i="49" s="1"/>
  <c r="I36" i="49"/>
  <c r="S39" i="49"/>
  <c r="I30" i="49"/>
  <c r="J30" i="49" s="1"/>
  <c r="P30" i="49" s="1"/>
  <c r="P53" i="62"/>
  <c r="G37" i="58"/>
  <c r="I38" i="58"/>
  <c r="J38" i="58" s="1"/>
  <c r="P38" i="58" s="1"/>
  <c r="I34" i="58"/>
  <c r="J34" i="58" s="1"/>
  <c r="P34" i="58" s="1"/>
  <c r="I31" i="58"/>
  <c r="J31" i="58" s="1"/>
  <c r="P31" i="58" s="1"/>
  <c r="I37" i="58"/>
  <c r="I36" i="58"/>
  <c r="J36" i="58" s="1"/>
  <c r="P36" i="58" s="1"/>
  <c r="I32" i="58"/>
  <c r="J32" i="58" s="1"/>
  <c r="P32" i="58" s="1"/>
  <c r="F37" i="58"/>
  <c r="H37" i="58" s="1"/>
  <c r="O37" i="58"/>
  <c r="I35" i="58"/>
  <c r="J35" i="58" s="1"/>
  <c r="P35" i="58" s="1"/>
  <c r="I30" i="58"/>
  <c r="J30" i="58" s="1"/>
  <c r="P30" i="58" s="1"/>
  <c r="S39" i="58"/>
  <c r="I33" i="58"/>
  <c r="J33" i="58" s="1"/>
  <c r="P33" i="58" s="1"/>
  <c r="N36" i="59"/>
  <c r="N35" i="59"/>
  <c r="I46" i="61"/>
  <c r="J46" i="61" s="1"/>
  <c r="J48" i="62"/>
  <c r="P48" i="62" s="1"/>
  <c r="J37" i="56"/>
  <c r="P37" i="56" s="1"/>
  <c r="P46" i="57"/>
  <c r="J53" i="63"/>
  <c r="P53" i="63" s="1"/>
  <c r="P50" i="63"/>
  <c r="J52" i="57"/>
  <c r="P52" i="57" s="1"/>
  <c r="P47" i="57"/>
  <c r="J47" i="62"/>
  <c r="P47" i="62" s="1"/>
  <c r="J45" i="63"/>
  <c r="P45" i="63" s="1"/>
  <c r="J50" i="66"/>
  <c r="P50" i="66" s="1"/>
  <c r="R50" i="66" s="1"/>
  <c r="J48" i="66"/>
  <c r="P48" i="66" s="1"/>
  <c r="R48" i="66" s="1"/>
  <c r="J47" i="66"/>
  <c r="P47" i="66" s="1"/>
  <c r="R47" i="66" s="1"/>
  <c r="P46" i="66"/>
  <c r="R46" i="66" s="1"/>
  <c r="J49" i="66"/>
  <c r="P49" i="66" s="1"/>
  <c r="R49" i="66" s="1"/>
  <c r="J45" i="66"/>
  <c r="P45" i="66" s="1"/>
  <c r="S39" i="66"/>
  <c r="J21" i="64" l="1"/>
  <c r="P21" i="64" s="1"/>
  <c r="J35" i="64"/>
  <c r="P35" i="64" s="1"/>
  <c r="P32" i="64"/>
  <c r="J37" i="64"/>
  <c r="P37" i="64" s="1"/>
  <c r="P54" i="59"/>
  <c r="T45" i="59" s="1"/>
  <c r="P20" i="64"/>
  <c r="J15" i="57"/>
  <c r="J17" i="57"/>
  <c r="P17" i="57" s="1"/>
  <c r="P15" i="1"/>
  <c r="P23" i="66"/>
  <c r="R23" i="66" s="1"/>
  <c r="P17" i="63"/>
  <c r="P16" i="68"/>
  <c r="J20" i="68"/>
  <c r="P20" i="68" s="1"/>
  <c r="J16" i="52"/>
  <c r="P16" i="52" s="1"/>
  <c r="P22" i="61"/>
  <c r="J21" i="52"/>
  <c r="P21" i="52" s="1"/>
  <c r="P17" i="54"/>
  <c r="R17" i="54" s="1"/>
  <c r="P22" i="58"/>
  <c r="P23" i="50"/>
  <c r="J20" i="61"/>
  <c r="P20" i="61" s="1"/>
  <c r="P23" i="56"/>
  <c r="J20" i="56"/>
  <c r="P20" i="56" s="1"/>
  <c r="P22" i="51"/>
  <c r="J20" i="58"/>
  <c r="P20" i="58" s="1"/>
  <c r="J17" i="62"/>
  <c r="P17" i="62" s="1"/>
  <c r="J20" i="50"/>
  <c r="P18" i="55"/>
  <c r="J22" i="68"/>
  <c r="P22" i="68" s="1"/>
  <c r="J21" i="58"/>
  <c r="P21" i="58" s="1"/>
  <c r="J23" i="54"/>
  <c r="P23" i="54" s="1"/>
  <c r="R23" i="54" s="1"/>
  <c r="J20" i="52"/>
  <c r="J20" i="1"/>
  <c r="P20" i="1" s="1"/>
  <c r="P15" i="53"/>
  <c r="J18" i="58"/>
  <c r="P18" i="58" s="1"/>
  <c r="J16" i="56"/>
  <c r="P16" i="56" s="1"/>
  <c r="P47" i="63"/>
  <c r="P54" i="53"/>
  <c r="T45" i="53" s="1"/>
  <c r="P54" i="58"/>
  <c r="T45" i="58" s="1"/>
  <c r="P50" i="61"/>
  <c r="P47" i="61"/>
  <c r="P23" i="68"/>
  <c r="P22" i="55"/>
  <c r="P20" i="52"/>
  <c r="J21" i="56"/>
  <c r="P21" i="56" s="1"/>
  <c r="J23" i="58"/>
  <c r="P23" i="58" s="1"/>
  <c r="P50" i="65"/>
  <c r="J18" i="60"/>
  <c r="P18" i="60" s="1"/>
  <c r="J23" i="57"/>
  <c r="P23" i="57" s="1"/>
  <c r="J16" i="49"/>
  <c r="P16" i="49" s="1"/>
  <c r="J22" i="1"/>
  <c r="P22" i="1" s="1"/>
  <c r="J21" i="1"/>
  <c r="P21" i="1" s="1"/>
  <c r="P23" i="62"/>
  <c r="P16" i="1"/>
  <c r="J22" i="52"/>
  <c r="P22" i="52" s="1"/>
  <c r="P16" i="53"/>
  <c r="J16" i="61"/>
  <c r="P16" i="61" s="1"/>
  <c r="J23" i="60"/>
  <c r="P23" i="60" s="1"/>
  <c r="P17" i="68"/>
  <c r="J22" i="62"/>
  <c r="P22" i="62" s="1"/>
  <c r="J20" i="54"/>
  <c r="P20" i="54" s="1"/>
  <c r="R20" i="54" s="1"/>
  <c r="P23" i="49"/>
  <c r="J17" i="55"/>
  <c r="P17" i="55" s="1"/>
  <c r="J16" i="57"/>
  <c r="P16" i="57" s="1"/>
  <c r="P16" i="64"/>
  <c r="P16" i="55"/>
  <c r="J15" i="66"/>
  <c r="P15" i="66" s="1"/>
  <c r="R15" i="66" s="1"/>
  <c r="J18" i="66"/>
  <c r="P18" i="66" s="1"/>
  <c r="R18" i="66" s="1"/>
  <c r="P54" i="60"/>
  <c r="T45" i="60" s="1"/>
  <c r="J35" i="60"/>
  <c r="P35" i="60" s="1"/>
  <c r="J23" i="51"/>
  <c r="P23" i="51" s="1"/>
  <c r="J17" i="51"/>
  <c r="P17" i="51" s="1"/>
  <c r="P33" i="51"/>
  <c r="J53" i="61"/>
  <c r="P53" i="61" s="1"/>
  <c r="J30" i="61"/>
  <c r="J34" i="61"/>
  <c r="P34" i="61" s="1"/>
  <c r="P17" i="61"/>
  <c r="P20" i="50"/>
  <c r="P23" i="63"/>
  <c r="J17" i="1"/>
  <c r="P17" i="1" s="1"/>
  <c r="J23" i="1"/>
  <c r="P23" i="1" s="1"/>
  <c r="P15" i="50"/>
  <c r="J21" i="63"/>
  <c r="P21" i="63" s="1"/>
  <c r="P23" i="64"/>
  <c r="P15" i="56"/>
  <c r="J32" i="50"/>
  <c r="P32" i="50" s="1"/>
  <c r="J31" i="62"/>
  <c r="P31" i="62" s="1"/>
  <c r="P48" i="57"/>
  <c r="P15" i="57"/>
  <c r="P23" i="53"/>
  <c r="J18" i="49"/>
  <c r="P18" i="49" s="1"/>
  <c r="J22" i="49"/>
  <c r="P22" i="49" s="1"/>
  <c r="J22" i="54"/>
  <c r="P22" i="54" s="1"/>
  <c r="R22" i="54" s="1"/>
  <c r="P37" i="59"/>
  <c r="P38" i="55"/>
  <c r="P32" i="67"/>
  <c r="J31" i="53"/>
  <c r="J36" i="59"/>
  <c r="P36" i="59" s="1"/>
  <c r="P37" i="53"/>
  <c r="J31" i="63"/>
  <c r="P31" i="63" s="1"/>
  <c r="J35" i="57"/>
  <c r="P22" i="63"/>
  <c r="P30" i="60"/>
  <c r="P48" i="63"/>
  <c r="J17" i="58"/>
  <c r="P17" i="58" s="1"/>
  <c r="J37" i="65"/>
  <c r="P37" i="65" s="1"/>
  <c r="J33" i="65"/>
  <c r="P33" i="65" s="1"/>
  <c r="J18" i="68"/>
  <c r="P18" i="68" s="1"/>
  <c r="J20" i="63"/>
  <c r="P20" i="63" s="1"/>
  <c r="J34" i="65"/>
  <c r="P34" i="65" s="1"/>
  <c r="J23" i="67"/>
  <c r="P23" i="67" s="1"/>
  <c r="J21" i="60"/>
  <c r="P21" i="60" s="1"/>
  <c r="J35" i="59"/>
  <c r="J18" i="57"/>
  <c r="P18" i="57" s="1"/>
  <c r="P35" i="57"/>
  <c r="P35" i="62"/>
  <c r="P38" i="57"/>
  <c r="J17" i="50"/>
  <c r="P17" i="50" s="1"/>
  <c r="P37" i="63"/>
  <c r="P22" i="66"/>
  <c r="R22" i="66" s="1"/>
  <c r="J18" i="64"/>
  <c r="P18" i="64" s="1"/>
  <c r="J21" i="65"/>
  <c r="P21" i="65" s="1"/>
  <c r="J15" i="61"/>
  <c r="P15" i="61" s="1"/>
  <c r="J15" i="63"/>
  <c r="P15" i="63" s="1"/>
  <c r="P16" i="62"/>
  <c r="J34" i="66"/>
  <c r="P34" i="66" s="1"/>
  <c r="R34" i="66" s="1"/>
  <c r="J18" i="50"/>
  <c r="P18" i="50" s="1"/>
  <c r="P16" i="66"/>
  <c r="R16" i="66" s="1"/>
  <c r="P18" i="67"/>
  <c r="J33" i="66"/>
  <c r="P33" i="66" s="1"/>
  <c r="J34" i="51"/>
  <c r="P34" i="51" s="1"/>
  <c r="P30" i="67"/>
  <c r="J37" i="54"/>
  <c r="P37" i="54" s="1"/>
  <c r="R37" i="54" s="1"/>
  <c r="J32" i="56"/>
  <c r="P32" i="56" s="1"/>
  <c r="J22" i="60"/>
  <c r="P22" i="60" s="1"/>
  <c r="J36" i="52"/>
  <c r="P36" i="52" s="1"/>
  <c r="J38" i="64"/>
  <c r="P38" i="64" s="1"/>
  <c r="J16" i="58"/>
  <c r="P16" i="58" s="1"/>
  <c r="J15" i="52"/>
  <c r="P15" i="52" s="1"/>
  <c r="P15" i="60"/>
  <c r="J19" i="68"/>
  <c r="P19" i="68" s="1"/>
  <c r="P54" i="52"/>
  <c r="T45" i="52" s="1"/>
  <c r="J36" i="60"/>
  <c r="P36" i="60" s="1"/>
  <c r="P20" i="65"/>
  <c r="J34" i="50"/>
  <c r="P34" i="50" s="1"/>
  <c r="J23" i="61"/>
  <c r="P23" i="61" s="1"/>
  <c r="J18" i="1"/>
  <c r="P18" i="1" s="1"/>
  <c r="J37" i="67"/>
  <c r="P37" i="67" s="1"/>
  <c r="J17" i="65"/>
  <c r="P17" i="65" s="1"/>
  <c r="J31" i="65"/>
  <c r="P31" i="65" s="1"/>
  <c r="J22" i="53"/>
  <c r="P22" i="53" s="1"/>
  <c r="J18" i="51"/>
  <c r="P18" i="51" s="1"/>
  <c r="J36" i="62"/>
  <c r="P36" i="62" s="1"/>
  <c r="P20" i="66"/>
  <c r="R20" i="66" s="1"/>
  <c r="J31" i="55"/>
  <c r="P31" i="55" s="1"/>
  <c r="P46" i="61"/>
  <c r="P16" i="63"/>
  <c r="J16" i="51"/>
  <c r="P16" i="51" s="1"/>
  <c r="J34" i="67"/>
  <c r="P34" i="67" s="1"/>
  <c r="J34" i="64"/>
  <c r="P34" i="64" s="1"/>
  <c r="J32" i="61"/>
  <c r="P32" i="61" s="1"/>
  <c r="P30" i="53"/>
  <c r="J17" i="53"/>
  <c r="P17" i="53" s="1"/>
  <c r="J23" i="59"/>
  <c r="P23" i="59" s="1"/>
  <c r="P22" i="65"/>
  <c r="J35" i="50"/>
  <c r="P35" i="50" s="1"/>
  <c r="P22" i="50"/>
  <c r="P20" i="60"/>
  <c r="P22" i="67"/>
  <c r="J18" i="61"/>
  <c r="P18" i="61" s="1"/>
  <c r="P54" i="1"/>
  <c r="T45" i="1" s="1"/>
  <c r="P35" i="59"/>
  <c r="P39" i="59" s="1"/>
  <c r="T30" i="59" s="1"/>
  <c r="P39" i="1"/>
  <c r="T30" i="1" s="1"/>
  <c r="P33" i="54"/>
  <c r="R33" i="54" s="1"/>
  <c r="P16" i="65"/>
  <c r="J16" i="59"/>
  <c r="P16" i="59" s="1"/>
  <c r="J31" i="52"/>
  <c r="P31" i="52" s="1"/>
  <c r="J38" i="54"/>
  <c r="P38" i="54" s="1"/>
  <c r="R38" i="54" s="1"/>
  <c r="J31" i="66"/>
  <c r="P31" i="66" s="1"/>
  <c r="R31" i="66" s="1"/>
  <c r="P38" i="62"/>
  <c r="J34" i="54"/>
  <c r="P34" i="54" s="1"/>
  <c r="R34" i="54" s="1"/>
  <c r="J16" i="50"/>
  <c r="P16" i="50" s="1"/>
  <c r="J33" i="50"/>
  <c r="P33" i="50" s="1"/>
  <c r="J34" i="60"/>
  <c r="P34" i="60" s="1"/>
  <c r="J31" i="60"/>
  <c r="P31" i="60" s="1"/>
  <c r="J15" i="58"/>
  <c r="P15" i="58" s="1"/>
  <c r="J15" i="49"/>
  <c r="P15" i="49" s="1"/>
  <c r="J15" i="51"/>
  <c r="P15" i="51" s="1"/>
  <c r="J20" i="49"/>
  <c r="P20" i="49" s="1"/>
  <c r="P16" i="60"/>
  <c r="J17" i="60"/>
  <c r="P17" i="60" s="1"/>
  <c r="P45" i="65"/>
  <c r="P15" i="62"/>
  <c r="P20" i="62"/>
  <c r="P23" i="52"/>
  <c r="J17" i="49"/>
  <c r="P17" i="49" s="1"/>
  <c r="R54" i="54"/>
  <c r="J19" i="51"/>
  <c r="P19" i="51" s="1"/>
  <c r="J48" i="65"/>
  <c r="P48" i="65" s="1"/>
  <c r="J19" i="58"/>
  <c r="P19" i="58" s="1"/>
  <c r="P39" i="68"/>
  <c r="T30" i="68" s="1"/>
  <c r="P33" i="53"/>
  <c r="P35" i="53"/>
  <c r="J31" i="54"/>
  <c r="P31" i="54" s="1"/>
  <c r="P39" i="54" s="1"/>
  <c r="J33" i="62"/>
  <c r="P33" i="62" s="1"/>
  <c r="J35" i="56"/>
  <c r="P35" i="56" s="1"/>
  <c r="J16" i="67"/>
  <c r="P16" i="67" s="1"/>
  <c r="P22" i="56"/>
  <c r="J30" i="50"/>
  <c r="P30" i="50" s="1"/>
  <c r="J36" i="57"/>
  <c r="P36" i="57" s="1"/>
  <c r="P31" i="53"/>
  <c r="J53" i="56"/>
  <c r="P53" i="56" s="1"/>
  <c r="P54" i="56" s="1"/>
  <c r="T45" i="56" s="1"/>
  <c r="J33" i="63"/>
  <c r="P33" i="63" s="1"/>
  <c r="P39" i="63" s="1"/>
  <c r="T30" i="63" s="1"/>
  <c r="J18" i="56"/>
  <c r="P18" i="56" s="1"/>
  <c r="J20" i="59"/>
  <c r="P20" i="59" s="1"/>
  <c r="J19" i="56"/>
  <c r="P19" i="56" s="1"/>
  <c r="J19" i="1"/>
  <c r="P19" i="1" s="1"/>
  <c r="J33" i="60"/>
  <c r="P33" i="60" s="1"/>
  <c r="P30" i="61"/>
  <c r="J18" i="65"/>
  <c r="P18" i="65" s="1"/>
  <c r="P54" i="54"/>
  <c r="J35" i="51"/>
  <c r="P35" i="51" s="1"/>
  <c r="J33" i="52"/>
  <c r="P33" i="52" s="1"/>
  <c r="J23" i="55"/>
  <c r="P23" i="55" s="1"/>
  <c r="P23" i="65"/>
  <c r="J19" i="62"/>
  <c r="P19" i="62" s="1"/>
  <c r="P15" i="67"/>
  <c r="P46" i="65"/>
  <c r="J49" i="65"/>
  <c r="P49" i="65" s="1"/>
  <c r="J15" i="65"/>
  <c r="P15" i="65" s="1"/>
  <c r="J18" i="62"/>
  <c r="P18" i="62" s="1"/>
  <c r="J15" i="54"/>
  <c r="P15" i="54" s="1"/>
  <c r="R15" i="54" s="1"/>
  <c r="J21" i="59"/>
  <c r="P21" i="59" s="1"/>
  <c r="J20" i="51"/>
  <c r="P20" i="51" s="1"/>
  <c r="J21" i="51"/>
  <c r="P21" i="51" s="1"/>
  <c r="J17" i="66"/>
  <c r="P17" i="66" s="1"/>
  <c r="R17" i="66" s="1"/>
  <c r="J31" i="64"/>
  <c r="P31" i="64" s="1"/>
  <c r="J30" i="55"/>
  <c r="P30" i="55" s="1"/>
  <c r="P39" i="55" s="1"/>
  <c r="T30" i="55" s="1"/>
  <c r="P33" i="64"/>
  <c r="J36" i="49"/>
  <c r="P36" i="49" s="1"/>
  <c r="J30" i="65"/>
  <c r="P30" i="65" s="1"/>
  <c r="J36" i="56"/>
  <c r="P36" i="56" s="1"/>
  <c r="J34" i="52"/>
  <c r="P34" i="52" s="1"/>
  <c r="P54" i="57"/>
  <c r="T45" i="57" s="1"/>
  <c r="J36" i="51"/>
  <c r="P36" i="51" s="1"/>
  <c r="S24" i="60"/>
  <c r="R33" i="66"/>
  <c r="J35" i="49"/>
  <c r="P35" i="49" s="1"/>
  <c r="P54" i="62"/>
  <c r="T45" i="62" s="1"/>
  <c r="J37" i="58"/>
  <c r="P37" i="58" s="1"/>
  <c r="P39" i="58" s="1"/>
  <c r="T30" i="58" s="1"/>
  <c r="P54" i="63"/>
  <c r="T45" i="63" s="1"/>
  <c r="R45" i="66"/>
  <c r="R54" i="66" s="1"/>
  <c r="P54" i="66"/>
  <c r="P54" i="61" l="1"/>
  <c r="T45" i="61" s="1"/>
  <c r="P24" i="55"/>
  <c r="T15" i="55" s="1"/>
  <c r="P24" i="64"/>
  <c r="S24" i="64" s="1"/>
  <c r="T15" i="64" s="1"/>
  <c r="R24" i="54"/>
  <c r="R39" i="54"/>
  <c r="T30" i="54" s="1"/>
  <c r="P24" i="59"/>
  <c r="T15" i="59" s="1"/>
  <c r="P39" i="57"/>
  <c r="T30" i="57" s="1"/>
  <c r="P39" i="66"/>
  <c r="R39" i="66"/>
  <c r="P39" i="67"/>
  <c r="T30" i="67" s="1"/>
  <c r="P24" i="57"/>
  <c r="T15" i="57" s="1"/>
  <c r="P24" i="68"/>
  <c r="S24" i="68" s="1"/>
  <c r="T15" i="68" s="1"/>
  <c r="P39" i="65"/>
  <c r="T30" i="65" s="1"/>
  <c r="P24" i="63"/>
  <c r="T15" i="63" s="1"/>
  <c r="P24" i="52"/>
  <c r="S24" i="52" s="1"/>
  <c r="T15" i="52" s="1"/>
  <c r="P39" i="61"/>
  <c r="T30" i="61" s="1"/>
  <c r="P24" i="53"/>
  <c r="S24" i="53" s="1"/>
  <c r="T15" i="53" s="1"/>
  <c r="P39" i="62"/>
  <c r="T30" i="62" s="1"/>
  <c r="P39" i="60"/>
  <c r="T30" i="60" s="1"/>
  <c r="P24" i="61"/>
  <c r="S24" i="61" s="1"/>
  <c r="T15" i="61" s="1"/>
  <c r="P24" i="60"/>
  <c r="T15" i="60" s="1"/>
  <c r="P39" i="56"/>
  <c r="T30" i="56" s="1"/>
  <c r="P24" i="1"/>
  <c r="T15" i="1" s="1"/>
  <c r="P39" i="51"/>
  <c r="T30" i="51" s="1"/>
  <c r="P39" i="53"/>
  <c r="T30" i="53" s="1"/>
  <c r="P39" i="50"/>
  <c r="T30" i="50" s="1"/>
  <c r="P24" i="54"/>
  <c r="R24" i="66"/>
  <c r="P24" i="50"/>
  <c r="T15" i="50" s="1"/>
  <c r="P54" i="65"/>
  <c r="T45" i="65" s="1"/>
  <c r="T45" i="54"/>
  <c r="P24" i="58"/>
  <c r="S24" i="58" s="1"/>
  <c r="T15" i="58" s="1"/>
  <c r="P24" i="66"/>
  <c r="S24" i="66" s="1"/>
  <c r="P24" i="49"/>
  <c r="T15" i="49" s="1"/>
  <c r="P24" i="51"/>
  <c r="T15" i="51" s="1"/>
  <c r="P24" i="56"/>
  <c r="T15" i="56" s="1"/>
  <c r="P24" i="65"/>
  <c r="T15" i="65" s="1"/>
  <c r="P39" i="49"/>
  <c r="T30" i="49" s="1"/>
  <c r="P39" i="52"/>
  <c r="T30" i="52" s="1"/>
  <c r="P24" i="62"/>
  <c r="S24" i="62" s="1"/>
  <c r="T15" i="62" s="1"/>
  <c r="P24" i="67"/>
  <c r="T15" i="67" s="1"/>
  <c r="P39" i="64"/>
  <c r="T30" i="64" s="1"/>
  <c r="T45" i="66"/>
  <c r="T15" i="54" l="1"/>
  <c r="T30" i="66"/>
  <c r="T15" i="6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ROJEÇÃO" description="Conexão com a consulta 'PROJEÇÃO' na pasta de trabalho." type="5" refreshedVersion="8" background="1" saveData="1">
    <dbPr connection="Provider=Microsoft.Mashup.OleDb.1;Data Source=$Workbook$;Location=PROJEÇÃO;Extended Properties=&quot;&quot;" command="SELECT * FROM [PROJEÇÃO]"/>
  </connection>
  <connection id="2" xr16:uid="{00000000-0015-0000-FFFF-FFFF01000000}" keepAlive="1" name="Consulta - PROJEÇÃO (2)" description="Conexão com a consulta 'PROJEÇÃO (2)' na pasta de trabalho." type="5" refreshedVersion="8" background="1" saveData="1">
    <dbPr connection="Provider=Microsoft.Mashup.OleDb.1;Data Source=$Workbook$;Location=&quot;PROJEÇÃO (2)&quot;;Extended Properties=&quot;&quot;" command="SELECT * FROM [PROJEÇÃO (2)]"/>
  </connection>
  <connection id="3" xr16:uid="{00000000-0015-0000-FFFF-FFFF02000000}" keepAlive="1" name="Consulta - REALIZADO" description="Conexão com a consulta 'REALIZADO' na pasta de trabalho." type="5" refreshedVersion="8" background="1" saveData="1">
    <dbPr connection="Provider=Microsoft.Mashup.OleDb.1;Data Source=$Workbook$;Location=REALIZADO;Extended Properties=&quot;&quot;" command="SELECT * FROM [REALIZAD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<sst xmlns="http://schemas.openxmlformats.org/spreadsheetml/2006/main" count="3056" uniqueCount="241">
  <si>
    <t>VENDEDOR</t>
  </si>
  <si>
    <t>ESSENCIAIS</t>
  </si>
  <si>
    <t>MÓVEL</t>
  </si>
  <si>
    <t>SEGURO</t>
  </si>
  <si>
    <t>A</t>
  </si>
  <si>
    <t>B</t>
  </si>
  <si>
    <t>COMISSÃO</t>
  </si>
  <si>
    <t>&lt;50</t>
  </si>
  <si>
    <t>PREMIAÇÃO ALTO DESEMPENHO</t>
  </si>
  <si>
    <t>INDIVIDUAL</t>
  </si>
  <si>
    <t>PREMIO ALTA PERFORMANCE</t>
  </si>
  <si>
    <t>LOJA</t>
  </si>
  <si>
    <t>PREMIO LOJA</t>
  </si>
  <si>
    <t>FIXA</t>
  </si>
  <si>
    <t>SVA</t>
  </si>
  <si>
    <t>VENDEU GANHOU</t>
  </si>
  <si>
    <t>ELETRONICOS</t>
  </si>
  <si>
    <t>&gt;15</t>
  </si>
  <si>
    <t>&lt;15</t>
  </si>
  <si>
    <t>Smartphone</t>
  </si>
  <si>
    <t>GERENTE</t>
  </si>
  <si>
    <t>CARTEIRA</t>
  </si>
  <si>
    <t>PREMIO CARTEIRA</t>
  </si>
  <si>
    <t>COORDENADOR</t>
  </si>
  <si>
    <t>RECEPCIONISTA / GURU</t>
  </si>
  <si>
    <t>PREMIAÇÃO FIXA</t>
  </si>
  <si>
    <t>PREMIAÇÃO</t>
  </si>
  <si>
    <t>ANCHIETA</t>
  </si>
  <si>
    <t>ARIEL</t>
  </si>
  <si>
    <t>BOM JESUS DO ITABAPOANA</t>
  </si>
  <si>
    <t>ICONHA</t>
  </si>
  <si>
    <t>MIRACEMA</t>
  </si>
  <si>
    <t>PIUMA</t>
  </si>
  <si>
    <t>QUISSAMA</t>
  </si>
  <si>
    <t>SANTO ANTONIO DE PADUA</t>
  </si>
  <si>
    <t>SAO FIDELIS</t>
  </si>
  <si>
    <t>CENTRO VILA VELHA</t>
  </si>
  <si>
    <t>IGOR</t>
  </si>
  <si>
    <t>CENTRO VIX</t>
  </si>
  <si>
    <t>GLÓRIA</t>
  </si>
  <si>
    <t>JARDIM CAMBURI</t>
  </si>
  <si>
    <t>MASTERPLACE</t>
  </si>
  <si>
    <t>NORTE SUL</t>
  </si>
  <si>
    <t>ITACIBA</t>
  </si>
  <si>
    <t>JACARAÍPE</t>
  </si>
  <si>
    <t>THAYANDRA</t>
  </si>
  <si>
    <t>LARANJEIRAS</t>
  </si>
  <si>
    <t>MARCILIO DE NORONHA</t>
  </si>
  <si>
    <t>MONTSERRAT</t>
  </si>
  <si>
    <t>PORTO CANOA</t>
  </si>
  <si>
    <t>SERRA SEDE</t>
  </si>
  <si>
    <t>SEDE ADMINISTRATIVA</t>
  </si>
  <si>
    <t>RCX</t>
  </si>
  <si>
    <t>CONSULTOR</t>
  </si>
  <si>
    <t>PDV</t>
  </si>
  <si>
    <t>AT_MOVEL</t>
  </si>
  <si>
    <t>META_MOVEL</t>
  </si>
  <si>
    <t>F_M_MOVEL</t>
  </si>
  <si>
    <t>AT_FIXA</t>
  </si>
  <si>
    <t>META_FIXA</t>
  </si>
  <si>
    <t>F_M_FIXA</t>
  </si>
  <si>
    <t>AT_SMARTPHONE</t>
  </si>
  <si>
    <t>META_SMARTPHONE</t>
  </si>
  <si>
    <t>F_M_SMARTPHONE</t>
  </si>
  <si>
    <t>AT_ACESSORIOS_A</t>
  </si>
  <si>
    <t>AT_ACESSORIOS_B</t>
  </si>
  <si>
    <t>META_ACESSORIO</t>
  </si>
  <si>
    <t>F_M_ACESSORIOS</t>
  </si>
  <si>
    <t>AT_ESSENCIAIS_A</t>
  </si>
  <si>
    <t>AT_ESSENCIAIS_B</t>
  </si>
  <si>
    <t>META_ESSENCIAIS</t>
  </si>
  <si>
    <t>F_M_ESSENCIAIS</t>
  </si>
  <si>
    <t>AT_SEGUROS</t>
  </si>
  <si>
    <t>META_SEGUROS</t>
  </si>
  <si>
    <t>F_M_SEGUROS</t>
  </si>
  <si>
    <t>AT_SVA</t>
  </si>
  <si>
    <t>META_SVA</t>
  </si>
  <si>
    <t>F_M_SVA</t>
  </si>
  <si>
    <t>EVELYN MAVYE SILVEIRA</t>
  </si>
  <si>
    <t>GABRIEL PINHEIRO BORGES</t>
  </si>
  <si>
    <t>MILENA SILVA MARTINS</t>
  </si>
  <si>
    <t>ANA CAROLINA XAVIER GONÇALVES</t>
  </si>
  <si>
    <t>ALISSON PAULO SILVA</t>
  </si>
  <si>
    <t>GIAN BATISTA BRANCO</t>
  </si>
  <si>
    <t>SHIRLEY SILVA MOREIRA</t>
  </si>
  <si>
    <t>JANERSON VICTOR GONÇALVES AZEVEDO</t>
  </si>
  <si>
    <t>ALICE COSTALONGA COLLI</t>
  </si>
  <si>
    <t>TAHINA PAHINS COELHO</t>
  </si>
  <si>
    <t xml:space="preserve">GUSTAVO SANTOS MONTE MOR </t>
  </si>
  <si>
    <t>BARBARA BORGES OLIVEIRA</t>
  </si>
  <si>
    <t>SAFYRA GOMES QUINTILIANO</t>
  </si>
  <si>
    <t>RODRIGO ARAUJO BRAU</t>
  </si>
  <si>
    <t>VIVIANI SILVA CIMA</t>
  </si>
  <si>
    <t>BIANCA SALES SILVA</t>
  </si>
  <si>
    <t>GYSELLA MOURA COSTA</t>
  </si>
  <si>
    <t>KLEYDSON NASCIMENTO DE JESUS</t>
  </si>
  <si>
    <t>MARYHANY DA SILVA LIMA</t>
  </si>
  <si>
    <t>MATHEUS DE OLIVEIRA ROBERTO</t>
  </si>
  <si>
    <t>CARLOS LUCAS FREIRE SANTANA PEREIRA</t>
  </si>
  <si>
    <t>THABATA ALVES DA SILVA SANTOS</t>
  </si>
  <si>
    <t>LUIZ FELIPE DO NASCIMENTO RIBEIRO</t>
  </si>
  <si>
    <t>VITORIA CRISTINA GOMES DA SILVA</t>
  </si>
  <si>
    <t>HEMILLY NUNES FERREIRA</t>
  </si>
  <si>
    <t>MARYA HEDUARDA SARTORE ALVES</t>
  </si>
  <si>
    <t>WILIVIM FELICIO ANTÔNIO DAMASCENO</t>
  </si>
  <si>
    <t>JOHANN RAMOS SCHEIDEGGER</t>
  </si>
  <si>
    <t>MARIA FERNANDA XAVIER GONÇALVES</t>
  </si>
  <si>
    <t>MATHEUS FERREIRA DE CASTRO</t>
  </si>
  <si>
    <t>JEANE DE OLIVEIRA SILVA</t>
  </si>
  <si>
    <t>HEMILLY LAVYNNE RODRIGUES GAMA</t>
  </si>
  <si>
    <t>FELIPE GOMES RICIERI</t>
  </si>
  <si>
    <t>WESLEY FILIPE MICAEL DA SILVA</t>
  </si>
  <si>
    <t>STEFANY GOMES MASCARENHAS</t>
  </si>
  <si>
    <t>ZION LOUREIRO SIMOES</t>
  </si>
  <si>
    <t>ARTHUR BARBOSA SCHMIDT DE OLIVEIRA</t>
  </si>
  <si>
    <t>REBECA RODRIGUES FIGUEIREDO DA SILVA</t>
  </si>
  <si>
    <t>ÁLIFFER PEREIRA SARMENTO</t>
  </si>
  <si>
    <t>KALINCA EMANUELY LOPES ALVES</t>
  </si>
  <si>
    <t>AGATHA TEIXEIRA TARABAL</t>
  </si>
  <si>
    <t>LAVINIA MONTEIRO ALMEIDA</t>
  </si>
  <si>
    <t>EDUARDO FERREIRA PEREIRA</t>
  </si>
  <si>
    <t>LUCAS DO SANTOS SILVA</t>
  </si>
  <si>
    <t>NICOLAS TEIXEIRA PIMENTEL</t>
  </si>
  <si>
    <t>MATEUS DA SILVA CARLOS DE MELLO</t>
  </si>
  <si>
    <t>MAURICIO ALVES DOS SANTOS</t>
  </si>
  <si>
    <t>BRENDA FAGUNDES DE SOUZA</t>
  </si>
  <si>
    <t>IORANA CERQUEIRA DOS SANTOS</t>
  </si>
  <si>
    <t>WEVERSON CARVALHO</t>
  </si>
  <si>
    <t>FABIANO RODRIGUES CLAUDIANO</t>
  </si>
  <si>
    <t>GABRIEL RODRIGUES DE AZEVEDO</t>
  </si>
  <si>
    <t>FELIPE MARTINS DA SILVA</t>
  </si>
  <si>
    <t>GUILHERME PRADO TEIXEIRA</t>
  </si>
  <si>
    <t>OTAVIO CUNHA RODRIGUES</t>
  </si>
  <si>
    <t>SYMONTON BENÍCIO LANA</t>
  </si>
  <si>
    <t>RYAN MARQUES ALVES SILVA</t>
  </si>
  <si>
    <t>MARCIO BATISTA DE SOUZA</t>
  </si>
  <si>
    <t>ADELINE BISPO SOUZA</t>
  </si>
  <si>
    <t>JOÃO PEDRO MACHADO ZACARIAS</t>
  </si>
  <si>
    <t>LIDIA DE OLIVEIRA GONÇALVES ATAIDE</t>
  </si>
  <si>
    <t>RAQUEL ROSA RODRIGUES</t>
  </si>
  <si>
    <t>ANA LUÍSA GOMES SANTANA</t>
  </si>
  <si>
    <t>DANIEL ROSA NUNES</t>
  </si>
  <si>
    <t>HUDSON MARIANI</t>
  </si>
  <si>
    <t>LILIAN ARCANJO PESSOA</t>
  </si>
  <si>
    <t>LIVYA KUHN DE OLIVEIRA</t>
  </si>
  <si>
    <t>MARIA VITÓRIA DE LUCENA SOUSA</t>
  </si>
  <si>
    <t>PAMELA ADÃO DIAS</t>
  </si>
  <si>
    <t>RAFAEL BISPO DE SOUZA</t>
  </si>
  <si>
    <t>ERICLES FRANCA RIBEIRO DE SOUZA</t>
  </si>
  <si>
    <t>FILIPI ANTONIO TEIXEIRA</t>
  </si>
  <si>
    <t>RAFAEL ARCHANJO CADORINI</t>
  </si>
  <si>
    <t>SÂMELLA ELYZA BARBOZA LAGASSE</t>
  </si>
  <si>
    <t>LOHAINA EMANUELLY PIOTZ</t>
  </si>
  <si>
    <t>ELIENARIA AMARO DIAS</t>
  </si>
  <si>
    <t>BRUNA NEGRIS MARTINS</t>
  </si>
  <si>
    <t>GUSTAVO RODRIGUES PAULINO</t>
  </si>
  <si>
    <t>LAÍZA MATEUS ROCHA</t>
  </si>
  <si>
    <t>NOEMI BATISTA DOS SANTOS</t>
  </si>
  <si>
    <t>PAULO JOSE DIAS GOMES</t>
  </si>
  <si>
    <t>RYAN ALVES FERNANDES</t>
  </si>
  <si>
    <t>DJALMA XAVIER SILVA NETO</t>
  </si>
  <si>
    <t>RAYTNER CHRISTIAN SOARES SANTANA</t>
  </si>
  <si>
    <t>NICOLE MARTA PEREIRA BRAGA</t>
  </si>
  <si>
    <t>ANNA CLARA DIAS MEDEIROS BATISTA</t>
  </si>
  <si>
    <t>GABRIELA DE BARCELLOS DOMINGUES</t>
  </si>
  <si>
    <t>ROSANA GOMES DE SOUZA GONCALVES</t>
  </si>
  <si>
    <t>NICOLAS LIMA DA SILVA AZEREDO</t>
  </si>
  <si>
    <t>EMANUELE GOMES COSTA</t>
  </si>
  <si>
    <t>VITÓRIA ROMERO SILVA DE SOUZA</t>
  </si>
  <si>
    <t>LAIS BERNARDINO GONÇALVES</t>
  </si>
  <si>
    <t>MICHELLE DA FONTE GARCIA</t>
  </si>
  <si>
    <t>NATALIA  ALVES RICARDO VICENTE</t>
  </si>
  <si>
    <t>GEISIMARY MARTINS GOMES PENNA</t>
  </si>
  <si>
    <t>EDNA ALMEIDA VILA NOVA</t>
  </si>
  <si>
    <t>JUNIOR PAUTZ DE SOUZA</t>
  </si>
  <si>
    <t>LORENA LOUIZE RAMOS</t>
  </si>
  <si>
    <t>MYRELLA DA CRUZ SIQUEIRA</t>
  </si>
  <si>
    <t>ARTHUR GONÇALVES MILED MONTEIRO</t>
  </si>
  <si>
    <t>CAMILE NUNES MARQUES DE OLIVEIRA</t>
  </si>
  <si>
    <t>JENNIFFER BURMANN CORREIA</t>
  </si>
  <si>
    <t>LAVINIA FERREIRA MONTARROYOS PEREIRA</t>
  </si>
  <si>
    <t>WELLINGTON BOTELHO MOTA</t>
  </si>
  <si>
    <t>PEDRO HENRIK TAVARES CORREIA</t>
  </si>
  <si>
    <t>CARLOS EDUARDO DOS REIS SILVA</t>
  </si>
  <si>
    <t>PROJ_MOVEL</t>
  </si>
  <si>
    <t>PROJ_FIXA</t>
  </si>
  <si>
    <t>PROJ_BL</t>
  </si>
  <si>
    <t>PROJ_APARELHO</t>
  </si>
  <si>
    <t>PROJ_ESSENCIAIS</t>
  </si>
  <si>
    <t>PROJ_ACESSORIOS</t>
  </si>
  <si>
    <t>PROJ_SEGURO</t>
  </si>
  <si>
    <t>PROJ_SVA</t>
  </si>
  <si>
    <t>PROJ_PÓS</t>
  </si>
  <si>
    <t>PROJ_CONTROLE</t>
  </si>
  <si>
    <t>PROJ_MOVEL_B2B</t>
  </si>
  <si>
    <t>PROJ_FIXA_B2B</t>
  </si>
  <si>
    <t>PROJ_ELETRO_A</t>
  </si>
  <si>
    <t>PROJ_ELETRO_B</t>
  </si>
  <si>
    <t>PROJ_ESSEN_A</t>
  </si>
  <si>
    <t>PROJ_ESSEN_B</t>
  </si>
  <si>
    <t>PROJ_BL%</t>
  </si>
  <si>
    <t>COORDENAÇÃO</t>
  </si>
  <si>
    <t>LUIZ</t>
  </si>
  <si>
    <t>SELECIONE A LOJA</t>
  </si>
  <si>
    <t>CENTRO VV</t>
  </si>
  <si>
    <t>JACARAIPE</t>
  </si>
  <si>
    <t>BOM JESUS</t>
  </si>
  <si>
    <t>ST PADUA</t>
  </si>
  <si>
    <t>SIMULADOR CONSULTOR</t>
  </si>
  <si>
    <t>HUNTER</t>
  </si>
  <si>
    <t>MOVEL</t>
  </si>
  <si>
    <t>SMARTPHONE</t>
  </si>
  <si>
    <t>ESSESCIAIS</t>
  </si>
  <si>
    <t>SEGUROS</t>
  </si>
  <si>
    <t>PROJEÇÃO</t>
  </si>
  <si>
    <t>PILAR</t>
  </si>
  <si>
    <t>REAL CN</t>
  </si>
  <si>
    <t>% - COMISSÃO</t>
  </si>
  <si>
    <t>% - PREMIAÇÃO ALTO DESEMP. INDIV.</t>
  </si>
  <si>
    <t>R$ - COMISSÃO</t>
  </si>
  <si>
    <t>R$ - PREMIAÇÃO ALTO DESEMP. INDIV.</t>
  </si>
  <si>
    <t>R$ - COMISSÃO + PREMIAÇÃO INDIV.</t>
  </si>
  <si>
    <t>REAL PDV</t>
  </si>
  <si>
    <t>% - PREMIAÇÃO ALTO DESEMPENHO PDV</t>
  </si>
  <si>
    <t>R$ - PREMIAÇÃO ALTO DESEMPENHO PDV</t>
  </si>
  <si>
    <t>R$ - COMISSÃO + PREMIAÇÕES</t>
  </si>
  <si>
    <t>HUNTER 2</t>
  </si>
  <si>
    <t>HUNTER 3</t>
  </si>
  <si>
    <t>6/7 PPILARES</t>
  </si>
  <si>
    <t>GANHO TOTAL</t>
  </si>
  <si>
    <t>META</t>
  </si>
  <si>
    <t>ATINGIMENTO</t>
  </si>
  <si>
    <t>SMARTPHONES</t>
  </si>
  <si>
    <t>ELETRONICOS - A</t>
  </si>
  <si>
    <t>ELETRONICOS - B</t>
  </si>
  <si>
    <t>ESSENCIAIS - A</t>
  </si>
  <si>
    <t>ESSENCIAIS - B</t>
  </si>
  <si>
    <t>REALIZADO</t>
  </si>
  <si>
    <t>SIMULADOR</t>
  </si>
  <si>
    <t>ANA CAROLINA SILVA GONÇALVES LINO</t>
  </si>
  <si>
    <t>REBECA LARISSA NOVAES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</si>
</sst>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%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51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90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/>
      </top>
      <bottom/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50">
    <xf numFmtId="0" fontId="0" fillId="0" borderId="0" xfId="0"/>
    <xf numFmtId="0" fontId="4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8" xfId="0" applyFill="1" applyBorder="1"/>
    <xf numFmtId="10" fontId="0" fillId="0" borderId="10" xfId="2" applyNumberFormat="1" applyFont="1" applyFill="1" applyBorder="1" applyAlignment="1">
      <alignment horizontal="center"/>
    </xf>
    <xf numFmtId="44" fontId="0" fillId="0" borderId="10" xfId="0" applyNumberFormat="1" applyBorder="1"/>
    <xf numFmtId="44" fontId="0" fillId="0" borderId="11" xfId="0" applyNumberFormat="1" applyBorder="1"/>
    <xf numFmtId="44" fontId="0" fillId="0" borderId="3" xfId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44" fontId="0" fillId="0" borderId="12" xfId="0" applyNumberFormat="1" applyBorder="1"/>
    <xf numFmtId="44" fontId="0" fillId="0" borderId="13" xfId="1" applyFont="1" applyFill="1" applyBorder="1" applyAlignment="1">
      <alignment horizontal="center"/>
    </xf>
    <xf numFmtId="10" fontId="0" fillId="0" borderId="14" xfId="2" applyNumberFormat="1" applyFont="1" applyFill="1" applyBorder="1" applyAlignment="1">
      <alignment horizontal="center"/>
    </xf>
    <xf numFmtId="44" fontId="0" fillId="0" borderId="14" xfId="0" applyNumberFormat="1" applyBorder="1"/>
    <xf numFmtId="44" fontId="0" fillId="0" borderId="15" xfId="0" applyNumberFormat="1" applyBorder="1"/>
    <xf numFmtId="44" fontId="0" fillId="0" borderId="5" xfId="1" applyFont="1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44" fontId="0" fillId="0" borderId="17" xfId="1" applyFont="1" applyBorder="1" applyAlignment="1">
      <alignment horizontal="center" vertical="center"/>
    </xf>
    <xf numFmtId="10" fontId="4" fillId="2" borderId="17" xfId="2" applyNumberFormat="1" applyFont="1" applyFill="1" applyBorder="1" applyAlignment="1">
      <alignment horizontal="center" vertical="center"/>
    </xf>
    <xf numFmtId="9" fontId="4" fillId="2" borderId="17" xfId="2" applyFont="1" applyFill="1" applyBorder="1" applyAlignment="1">
      <alignment horizontal="center" vertical="center"/>
    </xf>
    <xf numFmtId="0" fontId="0" fillId="0" borderId="18" xfId="0" applyBorder="1"/>
    <xf numFmtId="164" fontId="0" fillId="0" borderId="17" xfId="2" applyNumberFormat="1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9" fontId="2" fillId="2" borderId="17" xfId="2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0" fontId="0" fillId="0" borderId="35" xfId="2" applyNumberFormat="1" applyFont="1" applyBorder="1" applyAlignment="1">
      <alignment horizontal="center" vertical="center"/>
    </xf>
    <xf numFmtId="9" fontId="0" fillId="0" borderId="35" xfId="2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17" xfId="2" applyNumberFormat="1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5" fontId="0" fillId="0" borderId="17" xfId="2" applyNumberFormat="1" applyFont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65" fontId="0" fillId="0" borderId="35" xfId="2" applyNumberFormat="1" applyFont="1" applyBorder="1" applyAlignment="1">
      <alignment horizontal="center" vertical="center"/>
    </xf>
    <xf numFmtId="9" fontId="0" fillId="0" borderId="41" xfId="2" applyFont="1" applyBorder="1" applyAlignment="1">
      <alignment horizontal="center" vertical="center"/>
    </xf>
    <xf numFmtId="9" fontId="0" fillId="0" borderId="43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/>
    <xf numFmtId="0" fontId="3" fillId="0" borderId="49" xfId="0" applyFont="1" applyBorder="1" applyAlignment="1">
      <alignment vertical="center"/>
    </xf>
    <xf numFmtId="0" fontId="3" fillId="0" borderId="50" xfId="0" applyFont="1" applyBorder="1"/>
    <xf numFmtId="10" fontId="0" fillId="0" borderId="53" xfId="2" applyNumberFormat="1" applyFont="1" applyFill="1" applyBorder="1" applyAlignment="1">
      <alignment horizontal="center"/>
    </xf>
    <xf numFmtId="10" fontId="0" fillId="0" borderId="54" xfId="2" applyNumberFormat="1" applyFont="1" applyFill="1" applyBorder="1" applyAlignment="1">
      <alignment horizontal="center"/>
    </xf>
    <xf numFmtId="10" fontId="0" fillId="0" borderId="57" xfId="2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44" fontId="0" fillId="9" borderId="51" xfId="1" applyFont="1" applyFill="1" applyBorder="1"/>
    <xf numFmtId="44" fontId="0" fillId="9" borderId="52" xfId="1" applyFont="1" applyFill="1" applyBorder="1"/>
    <xf numFmtId="44" fontId="0" fillId="9" borderId="47" xfId="1" applyFont="1" applyFill="1" applyBorder="1"/>
    <xf numFmtId="44" fontId="0" fillId="9" borderId="0" xfId="1" applyFont="1" applyFill="1" applyBorder="1"/>
    <xf numFmtId="44" fontId="0" fillId="9" borderId="55" xfId="1" applyFont="1" applyFill="1" applyBorder="1"/>
    <xf numFmtId="44" fontId="0" fillId="9" borderId="56" xfId="1" applyFont="1" applyFill="1" applyBorder="1"/>
    <xf numFmtId="0" fontId="0" fillId="0" borderId="56" xfId="0" applyBorder="1"/>
    <xf numFmtId="0" fontId="0" fillId="0" borderId="47" xfId="0" applyBorder="1"/>
    <xf numFmtId="0" fontId="0" fillId="0" borderId="54" xfId="0" applyBorder="1"/>
    <xf numFmtId="0" fontId="2" fillId="2" borderId="59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2" borderId="62" xfId="0" applyFill="1" applyBorder="1"/>
    <xf numFmtId="44" fontId="0" fillId="0" borderId="0" xfId="0" applyNumberFormat="1"/>
    <xf numFmtId="0" fontId="4" fillId="2" borderId="55" xfId="0" applyFont="1" applyFill="1" applyBorder="1"/>
    <xf numFmtId="0" fontId="4" fillId="2" borderId="56" xfId="0" applyFont="1" applyFill="1" applyBorder="1"/>
    <xf numFmtId="0" fontId="4" fillId="2" borderId="67" xfId="0" applyFont="1" applyFill="1" applyBorder="1"/>
    <xf numFmtId="0" fontId="4" fillId="2" borderId="68" xfId="0" applyFont="1" applyFill="1" applyBorder="1"/>
    <xf numFmtId="44" fontId="2" fillId="2" borderId="56" xfId="0" applyNumberFormat="1" applyFont="1" applyFill="1" applyBorder="1"/>
    <xf numFmtId="44" fontId="4" fillId="2" borderId="56" xfId="1" applyFont="1" applyFill="1" applyBorder="1"/>
    <xf numFmtId="0" fontId="2" fillId="2" borderId="57" xfId="0" applyFont="1" applyFill="1" applyBorder="1"/>
    <xf numFmtId="44" fontId="0" fillId="0" borderId="0" xfId="1" applyFont="1"/>
    <xf numFmtId="0" fontId="2" fillId="2" borderId="48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4" fontId="0" fillId="9" borderId="69" xfId="1" applyFont="1" applyFill="1" applyBorder="1"/>
    <xf numFmtId="44" fontId="0" fillId="9" borderId="70" xfId="1" applyFont="1" applyFill="1" applyBorder="1"/>
    <xf numFmtId="44" fontId="0" fillId="9" borderId="53" xfId="1" applyFont="1" applyFill="1" applyBorder="1"/>
    <xf numFmtId="44" fontId="0" fillId="9" borderId="57" xfId="1" applyFont="1" applyFill="1" applyBorder="1"/>
    <xf numFmtId="0" fontId="0" fillId="0" borderId="47" xfId="0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44" fontId="0" fillId="9" borderId="71" xfId="1" applyFont="1" applyFill="1" applyBorder="1"/>
    <xf numFmtId="10" fontId="0" fillId="0" borderId="72" xfId="2" applyNumberFormat="1" applyFont="1" applyFill="1" applyBorder="1" applyAlignment="1">
      <alignment horizontal="center"/>
    </xf>
    <xf numFmtId="10" fontId="0" fillId="0" borderId="73" xfId="2" applyNumberFormat="1" applyFont="1" applyFill="1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4" fontId="0" fillId="9" borderId="87" xfId="1" applyFont="1" applyFill="1" applyBorder="1"/>
    <xf numFmtId="44" fontId="0" fillId="9" borderId="89" xfId="1" applyFont="1" applyFill="1" applyBorder="1"/>
    <xf numFmtId="44" fontId="0" fillId="0" borderId="0" xfId="1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44" fontId="0" fillId="13" borderId="69" xfId="1" applyFont="1" applyFill="1" applyBorder="1"/>
    <xf numFmtId="44" fontId="0" fillId="13" borderId="70" xfId="1" applyFont="1" applyFill="1" applyBorder="1"/>
    <xf numFmtId="44" fontId="0" fillId="13" borderId="51" xfId="1" applyFont="1" applyFill="1" applyBorder="1"/>
    <xf numFmtId="44" fontId="0" fillId="13" borderId="53" xfId="1" applyFont="1" applyFill="1" applyBorder="1"/>
    <xf numFmtId="44" fontId="0" fillId="13" borderId="87" xfId="1" applyFont="1" applyFill="1" applyBorder="1"/>
    <xf numFmtId="44" fontId="0" fillId="13" borderId="89" xfId="1" applyFont="1" applyFill="1" applyBorder="1"/>
    <xf numFmtId="44" fontId="0" fillId="13" borderId="55" xfId="1" applyFont="1" applyFill="1" applyBorder="1"/>
    <xf numFmtId="44" fontId="0" fillId="13" borderId="57" xfId="1" applyFont="1" applyFill="1" applyBorder="1"/>
    <xf numFmtId="0" fontId="4" fillId="12" borderId="68" xfId="0" applyFont="1" applyFill="1" applyBorder="1"/>
    <xf numFmtId="0" fontId="4" fillId="12" borderId="56" xfId="0" applyFont="1" applyFill="1" applyBorder="1"/>
    <xf numFmtId="44" fontId="2" fillId="12" borderId="56" xfId="0" applyNumberFormat="1" applyFont="1" applyFill="1" applyBorder="1"/>
    <xf numFmtId="44" fontId="4" fillId="12" borderId="56" xfId="1" applyFont="1" applyFill="1" applyBorder="1"/>
    <xf numFmtId="0" fontId="2" fillId="12" borderId="57" xfId="0" applyFont="1" applyFill="1" applyBorder="1"/>
    <xf numFmtId="0" fontId="11" fillId="0" borderId="11" xfId="0" applyFont="1" applyBorder="1" applyAlignment="1">
      <alignment horizontal="center"/>
    </xf>
    <xf numFmtId="0" fontId="4" fillId="3" borderId="47" xfId="0" applyFont="1" applyFill="1" applyBorder="1"/>
    <xf numFmtId="0" fontId="4" fillId="3" borderId="0" xfId="0" applyFont="1" applyFill="1"/>
    <xf numFmtId="44" fontId="2" fillId="3" borderId="0" xfId="0" applyNumberFormat="1" applyFont="1" applyFill="1"/>
    <xf numFmtId="44" fontId="4" fillId="3" borderId="0" xfId="1" applyFont="1" applyFill="1" applyBorder="1"/>
    <xf numFmtId="0" fontId="2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44" fontId="0" fillId="9" borderId="47" xfId="1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44" fontId="0" fillId="9" borderId="47" xfId="1" applyFont="1" applyFill="1" applyBorder="1" applyAlignment="1">
      <alignment horizontal="center" vertical="center"/>
    </xf>
    <xf numFmtId="10" fontId="0" fillId="0" borderId="54" xfId="2" applyNumberFormat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44" fontId="2" fillId="4" borderId="65" xfId="0" applyNumberFormat="1" applyFont="1" applyFill="1" applyBorder="1" applyAlignment="1">
      <alignment horizontal="center" vertical="center"/>
    </xf>
    <xf numFmtId="44" fontId="2" fillId="4" borderId="54" xfId="0" applyNumberFormat="1" applyFont="1" applyFill="1" applyBorder="1" applyAlignment="1">
      <alignment horizontal="center" vertical="center"/>
    </xf>
    <xf numFmtId="44" fontId="2" fillId="4" borderId="66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9" fillId="10" borderId="61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44" fontId="0" fillId="9" borderId="51" xfId="1" applyFont="1" applyFill="1" applyBorder="1" applyAlignment="1">
      <alignment horizontal="center" vertical="center"/>
    </xf>
    <xf numFmtId="44" fontId="0" fillId="9" borderId="55" xfId="1" applyFont="1" applyFill="1" applyBorder="1" applyAlignment="1">
      <alignment horizontal="center" vertical="center"/>
    </xf>
    <xf numFmtId="10" fontId="0" fillId="0" borderId="49" xfId="2" applyNumberFormat="1" applyFont="1" applyFill="1" applyBorder="1" applyAlignment="1">
      <alignment horizontal="center" vertical="center"/>
    </xf>
    <xf numFmtId="44" fontId="0" fillId="9" borderId="86" xfId="1" applyFont="1" applyFill="1" applyBorder="1" applyAlignment="1">
      <alignment horizontal="center" vertical="center"/>
    </xf>
    <xf numFmtId="44" fontId="0" fillId="9" borderId="88" xfId="1" applyFont="1" applyFill="1" applyBorder="1" applyAlignment="1">
      <alignment horizontal="center" vertical="center"/>
    </xf>
    <xf numFmtId="44" fontId="2" fillId="4" borderId="81" xfId="0" applyNumberFormat="1" applyFont="1" applyFill="1" applyBorder="1" applyAlignment="1">
      <alignment horizontal="center" vertical="center"/>
    </xf>
    <xf numFmtId="44" fontId="2" fillId="4" borderId="82" xfId="0" applyNumberFormat="1" applyFont="1" applyFill="1" applyBorder="1" applyAlignment="1">
      <alignment horizontal="center" vertical="center"/>
    </xf>
    <xf numFmtId="44" fontId="2" fillId="4" borderId="8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9" fillId="11" borderId="74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81" xfId="0" applyFont="1" applyFill="1" applyBorder="1" applyAlignment="1">
      <alignment horizontal="center" vertical="center" wrapText="1"/>
    </xf>
    <xf numFmtId="0" fontId="5" fillId="3" borderId="84" xfId="0" applyFont="1" applyFill="1" applyBorder="1" applyAlignment="1">
      <alignment horizontal="center" vertical="center" wrapText="1"/>
    </xf>
    <xf numFmtId="0" fontId="5" fillId="0" borderId="79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9" fillId="2" borderId="7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7" borderId="17" xfId="0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9" fontId="0" fillId="0" borderId="29" xfId="2" applyFont="1" applyBorder="1" applyAlignment="1">
      <alignment horizontal="center" vertical="center"/>
    </xf>
    <xf numFmtId="9" fontId="0" fillId="0" borderId="39" xfId="2" applyFont="1" applyBorder="1" applyAlignment="1">
      <alignment horizontal="center" vertical="center"/>
    </xf>
    <xf numFmtId="9" fontId="0" fillId="0" borderId="25" xfId="2" applyFont="1" applyBorder="1" applyAlignment="1">
      <alignment horizontal="center" vertical="center"/>
    </xf>
    <xf numFmtId="9" fontId="0" fillId="0" borderId="37" xfId="2" applyFon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9" fontId="0" fillId="0" borderId="32" xfId="2" applyFont="1" applyBorder="1" applyAlignment="1">
      <alignment horizontal="center" vertical="center"/>
    </xf>
    <xf numFmtId="10" fontId="0" fillId="0" borderId="38" xfId="2" applyNumberFormat="1" applyFont="1" applyBorder="1" applyAlignment="1">
      <alignment horizontal="center" vertical="center"/>
    </xf>
    <xf numFmtId="10" fontId="0" fillId="0" borderId="36" xfId="2" applyNumberFormat="1" applyFont="1" applyBorder="1" applyAlignment="1">
      <alignment horizontal="center" vertical="center"/>
    </xf>
    <xf numFmtId="10" fontId="0" fillId="0" borderId="31" xfId="2" applyNumberFormat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65" fontId="0" fillId="0" borderId="24" xfId="2" applyNumberFormat="1" applyFont="1" applyBorder="1" applyAlignment="1">
      <alignment horizontal="center" vertical="center"/>
    </xf>
    <xf numFmtId="165" fontId="0" fillId="0" borderId="30" xfId="2" applyNumberFormat="1" applyFont="1" applyBorder="1" applyAlignment="1">
      <alignment horizontal="center" vertical="center"/>
    </xf>
    <xf numFmtId="165" fontId="0" fillId="0" borderId="23" xfId="2" applyNumberFormat="1" applyFont="1" applyBorder="1" applyAlignment="1">
      <alignment horizontal="center" vertical="center"/>
    </xf>
    <xf numFmtId="9" fontId="0" fillId="0" borderId="24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9" fontId="0" fillId="0" borderId="30" xfId="2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4" fontId="0" fillId="13" borderId="86" xfId="1" applyFont="1" applyFill="1" applyBorder="1" applyAlignment="1">
      <alignment horizontal="center" vertical="center"/>
    </xf>
    <xf numFmtId="44" fontId="0" fillId="13" borderId="88" xfId="1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2" fillId="12" borderId="77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2" borderId="78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81" xfId="0" applyFont="1" applyFill="1" applyBorder="1" applyAlignment="1">
      <alignment horizontal="center" vertical="center" wrapText="1"/>
    </xf>
    <xf numFmtId="0" fontId="11" fillId="3" borderId="84" xfId="0" applyFont="1" applyFill="1" applyBorder="1" applyAlignment="1">
      <alignment horizontal="center" vertical="center" wrapText="1"/>
    </xf>
    <xf numFmtId="0" fontId="2" fillId="12" borderId="44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11" fillId="0" borderId="79" xfId="0" applyFont="1" applyBorder="1" applyAlignment="1">
      <alignment horizontal="center"/>
    </xf>
    <xf numFmtId="0" fontId="11" fillId="0" borderId="80" xfId="0" applyFont="1" applyBorder="1" applyAlignment="1">
      <alignment horizontal="center"/>
    </xf>
    <xf numFmtId="0" fontId="0" fillId="0" borderId="0" xfId="0" applyNumberFormat="1"/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80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592183</xdr:colOff>
      <xdr:row>4</xdr:row>
      <xdr:rowOff>16598</xdr:rowOff>
    </xdr:to>
    <xdr:pic>
      <xdr:nvPicPr>
        <xdr:cNvPr id="4" name="Gráfico 3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F3027-07C9-68EE-85B8-5C00875F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213286" y="206826"/>
          <a:ext cx="544286" cy="54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432899-D294-4FC7-A58C-5BCA6505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2C7A8-A4F5-4213-AB48-5083C700F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D92FB1-14B8-406E-B41B-53077C13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0298B2-BB03-40BE-B75B-552AEEC6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3D48E2-3333-4639-B7BF-1FB4A3DC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849C59-A11E-459C-A29D-3F28D536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592183</xdr:colOff>
      <xdr:row>4</xdr:row>
      <xdr:rowOff>16598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9055F-7ECF-4F9E-AE55-E6E1FE071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FC0A6-91F4-46EE-99BB-74A9C135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592183</xdr:colOff>
      <xdr:row>4</xdr:row>
      <xdr:rowOff>16598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7877C-4238-41FD-B903-C299ECED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580753</xdr:colOff>
      <xdr:row>4</xdr:row>
      <xdr:rowOff>16598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B043F-5CF0-4EA8-BCBC-2FDC0A476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60ACAA-3686-4490-82ED-E0478F54F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582658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22D299-FB80-4556-A7E3-1A5261F5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86BDB-74E3-4DE0-B24B-3C52BA5E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6C1DC0-068E-423F-AFA3-6AA25EDE2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476F60-ED19-4723-A105-4424812AF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592183</xdr:colOff>
      <xdr:row>4</xdr:row>
      <xdr:rowOff>16598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A5955-7616-40F8-A95B-DFE9331E4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D4190B-A947-4FD7-A748-7A418FEC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515F8-40B9-40DD-98C0-0A1AB68F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FFE97-DA49-4321-9BE9-79DCB0C0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D440A-BBF3-45D5-A77A-2A97D9E10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anilo/Documentos/Painel%20Diario/CALCULOS.xlsx" TargetMode="External"/><Relationship Id="rId2" Type="http://schemas.openxmlformats.org/officeDocument/2006/relationships/externalLinkPath" Target="https://d.docs.live.net/G:/Meu%20Drive/Danilo/Documentos/Painel%20Diario/CALCULOS.xlsx" TargetMode="External"/><Relationship Id="rId1" Type="http://schemas.openxmlformats.org/officeDocument/2006/relationships/externalLinkPath" Target="/Meu%20Drive/Danilo/Documentos/Painel%20Diario/CALCUL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LIZADO"/>
      <sheetName val="PROJEÇÃO "/>
      <sheetName val="D-1"/>
      <sheetName val="ATÉ A DATA"/>
      <sheetName val="ATTACH"/>
      <sheetName val="ATTACH CN"/>
      <sheetName val="ATTACH REDE"/>
      <sheetName val="REALIZADO_PDV"/>
      <sheetName val="MxM SERVIÇOS"/>
      <sheetName val="Volume"/>
      <sheetName val="Produtividade - CN"/>
      <sheetName val="Produtividade - Loja"/>
      <sheetName val="Produtividade - Rede"/>
      <sheetName val="Conversão - CN"/>
      <sheetName val="Conversão - Loja"/>
      <sheetName val="Planilha1"/>
      <sheetName val="Conversão Smartphone - CN"/>
      <sheetName val="Zerados D-1"/>
      <sheetName val="SETUP SERVIÇOS"/>
      <sheetName val="MxM SERVIÇOS - ARIEL"/>
      <sheetName val="MxM SERVIÇOS - IGOR"/>
    </sheetNames>
    <sheetDataSet>
      <sheetData sheetId="0">
        <row r="1">
          <cell r="A1" t="str">
            <v>CONSULTOR</v>
          </cell>
          <cell r="B1" t="str">
            <v>PDV</v>
          </cell>
        </row>
        <row r="2">
          <cell r="A2" t="str">
            <v>EVELYN MAVYE SILVEIRA</v>
          </cell>
          <cell r="B2" t="str">
            <v>ANCHIETA</v>
          </cell>
        </row>
        <row r="3">
          <cell r="A3" t="str">
            <v>GABRIEL PINHEIRO BORGES</v>
          </cell>
          <cell r="B3" t="str">
            <v>ANCHIETA</v>
          </cell>
        </row>
        <row r="4">
          <cell r="A4" t="str">
            <v>MILENA SILVA MARTINS</v>
          </cell>
          <cell r="B4" t="str">
            <v>ANCHIETA</v>
          </cell>
        </row>
        <row r="5">
          <cell r="A5" t="str">
            <v>ALISSON PAULO SILVA</v>
          </cell>
          <cell r="B5" t="str">
            <v>BOM JESUS DO ITABAPOANA</v>
          </cell>
        </row>
        <row r="6">
          <cell r="A6" t="str">
            <v>GIAN BATISTA BRANCO</v>
          </cell>
          <cell r="B6" t="str">
            <v>BOM JESUS DO ITABAPOANA</v>
          </cell>
        </row>
        <row r="7">
          <cell r="A7" t="str">
            <v>SHIRLEY SILVA MOREIRA</v>
          </cell>
          <cell r="B7" t="str">
            <v>BOM JESUS DO ITABAPOANA</v>
          </cell>
        </row>
        <row r="8">
          <cell r="A8" t="str">
            <v>ALICE COSTALONGA COLLI</v>
          </cell>
          <cell r="B8" t="str">
            <v>CENTRO VILA VELHA</v>
          </cell>
        </row>
        <row r="9">
          <cell r="A9" t="str">
            <v>TAHINA PAHINS COELHO</v>
          </cell>
          <cell r="B9" t="str">
            <v>CENTRO VILA VELHA</v>
          </cell>
        </row>
        <row r="10">
          <cell r="A10" t="str">
            <v>BARBARA BORGES OLIVEIRA</v>
          </cell>
          <cell r="B10" t="str">
            <v>CENTRO VIX</v>
          </cell>
        </row>
        <row r="11">
          <cell r="A11" t="str">
            <v>SAFYRA GOMES QUINTILIANO</v>
          </cell>
          <cell r="B11" t="str">
            <v>CENTRO VIX</v>
          </cell>
        </row>
        <row r="12">
          <cell r="A12" t="str">
            <v>RODRIGO ARAUJO BRAU</v>
          </cell>
          <cell r="B12" t="str">
            <v>CENTRO VIX</v>
          </cell>
        </row>
        <row r="13">
          <cell r="A13" t="str">
            <v>BIANCA SALES SILVA</v>
          </cell>
          <cell r="B13" t="str">
            <v>GLÓRIA</v>
          </cell>
        </row>
        <row r="14">
          <cell r="A14" t="str">
            <v>GYSELLA MOURA COSTA</v>
          </cell>
          <cell r="B14" t="str">
            <v>GLÓRIA</v>
          </cell>
        </row>
        <row r="15">
          <cell r="A15" t="str">
            <v>KLEYDSON NASCIMENTO DE JESUS</v>
          </cell>
          <cell r="B15" t="str">
            <v>GLÓRIA</v>
          </cell>
        </row>
        <row r="16">
          <cell r="A16" t="str">
            <v>MARYHANY DA SILVA LIMA</v>
          </cell>
          <cell r="B16" t="str">
            <v>GLÓRIA</v>
          </cell>
        </row>
        <row r="17">
          <cell r="A17" t="str">
            <v>CARLOS LUCAS FREIRE SANTANA PEREIRA</v>
          </cell>
          <cell r="B17" t="str">
            <v>GLÓRIA</v>
          </cell>
        </row>
        <row r="18">
          <cell r="A18" t="str">
            <v>THABATA ALVES DA SILVA SANTOS</v>
          </cell>
          <cell r="B18" t="str">
            <v>GLÓRIA</v>
          </cell>
        </row>
        <row r="19">
          <cell r="A19" t="str">
            <v>HEMILLY NUNES FERREIRA</v>
          </cell>
          <cell r="B19" t="str">
            <v>ICONHA</v>
          </cell>
        </row>
        <row r="20">
          <cell r="A20" t="str">
            <v>MARYA HEDUARDA SARTORE ALVES</v>
          </cell>
          <cell r="B20" t="str">
            <v>ICONHA</v>
          </cell>
        </row>
        <row r="21">
          <cell r="A21" t="str">
            <v>JOHANN RAMOS SCHEIDEGGER</v>
          </cell>
          <cell r="B21" t="str">
            <v>ITACIBA</v>
          </cell>
        </row>
        <row r="22">
          <cell r="A22" t="str">
            <v>MARIA FERNANDA XAVIER GONÇALVES</v>
          </cell>
          <cell r="B22" t="str">
            <v>ITACIBA</v>
          </cell>
        </row>
        <row r="23">
          <cell r="A23" t="str">
            <v>MATHEUS FERREIRA DE CASTRO</v>
          </cell>
          <cell r="B23" t="str">
            <v>ITACIBA</v>
          </cell>
        </row>
        <row r="24">
          <cell r="A24" t="str">
            <v>HEMILLY LAVYNNE RODRIGUES GAMA</v>
          </cell>
          <cell r="B24" t="str">
            <v>JACARAÍPE</v>
          </cell>
        </row>
        <row r="25">
          <cell r="A25" t="str">
            <v>FELIPE GOMES RICIERI</v>
          </cell>
          <cell r="B25" t="str">
            <v>JACARAÍPE</v>
          </cell>
        </row>
        <row r="26">
          <cell r="A26" t="str">
            <v>WESLEY FILIPE MICAEL DA SILVA</v>
          </cell>
          <cell r="B26" t="str">
            <v>JACARAÍPE</v>
          </cell>
        </row>
        <row r="27">
          <cell r="A27" t="str">
            <v>STEFANY GOMES MASCARENHAS</v>
          </cell>
          <cell r="B27" t="str">
            <v>JACARAÍPE</v>
          </cell>
        </row>
        <row r="28">
          <cell r="A28" t="str">
            <v>ARTHUR BARBOSA SCHMIDT DE OLIVEIRA</v>
          </cell>
          <cell r="B28" t="str">
            <v>JARDIM CAMBURI</v>
          </cell>
        </row>
        <row r="29">
          <cell r="A29" t="str">
            <v>REBECA RODRIGUES FIGUEIREDO DA SILVA</v>
          </cell>
          <cell r="B29" t="str">
            <v>JARDIM CAMBURI</v>
          </cell>
        </row>
        <row r="30">
          <cell r="A30" t="str">
            <v>ÁLIFFER PEREIRA SARMENTO</v>
          </cell>
          <cell r="B30" t="str">
            <v>JARDIM CAMBURI</v>
          </cell>
        </row>
        <row r="31">
          <cell r="A31" t="str">
            <v>AGATHA TEIXEIRA TARABAL</v>
          </cell>
          <cell r="B31" t="str">
            <v>LARANJEIRAS</v>
          </cell>
        </row>
        <row r="32">
          <cell r="A32" t="str">
            <v>LAVINIA MONTEIRO ALMEIDA</v>
          </cell>
          <cell r="B32" t="str">
            <v>LARANJEIRAS</v>
          </cell>
        </row>
        <row r="33">
          <cell r="A33" t="str">
            <v>EDUARDO FERREIRA PEREIRA</v>
          </cell>
          <cell r="B33" t="str">
            <v>LARANJEIRAS</v>
          </cell>
        </row>
        <row r="34">
          <cell r="A34" t="str">
            <v>LUCAS DO SANTOS SILVA</v>
          </cell>
          <cell r="B34" t="str">
            <v>LARANJEIRAS</v>
          </cell>
        </row>
        <row r="35">
          <cell r="A35" t="str">
            <v>NICOLAS TEIXEIRA PIMENTEL</v>
          </cell>
          <cell r="B35" t="str">
            <v>LARANJEIRAS</v>
          </cell>
        </row>
        <row r="36">
          <cell r="A36" t="str">
            <v>BRENDA FAGUNDES DE SOUZA</v>
          </cell>
          <cell r="B36" t="str">
            <v>MARCILIO DE NORONHA</v>
          </cell>
        </row>
        <row r="37">
          <cell r="A37" t="str">
            <v>IORANA CERQUEIRA DOS SANTOS</v>
          </cell>
          <cell r="B37" t="str">
            <v>MARCILIO DE NORONHA</v>
          </cell>
        </row>
        <row r="38">
          <cell r="A38" t="str">
            <v>WEVERSON CARVALHO</v>
          </cell>
          <cell r="B38" t="str">
            <v>MARCILIO DE NORONHA</v>
          </cell>
        </row>
        <row r="39">
          <cell r="A39" t="str">
            <v>GABRIEL RODRIGUES DE AZEVEDO</v>
          </cell>
          <cell r="B39" t="str">
            <v>MASTERPLACE</v>
          </cell>
        </row>
        <row r="40">
          <cell r="A40" t="str">
            <v>FELIPE MARTINS DA SILVA</v>
          </cell>
          <cell r="B40" t="str">
            <v>MASTERPLACE</v>
          </cell>
        </row>
        <row r="41">
          <cell r="A41" t="str">
            <v>GUILHERME PRADO TEIXEIRA</v>
          </cell>
          <cell r="B41" t="str">
            <v>MASTERPLACE</v>
          </cell>
        </row>
        <row r="42">
          <cell r="A42" t="str">
            <v>OTAVIO CUNHA RODRIGUES</v>
          </cell>
          <cell r="B42" t="str">
            <v>MASTERPLACE</v>
          </cell>
        </row>
        <row r="43">
          <cell r="A43" t="str">
            <v>SYMONTON BENÍCIO LANA</v>
          </cell>
          <cell r="B43" t="str">
            <v>MASTERPLACE</v>
          </cell>
        </row>
        <row r="44">
          <cell r="A44" t="str">
            <v>RYAN MARQUES ALVES SILVA</v>
          </cell>
          <cell r="B44" t="str">
            <v>MASTERPLACE</v>
          </cell>
        </row>
        <row r="45">
          <cell r="A45" t="str">
            <v>JOÃO PEDRO MACHADO ZACARIAS</v>
          </cell>
          <cell r="B45" t="str">
            <v>MIRACEMA</v>
          </cell>
        </row>
        <row r="46">
          <cell r="A46" t="str">
            <v>LIDIA DE OLIVEIRA GONÇALVES ATAIDE</v>
          </cell>
          <cell r="B46" t="str">
            <v>MIRACEMA</v>
          </cell>
        </row>
        <row r="47">
          <cell r="A47" t="str">
            <v>ANA LUÍSA GOMES SANTANA</v>
          </cell>
          <cell r="B47" t="str">
            <v>MONTSERRAT</v>
          </cell>
        </row>
        <row r="48">
          <cell r="A48" t="str">
            <v>DANIEL ROSA NUNES</v>
          </cell>
          <cell r="B48" t="str">
            <v>MONTSERRAT</v>
          </cell>
        </row>
        <row r="49">
          <cell r="A49" t="str">
            <v>HUDSON MARIANI</v>
          </cell>
          <cell r="B49" t="str">
            <v>MONTSERRAT</v>
          </cell>
        </row>
        <row r="50">
          <cell r="A50" t="str">
            <v>LILIAN ARCANJO PESSOA</v>
          </cell>
          <cell r="B50" t="str">
            <v>MONTSERRAT</v>
          </cell>
        </row>
        <row r="51">
          <cell r="A51" t="str">
            <v>LIVYA KUHN DE OLIVEIRA</v>
          </cell>
          <cell r="B51" t="str">
            <v>MONTSERRAT</v>
          </cell>
        </row>
        <row r="52">
          <cell r="A52" t="str">
            <v>MARIA VITÓRIA DE LUCENA SOUSA</v>
          </cell>
          <cell r="B52" t="str">
            <v>MONTSERRAT</v>
          </cell>
        </row>
        <row r="53">
          <cell r="A53" t="str">
            <v>PAMELA ADÃO DIAS</v>
          </cell>
          <cell r="B53" t="str">
            <v>MONTSERRAT</v>
          </cell>
        </row>
        <row r="54">
          <cell r="A54" t="str">
            <v>RAFAEL BISPO DE SOUZA</v>
          </cell>
          <cell r="B54" t="str">
            <v>MONTSERRAT</v>
          </cell>
        </row>
        <row r="55">
          <cell r="A55" t="str">
            <v>RAFAEL ARCHANJO CADORINI</v>
          </cell>
          <cell r="B55" t="str">
            <v>NORTE SUL</v>
          </cell>
        </row>
        <row r="56">
          <cell r="A56" t="str">
            <v>SÂMELLA ELYZA BARBOZA LAGASSE</v>
          </cell>
          <cell r="B56" t="str">
            <v>NORTE SUL</v>
          </cell>
        </row>
        <row r="57">
          <cell r="A57" t="str">
            <v>LOHAINA EMANUELLY PIOTZ</v>
          </cell>
          <cell r="B57" t="str">
            <v>NORTE SUL</v>
          </cell>
        </row>
        <row r="58">
          <cell r="A58" t="str">
            <v>LAÍZA MATEUS ROCHA</v>
          </cell>
          <cell r="B58" t="str">
            <v>PIUMA</v>
          </cell>
        </row>
        <row r="59">
          <cell r="A59" t="str">
            <v>NOEMI BATISTA DOS SANTOS</v>
          </cell>
          <cell r="B59" t="str">
            <v>PIUMA</v>
          </cell>
        </row>
        <row r="60">
          <cell r="A60" t="str">
            <v>PAULO JOSE DIAS GOMES</v>
          </cell>
          <cell r="B60" t="str">
            <v>PIUMA</v>
          </cell>
        </row>
        <row r="61">
          <cell r="A61" t="str">
            <v>RYAN ALVES FERNANDES</v>
          </cell>
          <cell r="B61" t="str">
            <v>PIUMA</v>
          </cell>
        </row>
        <row r="62">
          <cell r="A62" t="str">
            <v>RAYTNER CHRISTIAN SOARES SANTANA</v>
          </cell>
          <cell r="B62" t="str">
            <v>PORTO CANOA</v>
          </cell>
        </row>
        <row r="63">
          <cell r="A63" t="str">
            <v>ANNA CLARA DIAS MEDEIROS BATISTA</v>
          </cell>
          <cell r="B63" t="str">
            <v>QUISSAMA</v>
          </cell>
        </row>
        <row r="64">
          <cell r="A64" t="str">
            <v>GABRIELA DE BARCELLOS DOMINGUES</v>
          </cell>
          <cell r="B64" t="str">
            <v>QUISSAMA</v>
          </cell>
        </row>
        <row r="65">
          <cell r="A65" t="str">
            <v>ROSANA GOMES DE SOUZA GONCALVES</v>
          </cell>
          <cell r="B65" t="str">
            <v>QUISSAMA</v>
          </cell>
        </row>
        <row r="66">
          <cell r="A66" t="str">
            <v>EMANUELE GOMES COSTA</v>
          </cell>
          <cell r="B66" t="str">
            <v>SANTO ANTONIO DE PADUA</v>
          </cell>
        </row>
        <row r="67">
          <cell r="A67" t="str">
            <v>VITÓRIA ROMERO SILVA DE SOUZA</v>
          </cell>
          <cell r="B67" t="str">
            <v>SANTO ANTONIO DE PADUA</v>
          </cell>
        </row>
        <row r="68">
          <cell r="A68" t="str">
            <v>MICHELLE DA FONTE GARCIA</v>
          </cell>
          <cell r="B68" t="str">
            <v>SAO FIDELIS</v>
          </cell>
        </row>
        <row r="69">
          <cell r="A69" t="str">
            <v>NATALIA  ALVES RICARDO VICENTE</v>
          </cell>
          <cell r="B69" t="str">
            <v>SAO FIDELIS</v>
          </cell>
        </row>
        <row r="70">
          <cell r="A70" t="str">
            <v>ARTHUR GONÇALVES MILED MONTEIRO</v>
          </cell>
          <cell r="B70" t="str">
            <v>SERRA SEDE</v>
          </cell>
        </row>
        <row r="71">
          <cell r="A71" t="str">
            <v>CAMILE NUNES MARQUES DE OLIVEIRA</v>
          </cell>
          <cell r="B71" t="str">
            <v>SERRA SEDE</v>
          </cell>
        </row>
        <row r="72">
          <cell r="A72" t="str">
            <v>JENNIFFER BURMANN CORREIA</v>
          </cell>
          <cell r="B72" t="str">
            <v>SERRA SEDE</v>
          </cell>
        </row>
        <row r="73">
          <cell r="A73" t="str">
            <v>LAVINIA FERREIRA MONTARROYOS PEREIRA</v>
          </cell>
          <cell r="B73" t="str">
            <v>SERRA SEDE</v>
          </cell>
        </row>
        <row r="74">
          <cell r="A74" t="str">
            <v>WELLINGTON BOTELHO MOTA</v>
          </cell>
          <cell r="B74" t="str">
            <v>SERRA SEDE</v>
          </cell>
        </row>
        <row r="75">
          <cell r="A75" t="str">
            <v>ANA CAROLINA XAVIER GONÇALVES</v>
          </cell>
          <cell r="B75" t="str">
            <v>ANCHIETA</v>
          </cell>
        </row>
        <row r="76">
          <cell r="A76" t="str">
            <v>WILIVIM FELICIO ANTÔNIO DAMASCENO</v>
          </cell>
          <cell r="B76" t="str">
            <v>ICONHA</v>
          </cell>
        </row>
        <row r="77">
          <cell r="A77" t="str">
            <v>ZION LOUREIRO SIMOES</v>
          </cell>
          <cell r="B77" t="str">
            <v>JACARAÍPE</v>
          </cell>
        </row>
        <row r="78">
          <cell r="A78" t="str">
            <v>RAQUEL ROSA RODRIGUES</v>
          </cell>
          <cell r="B78" t="str">
            <v>MIRACEMA</v>
          </cell>
        </row>
        <row r="79">
          <cell r="A79" t="str">
            <v>NICOLE MARTA PEREIRA BRAGA</v>
          </cell>
          <cell r="B79" t="str">
            <v>PORTO CANOA</v>
          </cell>
        </row>
        <row r="80">
          <cell r="A80" t="str">
            <v>PEDRO HENRIK TAVARES CORREIA</v>
          </cell>
          <cell r="B80" t="str">
            <v>SERRA SEDE</v>
          </cell>
        </row>
        <row r="81">
          <cell r="A81" t="str">
            <v>JANERSON VICTOR GONÇALVES AZEVEDO</v>
          </cell>
          <cell r="B81" t="str">
            <v>BOM JESUS DO ITABAPOANA</v>
          </cell>
        </row>
        <row r="82">
          <cell r="A82" t="str">
            <v xml:space="preserve">GUSTAVO SANTOS MONTE MOR </v>
          </cell>
          <cell r="B82" t="str">
            <v>CENTRO VILA VELHA</v>
          </cell>
        </row>
        <row r="83">
          <cell r="A83" t="str">
            <v>VIVIANI SILVA CIMA</v>
          </cell>
          <cell r="B83" t="str">
            <v>CENTRO VIX</v>
          </cell>
        </row>
        <row r="84">
          <cell r="A84" t="str">
            <v>JEANE DE OLIVEIRA SILVA</v>
          </cell>
          <cell r="B84" t="str">
            <v>ITACIBA</v>
          </cell>
        </row>
        <row r="85">
          <cell r="A85" t="str">
            <v>KALINCA EMANUELY LOPES ALVES</v>
          </cell>
          <cell r="B85" t="str">
            <v>JARDIM CAMBURI</v>
          </cell>
        </row>
        <row r="86">
          <cell r="A86" t="str">
            <v>MATEUS DA SILVA CARLOS DE MELLO</v>
          </cell>
          <cell r="B86" t="str">
            <v>LARANJEIRAS</v>
          </cell>
        </row>
        <row r="87">
          <cell r="A87" t="str">
            <v>FABIANO RODRIGUES CLAUDIANO</v>
          </cell>
          <cell r="B87" t="str">
            <v>MARCILIO DE NORONHA</v>
          </cell>
        </row>
        <row r="88">
          <cell r="A88" t="str">
            <v>MARCIO BATISTA DE SOUZA</v>
          </cell>
          <cell r="B88" t="str">
            <v>MASTERPLACE</v>
          </cell>
        </row>
        <row r="89">
          <cell r="A89" t="str">
            <v>ERICLES FRANCA RIBEIRO DE SOUZA</v>
          </cell>
          <cell r="B89" t="str">
            <v>MONTSERRAT</v>
          </cell>
        </row>
        <row r="90">
          <cell r="A90" t="str">
            <v>ELIENARIA AMARO DIAS</v>
          </cell>
          <cell r="B90" t="str">
            <v>NORTE SUL</v>
          </cell>
        </row>
        <row r="91">
          <cell r="A91" t="str">
            <v>DJALMA XAVIER SILVA NETO</v>
          </cell>
          <cell r="B91" t="str">
            <v>PIUMA</v>
          </cell>
        </row>
        <row r="92">
          <cell r="A92" t="str">
            <v>NICOLAS LIMA DA SILVA AZEREDO</v>
          </cell>
          <cell r="B92" t="str">
            <v>QUISSAMA</v>
          </cell>
        </row>
        <row r="93">
          <cell r="A93" t="str">
            <v>LAIS BERNARDINO GONÇALVES</v>
          </cell>
          <cell r="B93" t="str">
            <v>SANTO ANTONIO DE PADUA</v>
          </cell>
        </row>
        <row r="94">
          <cell r="A94" t="str">
            <v>GEISIMARY MARTINS GOMES PENNA</v>
          </cell>
          <cell r="B94" t="str">
            <v>SAO FIDELIS</v>
          </cell>
        </row>
        <row r="95">
          <cell r="A95" t="str">
            <v>EDNA ALMEIDA VILA NOVA</v>
          </cell>
          <cell r="B95" t="str">
            <v>SEDE ADMINISTRATIVA</v>
          </cell>
        </row>
        <row r="96">
          <cell r="A96" t="str">
            <v>JUNIOR PAUTZ DE SOUZA</v>
          </cell>
          <cell r="B96" t="str">
            <v>SEDE ADMINISTRATIVA</v>
          </cell>
        </row>
        <row r="97">
          <cell r="A97" t="str">
            <v>LORENA LOUIZE RAMOS</v>
          </cell>
          <cell r="B97" t="str">
            <v>SEDE ADMINISTRATIVA</v>
          </cell>
        </row>
        <row r="98">
          <cell r="A98" t="str">
            <v>MYRELLA DA CRUZ SIQUEIRA</v>
          </cell>
          <cell r="B98" t="str">
            <v>SEDE ADMINISTRATIVA</v>
          </cell>
        </row>
        <row r="99">
          <cell r="A99" t="str">
            <v>VITORIA CRISTINA GOMES DA SILVA</v>
          </cell>
          <cell r="B99" t="str">
            <v>GLÓRIA</v>
          </cell>
        </row>
        <row r="100">
          <cell r="A100" t="str">
            <v>MAURICIO ALVES DOS SANTOS</v>
          </cell>
          <cell r="B100" t="str">
            <v>LARANJEIRAS</v>
          </cell>
        </row>
        <row r="101">
          <cell r="A101" t="str">
            <v>ADELINE BISPO SOUZA</v>
          </cell>
          <cell r="B101" t="str">
            <v>MASTERPLACE</v>
          </cell>
        </row>
        <row r="102">
          <cell r="A102" t="str">
            <v>BRUNA NEGRIS MARTINS</v>
          </cell>
          <cell r="B102" t="str">
            <v>NORTE SUL</v>
          </cell>
        </row>
        <row r="103">
          <cell r="A103" t="str">
            <v>FILIPI ANTONIO TEIXEIRA</v>
          </cell>
          <cell r="B103" t="str">
            <v>MONTSERRAT</v>
          </cell>
        </row>
        <row r="104">
          <cell r="A104" t="str">
            <v>GUSTAVO RODRIGUES PAULINO</v>
          </cell>
          <cell r="B104" t="str">
            <v>NORTE SUL</v>
          </cell>
        </row>
        <row r="105">
          <cell r="A105" t="str">
            <v>CARLOS EDUARDO DOS REIS SILVA</v>
          </cell>
          <cell r="B105" t="str">
            <v>SERRA SEDE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0000000-0016-0000-0100-000000000000}" autoFormatId="16" applyNumberFormats="0" applyBorderFormats="0" applyFontFormats="0" applyPatternFormats="0" applyAlignmentFormats="0" applyWidthHeightFormats="0">
  <queryTableRefresh nextId="26">
    <queryTableFields count="25">
      <queryTableField id="1" name="CONSULTOR" tableColumnId="1"/>
      <queryTableField id="2" name="PDV" tableColumnId="2"/>
      <queryTableField id="3" name="AT_MOVEL" tableColumnId="3"/>
      <queryTableField id="4" name="META_MOVEL" tableColumnId="4"/>
      <queryTableField id="5" name="F_M_MOVEL" tableColumnId="5"/>
      <queryTableField id="6" name="AT_FIXA" tableColumnId="6"/>
      <queryTableField id="7" name="META_FIXA" tableColumnId="7"/>
      <queryTableField id="8" name="F_M_FIXA" tableColumnId="8"/>
      <queryTableField id="9" name="AT_SMARTPHONE" tableColumnId="9"/>
      <queryTableField id="10" name="META_SMARTPHONE" tableColumnId="10"/>
      <queryTableField id="11" name="F_M_SMARTPHONE" tableColumnId="11"/>
      <queryTableField id="12" name="AT_ACESSORIOS_A" tableColumnId="12"/>
      <queryTableField id="13" name="AT_ACESSORIOS_B" tableColumnId="13"/>
      <queryTableField id="14" name="META_ACESSORIO" tableColumnId="14"/>
      <queryTableField id="15" name="F_M_ACESSORIOS" tableColumnId="15"/>
      <queryTableField id="16" name="AT_ESSENCIAIS_A" tableColumnId="16"/>
      <queryTableField id="17" name="AT_ESSENCIAIS_B" tableColumnId="17"/>
      <queryTableField id="18" name="META_ESSENCIAIS" tableColumnId="18"/>
      <queryTableField id="19" name="F_M_ESSENCIAIS" tableColumnId="19"/>
      <queryTableField id="20" name="AT_SEGUROS" tableColumnId="20"/>
      <queryTableField id="21" name="META_SEGUROS" tableColumnId="21"/>
      <queryTableField id="22" name="F_M_SEGUROS" tableColumnId="22"/>
      <queryTableField id="23" name="AT_SVA" tableColumnId="23"/>
      <queryTableField id="24" name="META_SVA" tableColumnId="24"/>
      <queryTableField id="25" name="F_M_SVA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00000000-0016-0000-0200-000001000000}" autoFormatId="16" applyNumberFormats="0" applyBorderFormats="0" applyFontFormats="0" applyPatternFormats="0" applyAlignmentFormats="0" applyWidthHeightFormats="0">
  <queryTableRefresh nextId="23">
    <queryTableFields count="20">
      <queryTableField id="1" name="CONSULTOR" tableColumnId="1"/>
      <queryTableField id="2" name="PDV" tableColumnId="2"/>
      <queryTableField id="3" name="PROJ_MOVEL" tableColumnId="3"/>
      <queryTableField id="4" name="PROJ_FIXA" tableColumnId="4"/>
      <queryTableField id="19" name="PROJ_BL" tableColumnId="19"/>
      <queryTableField id="5" name="PROJ_APARELHO" tableColumnId="5"/>
      <queryTableField id="6" name="PROJ_ESSENCIAIS" tableColumnId="6"/>
      <queryTableField id="7" name="PROJ_ACESSORIOS" tableColumnId="7"/>
      <queryTableField id="8" name="PROJ_SEGURO" tableColumnId="8"/>
      <queryTableField id="9" name="PROJ_SVA" tableColumnId="9"/>
      <queryTableField id="10" name="PROJ_PÓS" tableColumnId="10"/>
      <queryTableField id="11" name="PROJ_CONTROLE" tableColumnId="11"/>
      <queryTableField id="12" name="PROJ_MOVEL_B2B" tableColumnId="12"/>
      <queryTableField id="13" name="PROJ_FIXA_B2B" tableColumnId="13"/>
      <queryTableField id="14" name="PROJ_ELETRO_A" tableColumnId="14"/>
      <queryTableField id="15" name="PROJ_ELETRO_B" tableColumnId="15"/>
      <queryTableField id="16" name="PROJ_ESSEN_A" tableColumnId="16"/>
      <queryTableField id="17" name="PROJ_ESSEN_B" tableColumnId="17"/>
      <queryTableField id="20" name="PROJ_BL%" tableColumnId="20"/>
      <queryTableField id="18" name="COORDENAÇÃ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4ABBF-7F53-414D-B1EC-D4141D9BD581}" name="REALIZADO" displayName="REALIZADO" ref="A1:Y107" tableType="queryTable" totalsRowShown="0">
  <autoFilter ref="A1:Y107" xr:uid="{6BD4ABBF-7F53-414D-B1EC-D4141D9BD581}"/>
  <sortState xmlns:xlrd2="http://schemas.microsoft.com/office/spreadsheetml/2017/richdata2" ref="A2:Y107">
    <sortCondition ref="B1:B107"/>
  </sortState>
  <tableColumns count="25">
    <tableColumn id="1" xr3:uid="{39F759CF-A053-4F96-8490-CB2D4EF4CA2D}" uniqueName="1" name="CONSULTOR" queryTableFieldId="1" dataDxfId="800"/>
    <tableColumn id="2" xr3:uid="{D250CAC3-2165-49D4-8CBB-549B8F8EC568}" uniqueName="2" name="PDV" queryTableFieldId="2" dataDxfId="799"/>
    <tableColumn id="3" xr3:uid="{A382E9B3-2732-46D6-A059-3BBC36F74E7B}" uniqueName="3" name="AT_MOVEL" queryTableFieldId="3" dataDxfId="798" dataCellStyle="Moeda"/>
    <tableColumn id="4" xr3:uid="{6D2D7826-727F-4DD4-A5D7-8C901FE6327D}" uniqueName="4" name="META_MOVEL" queryTableFieldId="4" dataDxfId="797" dataCellStyle="Moeda"/>
    <tableColumn id="5" xr3:uid="{E65434F3-7AB8-44EA-AD90-E2C9C99F90F7}" uniqueName="5" name="F_M_MOVEL" queryTableFieldId="5" dataDxfId="796" dataCellStyle="Moeda"/>
    <tableColumn id="6" xr3:uid="{C31550AA-09E9-45D0-B573-6E464D1A2B92}" uniqueName="6" name="AT_FIXA" queryTableFieldId="6" dataDxfId="795" dataCellStyle="Moeda"/>
    <tableColumn id="7" xr3:uid="{826D7BD9-37DD-4BDD-BC8A-CD1391443631}" uniqueName="7" name="META_FIXA" queryTableFieldId="7" dataDxfId="794" dataCellStyle="Moeda"/>
    <tableColumn id="8" xr3:uid="{B0F55D47-C016-4E4B-A9F9-130748F4532C}" uniqueName="8" name="F_M_FIXA" queryTableFieldId="8" dataDxfId="793" dataCellStyle="Moeda"/>
    <tableColumn id="9" xr3:uid="{6C038053-1606-4BF8-8210-CB1A93AC7043}" uniqueName="9" name="AT_SMARTPHONE" queryTableFieldId="9" dataDxfId="792" dataCellStyle="Moeda"/>
    <tableColumn id="10" xr3:uid="{8A7086A0-E320-455E-8ED9-63617BED8436}" uniqueName="10" name="META_SMARTPHONE" queryTableFieldId="10" dataDxfId="791" dataCellStyle="Moeda"/>
    <tableColumn id="11" xr3:uid="{71C73D99-36BD-44B2-9A6E-B208DB471F35}" uniqueName="11" name="F_M_SMARTPHONE" queryTableFieldId="11" dataDxfId="790" dataCellStyle="Moeda"/>
    <tableColumn id="12" xr3:uid="{17AF4858-1BF4-4BF7-B332-E308B6A67F02}" uniqueName="12" name="AT_ACESSORIOS_A" queryTableFieldId="12" dataDxfId="789" dataCellStyle="Moeda"/>
    <tableColumn id="13" xr3:uid="{C223C54F-20DD-4A7B-A9AF-9AE805CFEFDA}" uniqueName="13" name="AT_ACESSORIOS_B" queryTableFieldId="13" dataDxfId="788" dataCellStyle="Moeda"/>
    <tableColumn id="14" xr3:uid="{59CBFA80-3720-4EC6-80F5-73203F2D1D1D}" uniqueName="14" name="META_ACESSORIO" queryTableFieldId="14" dataDxfId="787" dataCellStyle="Moeda"/>
    <tableColumn id="15" xr3:uid="{7C05BF7A-5A88-4782-BB99-5096A2DE45DB}" uniqueName="15" name="F_M_ACESSORIOS" queryTableFieldId="15" dataDxfId="786" dataCellStyle="Moeda"/>
    <tableColumn id="16" xr3:uid="{37ECB146-44DB-4597-A2F9-5DD6758D45BA}" uniqueName="16" name="AT_ESSENCIAIS_A" queryTableFieldId="16" dataDxfId="785" dataCellStyle="Moeda"/>
    <tableColumn id="17" xr3:uid="{EC495A84-E4A1-4553-B738-1B12E3EDF555}" uniqueName="17" name="AT_ESSENCIAIS_B" queryTableFieldId="17" dataDxfId="784" dataCellStyle="Moeda"/>
    <tableColumn id="18" xr3:uid="{F877D4A7-7BA5-4718-95E8-E40828A89B44}" uniqueName="18" name="META_ESSENCIAIS" queryTableFieldId="18" dataDxfId="783" dataCellStyle="Moeda"/>
    <tableColumn id="19" xr3:uid="{81B2C8F5-3E3F-471D-AC6B-094D787D08D9}" uniqueName="19" name="F_M_ESSENCIAIS" queryTableFieldId="19" dataDxfId="782" dataCellStyle="Moeda"/>
    <tableColumn id="20" xr3:uid="{27CD4E58-BF5B-4035-957E-7879EA46D0DA}" uniqueName="20" name="AT_SEGUROS" queryTableFieldId="20" dataDxfId="781" dataCellStyle="Moeda"/>
    <tableColumn id="21" xr3:uid="{079ED405-E964-4D16-8EE0-97EF07F75EA7}" uniqueName="21" name="META_SEGUROS" queryTableFieldId="21" dataDxfId="780" dataCellStyle="Moeda"/>
    <tableColumn id="22" xr3:uid="{3C9EC634-2D13-47D6-9925-EA7E2840C300}" uniqueName="22" name="F_M_SEGUROS" queryTableFieldId="22" dataDxfId="779" dataCellStyle="Moeda"/>
    <tableColumn id="23" xr3:uid="{DE74C7D9-DEAC-42DC-B15F-63B01B4B532C}" uniqueName="23" name="AT_SVA" queryTableFieldId="23" dataDxfId="778" dataCellStyle="Moeda"/>
    <tableColumn id="24" xr3:uid="{E5C00768-45EE-4FAA-83CE-89680C550910}" uniqueName="24" name="META_SVA" queryTableFieldId="24" dataDxfId="777" dataCellStyle="Moeda"/>
    <tableColumn id="25" xr3:uid="{9A9BC4C3-8175-4037-B125-712E46B6937F}" uniqueName="25" name="F_M_SVA" queryTableFieldId="25" dataDxfId="776" dataCellStyle="Mo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44A207-841D-4206-930E-666A057D4372}" name="PROJEÇÃO" displayName="PROJEÇÃO" ref="A1:T107" tableType="queryTable" totalsRowShown="0">
  <autoFilter ref="A1:T107" xr:uid="{AA44A207-841D-4206-930E-666A057D4372}"/>
  <tableColumns count="20">
    <tableColumn id="1" xr3:uid="{C522F2A8-88DF-42EB-A380-D9CEE6F4E259}" uniqueName="1" name="CONSULTOR" queryTableFieldId="1" dataDxfId="19"/>
    <tableColumn id="2" xr3:uid="{66BA42C2-9B91-4EB7-B84A-DECD8D5A204B}" uniqueName="2" name="PDV" queryTableFieldId="2" dataDxfId="18"/>
    <tableColumn id="3" xr3:uid="{0B613A9E-BB70-4273-990D-67E73669D630}" uniqueName="3" name="PROJ_MOVEL" queryTableFieldId="3" dataDxfId="17" dataCellStyle="Moeda"/>
    <tableColumn id="4" xr3:uid="{851CFF84-163F-4677-9D2A-EFA37F6041FD}" uniqueName="4" name="PROJ_FIXA" queryTableFieldId="4" dataDxfId="16" dataCellStyle="Moeda"/>
    <tableColumn id="19" xr3:uid="{B4131BDB-E300-4599-BA0B-076C27ADDFA9}" uniqueName="19" name="PROJ_BL" queryTableFieldId="19" dataDxfId="15" dataCellStyle="Moeda"/>
    <tableColumn id="5" xr3:uid="{ABB9AD54-23BC-4FFB-9A30-039F73EB8D78}" uniqueName="5" name="PROJ_APARELHO" queryTableFieldId="5" dataDxfId="14" dataCellStyle="Moeda"/>
    <tableColumn id="6" xr3:uid="{502E4ED9-79B2-4D10-8720-C6E1133661FF}" uniqueName="6" name="PROJ_ESSENCIAIS" queryTableFieldId="6" dataDxfId="13" dataCellStyle="Moeda"/>
    <tableColumn id="7" xr3:uid="{A9978B73-72AF-4BF4-AD59-2EE3B2ED6CCB}" uniqueName="7" name="PROJ_ACESSORIOS" queryTableFieldId="7" dataDxfId="12" dataCellStyle="Moeda"/>
    <tableColumn id="8" xr3:uid="{6C153E27-7C5D-4B1E-B920-8C787E0B567B}" uniqueName="8" name="PROJ_SEGURO" queryTableFieldId="8" dataDxfId="11" dataCellStyle="Moeda"/>
    <tableColumn id="9" xr3:uid="{D41CFEBD-CE60-469F-9F4E-AF9B9FEAC32F}" uniqueName="9" name="PROJ_SVA" queryTableFieldId="9" dataDxfId="10" dataCellStyle="Moeda"/>
    <tableColumn id="10" xr3:uid="{FCCF5EB0-1349-484A-BA04-815846DB98E2}" uniqueName="10" name="PROJ_PÓS" queryTableFieldId="10" dataDxfId="9" dataCellStyle="Moeda"/>
    <tableColumn id="11" xr3:uid="{4C2E98F7-EF62-426F-A902-C5E646572688}" uniqueName="11" name="PROJ_CONTROLE" queryTableFieldId="11" dataDxfId="8" dataCellStyle="Moeda"/>
    <tableColumn id="12" xr3:uid="{B2010A46-57C8-419E-8681-B3BAC2DB0942}" uniqueName="12" name="PROJ_MOVEL_B2B" queryTableFieldId="12" dataDxfId="7" dataCellStyle="Moeda"/>
    <tableColumn id="13" xr3:uid="{5A7371B3-563C-42E1-B787-8CA6AF0E0145}" uniqueName="13" name="PROJ_FIXA_B2B" queryTableFieldId="13" dataDxfId="6" dataCellStyle="Moeda"/>
    <tableColumn id="14" xr3:uid="{BB5DBC38-DD2C-4756-AA44-EC62E2DF405B}" uniqueName="14" name="PROJ_ELETRO_A" queryTableFieldId="14" dataDxfId="5" dataCellStyle="Moeda"/>
    <tableColumn id="15" xr3:uid="{4C01E191-8DD1-4D3A-86F2-BFD43F73FF0C}" uniqueName="15" name="PROJ_ELETRO_B" queryTableFieldId="15" dataDxfId="4" dataCellStyle="Moeda"/>
    <tableColumn id="16" xr3:uid="{8D2F389C-9857-417B-B426-09B3444B12D7}" uniqueName="16" name="PROJ_ESSEN_A" queryTableFieldId="16" dataDxfId="3" dataCellStyle="Moeda"/>
    <tableColumn id="17" xr3:uid="{4C11712C-FF5C-43CD-AE8A-5CF17637AC83}" uniqueName="17" name="PROJ_ESSEN_B" queryTableFieldId="17" dataDxfId="2" dataCellStyle="Moeda"/>
    <tableColumn id="20" xr3:uid="{A5CE54B7-99FD-417A-AEC8-798B6775DBD3}" uniqueName="20" name="PROJ_BL%" queryTableFieldId="20" dataDxfId="1" dataCellStyle="Moeda"/>
    <tableColumn id="18" xr3:uid="{A4E6F682-1CCC-41B2-859C-D8DC78ED7B6E}" uniqueName="18" name="COORDENAÇÃO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43C0-8634-4801-B5F2-D48D7C77F656}">
  <sheetPr codeName="Planilha25"/>
  <dimension ref="A2:Q133"/>
  <sheetViews>
    <sheetView topLeftCell="A24" zoomScale="91" workbookViewId="0">
      <selection activeCell="E32" sqref="E32:E37"/>
    </sheetView>
  </sheetViews>
  <sheetFormatPr defaultRowHeight="14.4" x14ac:dyDescent="0.3"/>
  <cols>
    <col min="1" max="1" width="25.21875" bestFit="1" customWidth="1"/>
    <col min="2" max="2" width="11.21875" bestFit="1" customWidth="1"/>
    <col min="3" max="3" width="13.21875" bestFit="1" customWidth="1"/>
    <col min="7" max="7" width="15.77734375" customWidth="1"/>
    <col min="8" max="8" width="10.21875" bestFit="1" customWidth="1"/>
    <col min="10" max="10" width="11.21875" bestFit="1" customWidth="1"/>
    <col min="13" max="13" width="15.21875" customWidth="1"/>
    <col min="14" max="14" width="10.21875" bestFit="1" customWidth="1"/>
    <col min="16" max="16" width="11.21875" bestFit="1" customWidth="1"/>
  </cols>
  <sheetData>
    <row r="2" spans="1:17" x14ac:dyDescent="0.3">
      <c r="A2" s="186" t="s">
        <v>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</row>
    <row r="3" spans="1:17" x14ac:dyDescent="0.3">
      <c r="A3" s="205" t="s">
        <v>1</v>
      </c>
      <c r="B3" s="206"/>
      <c r="C3" s="206"/>
      <c r="D3" s="206"/>
      <c r="E3" s="207"/>
      <c r="G3" s="180" t="s">
        <v>2</v>
      </c>
      <c r="H3" s="181"/>
      <c r="I3" s="181"/>
      <c r="J3" s="181"/>
      <c r="K3" s="182"/>
      <c r="M3" s="180" t="s">
        <v>3</v>
      </c>
      <c r="N3" s="181"/>
      <c r="O3" s="181"/>
      <c r="P3" s="181"/>
      <c r="Q3" s="182"/>
    </row>
    <row r="4" spans="1:17" x14ac:dyDescent="0.3">
      <c r="A4" s="112"/>
      <c r="B4" s="34"/>
      <c r="C4" s="34"/>
      <c r="D4" s="33" t="s">
        <v>4</v>
      </c>
      <c r="E4" s="33" t="s">
        <v>5</v>
      </c>
      <c r="G4" s="212" t="s">
        <v>6</v>
      </c>
      <c r="H4" s="213"/>
      <c r="I4" s="32">
        <v>0</v>
      </c>
      <c r="J4" s="32">
        <v>0.79</v>
      </c>
      <c r="K4" s="40">
        <v>0.01</v>
      </c>
      <c r="M4" s="212" t="s">
        <v>6</v>
      </c>
      <c r="N4" s="213"/>
      <c r="O4" s="32">
        <v>0</v>
      </c>
      <c r="P4" s="32">
        <v>0.79</v>
      </c>
      <c r="Q4" s="43">
        <v>0.01</v>
      </c>
    </row>
    <row r="5" spans="1:17" x14ac:dyDescent="0.3">
      <c r="A5" s="112"/>
      <c r="B5" s="34"/>
      <c r="C5" s="34"/>
      <c r="D5" s="33" t="s">
        <v>7</v>
      </c>
      <c r="E5" s="33" t="s">
        <v>7</v>
      </c>
      <c r="G5" s="214"/>
      <c r="H5" s="215"/>
      <c r="I5" s="32">
        <v>0.8</v>
      </c>
      <c r="J5" s="32">
        <v>0.89</v>
      </c>
      <c r="K5" s="40">
        <v>0.05</v>
      </c>
      <c r="M5" s="214"/>
      <c r="N5" s="215"/>
      <c r="O5" s="32">
        <v>0.8</v>
      </c>
      <c r="P5" s="32">
        <v>0.89</v>
      </c>
      <c r="Q5" s="43">
        <v>0.03</v>
      </c>
    </row>
    <row r="6" spans="1:17" x14ac:dyDescent="0.3">
      <c r="A6" s="191" t="s">
        <v>6</v>
      </c>
      <c r="B6" s="23">
        <v>0</v>
      </c>
      <c r="C6" s="22">
        <v>0.79990000000000006</v>
      </c>
      <c r="D6" s="25">
        <v>5.0000000000000001E-3</v>
      </c>
      <c r="E6" s="25">
        <v>2E-3</v>
      </c>
      <c r="G6" s="216"/>
      <c r="H6" s="217"/>
      <c r="I6" s="32">
        <v>0.9</v>
      </c>
      <c r="J6" s="32">
        <v>1000</v>
      </c>
      <c r="K6" s="40">
        <v>0.08</v>
      </c>
      <c r="M6" s="216"/>
      <c r="N6" s="217"/>
      <c r="O6" s="32">
        <v>0.9</v>
      </c>
      <c r="P6" s="32">
        <v>1000</v>
      </c>
      <c r="Q6" s="43">
        <v>0.05</v>
      </c>
    </row>
    <row r="7" spans="1:17" x14ac:dyDescent="0.3">
      <c r="A7" s="191"/>
      <c r="B7" s="23">
        <v>0.8</v>
      </c>
      <c r="C7" s="22">
        <v>0.89990000000000003</v>
      </c>
      <c r="D7" s="25">
        <v>0.01</v>
      </c>
      <c r="E7" s="25">
        <v>4.0000000000000001E-3</v>
      </c>
      <c r="G7" s="209" t="s">
        <v>8</v>
      </c>
      <c r="H7" s="183" t="s">
        <v>9</v>
      </c>
      <c r="I7" s="32">
        <v>1</v>
      </c>
      <c r="J7" s="32">
        <v>1.49</v>
      </c>
      <c r="K7" s="40">
        <v>0.15</v>
      </c>
      <c r="M7" s="209" t="s">
        <v>8</v>
      </c>
      <c r="N7" s="183" t="s">
        <v>9</v>
      </c>
      <c r="O7" s="32">
        <v>1</v>
      </c>
      <c r="P7" s="32">
        <v>1.49</v>
      </c>
      <c r="Q7" s="43">
        <v>0.2</v>
      </c>
    </row>
    <row r="8" spans="1:17" x14ac:dyDescent="0.3">
      <c r="A8" s="191"/>
      <c r="B8" s="23">
        <v>0.9</v>
      </c>
      <c r="C8" s="23">
        <v>10000</v>
      </c>
      <c r="D8" s="25">
        <v>1.4999999999999999E-2</v>
      </c>
      <c r="E8" s="25">
        <v>0.01</v>
      </c>
      <c r="G8" s="210"/>
      <c r="H8" s="184"/>
      <c r="I8" s="32">
        <v>1.5</v>
      </c>
      <c r="J8" s="32">
        <v>1000</v>
      </c>
      <c r="K8" s="40">
        <v>0.2</v>
      </c>
      <c r="M8" s="210"/>
      <c r="N8" s="184"/>
      <c r="O8" s="32">
        <v>1.5</v>
      </c>
      <c r="P8" s="32">
        <v>1000</v>
      </c>
      <c r="Q8" s="43">
        <v>0.25</v>
      </c>
    </row>
    <row r="9" spans="1:17" ht="15" thickBot="1" x14ac:dyDescent="0.35">
      <c r="A9" s="208" t="s">
        <v>10</v>
      </c>
      <c r="B9" s="23">
        <v>1</v>
      </c>
      <c r="C9" s="23">
        <v>1.4999</v>
      </c>
      <c r="D9" s="25">
        <v>0.04</v>
      </c>
      <c r="E9" s="25">
        <v>1.4999999999999999E-2</v>
      </c>
      <c r="G9" s="211"/>
      <c r="H9" s="39" t="s">
        <v>11</v>
      </c>
      <c r="I9" s="32">
        <v>1</v>
      </c>
      <c r="J9" s="32">
        <v>1000</v>
      </c>
      <c r="K9" s="40">
        <v>0.1</v>
      </c>
      <c r="M9" s="211"/>
      <c r="N9" s="39" t="s">
        <v>11</v>
      </c>
      <c r="O9" s="32">
        <v>1</v>
      </c>
      <c r="P9" s="32">
        <v>1000</v>
      </c>
      <c r="Q9" s="43">
        <v>0.1</v>
      </c>
    </row>
    <row r="10" spans="1:17" x14ac:dyDescent="0.3">
      <c r="A10" s="208"/>
      <c r="B10" s="23">
        <v>1.5</v>
      </c>
      <c r="C10" s="23">
        <v>10</v>
      </c>
      <c r="D10" s="25">
        <v>0.05</v>
      </c>
      <c r="E10" s="25">
        <v>0.02</v>
      </c>
      <c r="Q10" s="26"/>
    </row>
    <row r="11" spans="1:17" x14ac:dyDescent="0.3">
      <c r="A11" s="112" t="s">
        <v>12</v>
      </c>
      <c r="B11" s="23">
        <v>1</v>
      </c>
      <c r="C11" s="23">
        <v>10</v>
      </c>
      <c r="D11" s="25">
        <v>1.4999999999999999E-2</v>
      </c>
      <c r="E11" s="25">
        <v>0.01</v>
      </c>
      <c r="G11" s="180" t="s">
        <v>13</v>
      </c>
      <c r="H11" s="181"/>
      <c r="I11" s="181"/>
      <c r="J11" s="181"/>
      <c r="K11" s="182"/>
      <c r="M11" s="180" t="s">
        <v>14</v>
      </c>
      <c r="N11" s="181"/>
      <c r="O11" s="181"/>
      <c r="P11" s="181"/>
      <c r="Q11" s="182"/>
    </row>
    <row r="12" spans="1:17" x14ac:dyDescent="0.3">
      <c r="A12" s="27"/>
      <c r="D12" s="35"/>
      <c r="E12" s="35"/>
      <c r="G12" s="212" t="s">
        <v>6</v>
      </c>
      <c r="H12" s="213"/>
      <c r="I12" s="32">
        <v>0</v>
      </c>
      <c r="J12" s="32">
        <v>0.79</v>
      </c>
      <c r="K12" s="40">
        <v>0.01</v>
      </c>
      <c r="M12" s="212" t="s">
        <v>6</v>
      </c>
      <c r="N12" s="213"/>
      <c r="O12" s="218" t="s">
        <v>15</v>
      </c>
      <c r="P12" s="219"/>
      <c r="Q12" s="227">
        <v>0.01</v>
      </c>
    </row>
    <row r="13" spans="1:17" x14ac:dyDescent="0.3">
      <c r="A13" s="205" t="s">
        <v>16</v>
      </c>
      <c r="B13" s="206"/>
      <c r="C13" s="206"/>
      <c r="D13" s="206"/>
      <c r="E13" s="207"/>
      <c r="G13" s="214"/>
      <c r="H13" s="215"/>
      <c r="I13" s="32">
        <v>0.8</v>
      </c>
      <c r="J13" s="32">
        <v>0.89</v>
      </c>
      <c r="K13" s="40">
        <v>0.05</v>
      </c>
      <c r="M13" s="214"/>
      <c r="N13" s="215"/>
      <c r="O13" s="220"/>
      <c r="P13" s="221"/>
      <c r="Q13" s="229"/>
    </row>
    <row r="14" spans="1:17" x14ac:dyDescent="0.3">
      <c r="A14" s="112"/>
      <c r="B14" s="34"/>
      <c r="C14" s="34"/>
      <c r="D14" s="33" t="s">
        <v>4</v>
      </c>
      <c r="E14" s="33" t="s">
        <v>5</v>
      </c>
      <c r="G14" s="216"/>
      <c r="H14" s="217"/>
      <c r="I14" s="32">
        <v>0.9</v>
      </c>
      <c r="J14" s="32">
        <v>1000</v>
      </c>
      <c r="K14" s="40">
        <v>0.08</v>
      </c>
      <c r="M14" s="216"/>
      <c r="N14" s="217"/>
      <c r="O14" s="222"/>
      <c r="P14" s="223"/>
      <c r="Q14" s="228"/>
    </row>
    <row r="15" spans="1:17" x14ac:dyDescent="0.3">
      <c r="A15" s="112"/>
      <c r="B15" s="34"/>
      <c r="C15" s="34"/>
      <c r="D15" s="33" t="s">
        <v>17</v>
      </c>
      <c r="E15" s="33" t="s">
        <v>18</v>
      </c>
      <c r="G15" s="209" t="s">
        <v>8</v>
      </c>
      <c r="H15" s="183" t="s">
        <v>9</v>
      </c>
      <c r="I15" s="32">
        <v>1</v>
      </c>
      <c r="J15" s="32">
        <v>1.49</v>
      </c>
      <c r="K15" s="40">
        <v>0.15</v>
      </c>
      <c r="M15" s="209" t="s">
        <v>8</v>
      </c>
      <c r="N15" s="183" t="s">
        <v>9</v>
      </c>
      <c r="O15" s="227">
        <v>1</v>
      </c>
      <c r="P15" s="227">
        <v>100000</v>
      </c>
      <c r="Q15" s="227">
        <v>0.01</v>
      </c>
    </row>
    <row r="16" spans="1:17" x14ac:dyDescent="0.3">
      <c r="A16" s="191" t="s">
        <v>6</v>
      </c>
      <c r="B16" s="23">
        <v>0</v>
      </c>
      <c r="C16" s="22">
        <v>0.79990000000000006</v>
      </c>
      <c r="D16" s="25">
        <v>1E-3</v>
      </c>
      <c r="E16" s="25">
        <v>5.0000000000000001E-4</v>
      </c>
      <c r="G16" s="210"/>
      <c r="H16" s="184"/>
      <c r="I16" s="32">
        <v>1.5</v>
      </c>
      <c r="J16" s="32">
        <v>1000</v>
      </c>
      <c r="K16" s="40">
        <v>0.2</v>
      </c>
      <c r="M16" s="210"/>
      <c r="N16" s="184"/>
      <c r="O16" s="228"/>
      <c r="P16" s="228"/>
      <c r="Q16" s="228"/>
    </row>
    <row r="17" spans="1:17" ht="15" thickBot="1" x14ac:dyDescent="0.35">
      <c r="A17" s="191"/>
      <c r="B17" s="23">
        <v>0.8</v>
      </c>
      <c r="C17" s="22">
        <v>0.89990000000000003</v>
      </c>
      <c r="D17" s="25">
        <v>2E-3</v>
      </c>
      <c r="E17" s="25">
        <v>1E-3</v>
      </c>
      <c r="G17" s="211"/>
      <c r="H17" s="39" t="s">
        <v>11</v>
      </c>
      <c r="I17" s="32">
        <v>1</v>
      </c>
      <c r="J17" s="32">
        <v>1000</v>
      </c>
      <c r="K17" s="40">
        <v>0.15</v>
      </c>
      <c r="M17" s="211"/>
      <c r="N17" s="39" t="s">
        <v>11</v>
      </c>
      <c r="O17" s="41">
        <v>1</v>
      </c>
      <c r="P17" s="42">
        <v>100000</v>
      </c>
      <c r="Q17" s="41">
        <v>0.01</v>
      </c>
    </row>
    <row r="18" spans="1:17" x14ac:dyDescent="0.3">
      <c r="A18" s="191"/>
      <c r="B18" s="23">
        <v>0.9</v>
      </c>
      <c r="C18" s="23">
        <v>10000</v>
      </c>
      <c r="D18" s="25">
        <v>3.0000000000000001E-3</v>
      </c>
      <c r="E18" s="25">
        <v>1.5E-3</v>
      </c>
      <c r="Q18" s="26"/>
    </row>
    <row r="19" spans="1:17" x14ac:dyDescent="0.3">
      <c r="A19" s="208" t="s">
        <v>10</v>
      </c>
      <c r="B19" s="23">
        <v>1</v>
      </c>
      <c r="C19" s="23">
        <v>1.4999</v>
      </c>
      <c r="D19" s="25">
        <v>1.2E-2</v>
      </c>
      <c r="E19" s="25">
        <v>6.0000000000000001E-3</v>
      </c>
      <c r="Q19" s="26"/>
    </row>
    <row r="20" spans="1:17" x14ac:dyDescent="0.3">
      <c r="A20" s="208"/>
      <c r="B20" s="23">
        <v>1.5</v>
      </c>
      <c r="C20" s="23">
        <v>10</v>
      </c>
      <c r="D20" s="25">
        <v>1.4E-2</v>
      </c>
      <c r="E20" s="25">
        <v>7.0000000000000001E-3</v>
      </c>
      <c r="Q20" s="26"/>
    </row>
    <row r="21" spans="1:17" x14ac:dyDescent="0.3">
      <c r="A21" s="112" t="s">
        <v>12</v>
      </c>
      <c r="B21" s="23">
        <v>1</v>
      </c>
      <c r="C21" s="23">
        <v>10</v>
      </c>
      <c r="D21" s="25">
        <v>5.0000000000000001E-3</v>
      </c>
      <c r="E21" s="25">
        <v>2.5000000000000001E-3</v>
      </c>
      <c r="Q21" s="26"/>
    </row>
    <row r="22" spans="1:17" x14ac:dyDescent="0.3">
      <c r="A22" s="27"/>
      <c r="Q22" s="26"/>
    </row>
    <row r="23" spans="1:17" x14ac:dyDescent="0.3">
      <c r="A23" s="180" t="s">
        <v>19</v>
      </c>
      <c r="B23" s="181"/>
      <c r="C23" s="181"/>
      <c r="D23" s="182"/>
      <c r="Q23" s="26"/>
    </row>
    <row r="24" spans="1:17" x14ac:dyDescent="0.3">
      <c r="A24" s="112"/>
      <c r="B24" s="30"/>
      <c r="C24" s="30"/>
      <c r="D24" s="29"/>
      <c r="Q24" s="26"/>
    </row>
    <row r="25" spans="1:17" x14ac:dyDescent="0.3">
      <c r="A25" s="191" t="s">
        <v>6</v>
      </c>
      <c r="B25" s="23">
        <v>0</v>
      </c>
      <c r="C25" s="22">
        <v>0.89990000000000003</v>
      </c>
      <c r="D25" s="36">
        <v>5.0000000000000001E-4</v>
      </c>
      <c r="Q25" s="26"/>
    </row>
    <row r="26" spans="1:17" x14ac:dyDescent="0.3">
      <c r="A26" s="191"/>
      <c r="B26" s="23">
        <v>0.9</v>
      </c>
      <c r="C26" s="23">
        <v>10000</v>
      </c>
      <c r="D26" s="36">
        <v>1.5E-3</v>
      </c>
      <c r="Q26" s="26"/>
    </row>
    <row r="27" spans="1:17" x14ac:dyDescent="0.3">
      <c r="A27" s="37" t="s">
        <v>10</v>
      </c>
      <c r="B27" s="23">
        <v>1</v>
      </c>
      <c r="C27" s="23">
        <v>10000</v>
      </c>
      <c r="D27" s="36">
        <v>2E-3</v>
      </c>
      <c r="Q27" s="26"/>
    </row>
    <row r="28" spans="1:17" x14ac:dyDescent="0.3">
      <c r="A28" s="112" t="s">
        <v>12</v>
      </c>
      <c r="B28" s="23">
        <v>1</v>
      </c>
      <c r="C28" s="23">
        <v>10</v>
      </c>
      <c r="D28" s="36">
        <v>2.5000000000000001E-3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8"/>
    </row>
    <row r="30" spans="1:17" x14ac:dyDescent="0.3">
      <c r="A30" s="186" t="s">
        <v>20</v>
      </c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8"/>
    </row>
    <row r="31" spans="1:17" x14ac:dyDescent="0.3">
      <c r="A31" s="205" t="s">
        <v>1</v>
      </c>
      <c r="B31" s="206"/>
      <c r="C31" s="206"/>
      <c r="D31" s="206"/>
      <c r="E31" s="207"/>
      <c r="G31" s="180" t="s">
        <v>2</v>
      </c>
      <c r="H31" s="181"/>
      <c r="I31" s="181"/>
      <c r="J31" s="181"/>
      <c r="K31" s="182"/>
      <c r="M31" s="180" t="s">
        <v>3</v>
      </c>
      <c r="N31" s="181"/>
      <c r="O31" s="181"/>
      <c r="P31" s="181"/>
      <c r="Q31" s="182"/>
    </row>
    <row r="32" spans="1:17" x14ac:dyDescent="0.3">
      <c r="A32" s="112"/>
      <c r="B32" s="34"/>
      <c r="C32" s="34"/>
      <c r="D32" s="33" t="s">
        <v>4</v>
      </c>
      <c r="E32" s="33" t="s">
        <v>5</v>
      </c>
      <c r="G32" s="212" t="s">
        <v>6</v>
      </c>
      <c r="H32" s="213"/>
      <c r="I32" s="32">
        <v>0</v>
      </c>
      <c r="J32" s="32">
        <v>0.79</v>
      </c>
      <c r="K32" s="40">
        <v>5.0000000000000001E-3</v>
      </c>
      <c r="M32" s="212" t="s">
        <v>6</v>
      </c>
      <c r="N32" s="213"/>
      <c r="O32" s="32">
        <v>0</v>
      </c>
      <c r="P32" s="32">
        <v>0.79</v>
      </c>
      <c r="Q32" s="38">
        <v>5.0000000000000001E-3</v>
      </c>
    </row>
    <row r="33" spans="1:17" x14ac:dyDescent="0.3">
      <c r="A33" s="112"/>
      <c r="B33" s="34"/>
      <c r="C33" s="34"/>
      <c r="D33" s="33" t="s">
        <v>7</v>
      </c>
      <c r="E33" s="33" t="s">
        <v>7</v>
      </c>
      <c r="G33" s="214"/>
      <c r="H33" s="215"/>
      <c r="I33" s="32">
        <v>0.8</v>
      </c>
      <c r="J33" s="32">
        <v>0.89</v>
      </c>
      <c r="K33" s="40">
        <v>0.02</v>
      </c>
      <c r="M33" s="214"/>
      <c r="N33" s="215"/>
      <c r="O33" s="32">
        <v>0.8</v>
      </c>
      <c r="P33" s="32">
        <v>0.89</v>
      </c>
      <c r="Q33" s="38">
        <v>0.02</v>
      </c>
    </row>
    <row r="34" spans="1:17" x14ac:dyDescent="0.3">
      <c r="A34" s="191" t="s">
        <v>6</v>
      </c>
      <c r="B34" s="23">
        <v>0</v>
      </c>
      <c r="C34" s="22">
        <v>0.79990000000000006</v>
      </c>
      <c r="D34" s="25">
        <v>5.0000000000000001E-4</v>
      </c>
      <c r="E34" s="25">
        <v>2.5000000000000001E-4</v>
      </c>
      <c r="G34" s="216"/>
      <c r="H34" s="217"/>
      <c r="I34" s="32">
        <v>0.9</v>
      </c>
      <c r="J34" s="32">
        <v>1000</v>
      </c>
      <c r="K34" s="40">
        <v>0.04</v>
      </c>
      <c r="M34" s="216"/>
      <c r="N34" s="217"/>
      <c r="O34" s="32">
        <v>0.9</v>
      </c>
      <c r="P34" s="32">
        <v>1000</v>
      </c>
      <c r="Q34" s="38">
        <v>0.04</v>
      </c>
    </row>
    <row r="35" spans="1:17" x14ac:dyDescent="0.3">
      <c r="A35" s="191"/>
      <c r="B35" s="23">
        <v>0.8</v>
      </c>
      <c r="C35" s="22">
        <v>0.89990000000000003</v>
      </c>
      <c r="D35" s="25">
        <v>1E-3</v>
      </c>
      <c r="E35" s="25">
        <v>5.0000000000000001E-4</v>
      </c>
      <c r="G35" s="209" t="s">
        <v>8</v>
      </c>
      <c r="H35" s="183" t="s">
        <v>9</v>
      </c>
      <c r="I35" s="32">
        <v>1</v>
      </c>
      <c r="J35" s="32">
        <v>1.49</v>
      </c>
      <c r="K35" s="40">
        <v>0.08</v>
      </c>
      <c r="M35" s="209" t="s">
        <v>8</v>
      </c>
      <c r="N35" s="183" t="s">
        <v>9</v>
      </c>
      <c r="O35" s="32">
        <v>1</v>
      </c>
      <c r="P35" s="32">
        <v>1.49</v>
      </c>
      <c r="Q35" s="38">
        <v>0.1</v>
      </c>
    </row>
    <row r="36" spans="1:17" x14ac:dyDescent="0.3">
      <c r="A36" s="191"/>
      <c r="B36" s="23">
        <v>0.9</v>
      </c>
      <c r="C36" s="23">
        <v>10000</v>
      </c>
      <c r="D36" s="25">
        <v>1.5E-3</v>
      </c>
      <c r="E36" s="25">
        <v>7.5000000000000002E-4</v>
      </c>
      <c r="G36" s="210"/>
      <c r="H36" s="184"/>
      <c r="I36" s="32">
        <v>1.5</v>
      </c>
      <c r="J36" s="32">
        <v>1000</v>
      </c>
      <c r="K36" s="40">
        <v>0.13</v>
      </c>
      <c r="M36" s="210"/>
      <c r="N36" s="184"/>
      <c r="O36" s="32">
        <v>1.5</v>
      </c>
      <c r="P36" s="32">
        <v>1000</v>
      </c>
      <c r="Q36" s="38">
        <v>0.15</v>
      </c>
    </row>
    <row r="37" spans="1:17" ht="15" thickBot="1" x14ac:dyDescent="0.35">
      <c r="A37" s="208" t="s">
        <v>10</v>
      </c>
      <c r="B37" s="23">
        <v>1</v>
      </c>
      <c r="C37" s="23">
        <v>1.4999</v>
      </c>
      <c r="D37" s="25">
        <v>6.0000000000000001E-3</v>
      </c>
      <c r="E37" s="25">
        <v>3.0000000000000001E-3</v>
      </c>
      <c r="G37" s="211"/>
      <c r="H37" s="39" t="s">
        <v>21</v>
      </c>
      <c r="I37" s="32">
        <v>1</v>
      </c>
      <c r="J37" s="32">
        <v>1000</v>
      </c>
      <c r="K37" s="40">
        <v>0.03</v>
      </c>
      <c r="M37" s="211"/>
      <c r="N37" s="39" t="s">
        <v>21</v>
      </c>
      <c r="O37" s="32">
        <v>1</v>
      </c>
      <c r="P37" s="32">
        <v>1000</v>
      </c>
      <c r="Q37" s="38">
        <v>0.03</v>
      </c>
    </row>
    <row r="38" spans="1:17" x14ac:dyDescent="0.3">
      <c r="A38" s="208"/>
      <c r="B38" s="23">
        <v>1.5</v>
      </c>
      <c r="C38" s="23">
        <v>10</v>
      </c>
      <c r="D38" s="25">
        <v>2.5000000000000001E-2</v>
      </c>
      <c r="E38" s="25">
        <v>0.01</v>
      </c>
      <c r="Q38" s="26"/>
    </row>
    <row r="39" spans="1:17" x14ac:dyDescent="0.3">
      <c r="A39" s="112" t="s">
        <v>22</v>
      </c>
      <c r="B39" s="23">
        <v>1</v>
      </c>
      <c r="C39" s="23">
        <v>10</v>
      </c>
      <c r="D39" s="25">
        <v>8.0000000000000002E-3</v>
      </c>
      <c r="E39" s="25">
        <v>4.0000000000000001E-3</v>
      </c>
      <c r="G39" s="180" t="s">
        <v>13</v>
      </c>
      <c r="H39" s="181"/>
      <c r="I39" s="181"/>
      <c r="J39" s="181"/>
      <c r="K39" s="182"/>
      <c r="M39" s="180" t="s">
        <v>14</v>
      </c>
      <c r="N39" s="181"/>
      <c r="O39" s="181"/>
      <c r="P39" s="181"/>
      <c r="Q39" s="182"/>
    </row>
    <row r="40" spans="1:17" x14ac:dyDescent="0.3">
      <c r="A40" s="27"/>
      <c r="D40" s="35"/>
      <c r="E40" s="35"/>
      <c r="G40" s="212" t="s">
        <v>6</v>
      </c>
      <c r="H40" s="213"/>
      <c r="I40" s="32">
        <v>0</v>
      </c>
      <c r="J40" s="32">
        <v>0.79</v>
      </c>
      <c r="K40" s="40">
        <v>5.0000000000000001E-3</v>
      </c>
      <c r="M40" s="212" t="s">
        <v>6</v>
      </c>
      <c r="N40" s="213"/>
      <c r="O40" s="218" t="s">
        <v>15</v>
      </c>
      <c r="P40" s="219"/>
      <c r="Q40" s="224">
        <v>5.0000000000000001E-3</v>
      </c>
    </row>
    <row r="41" spans="1:17" x14ac:dyDescent="0.3">
      <c r="A41" s="205" t="s">
        <v>16</v>
      </c>
      <c r="B41" s="206"/>
      <c r="C41" s="206"/>
      <c r="D41" s="206"/>
      <c r="E41" s="207"/>
      <c r="G41" s="214"/>
      <c r="H41" s="215"/>
      <c r="I41" s="32">
        <v>0.8</v>
      </c>
      <c r="J41" s="32">
        <v>0.89</v>
      </c>
      <c r="K41" s="40">
        <v>0.02</v>
      </c>
      <c r="M41" s="214"/>
      <c r="N41" s="215"/>
      <c r="O41" s="220"/>
      <c r="P41" s="221"/>
      <c r="Q41" s="225"/>
    </row>
    <row r="42" spans="1:17" x14ac:dyDescent="0.3">
      <c r="A42" s="112"/>
      <c r="B42" s="34"/>
      <c r="C42" s="34"/>
      <c r="D42" s="33" t="s">
        <v>4</v>
      </c>
      <c r="E42" s="33" t="s">
        <v>5</v>
      </c>
      <c r="G42" s="216"/>
      <c r="H42" s="217"/>
      <c r="I42" s="32">
        <v>0.9</v>
      </c>
      <c r="J42" s="32">
        <v>1000</v>
      </c>
      <c r="K42" s="40">
        <v>0.04</v>
      </c>
      <c r="M42" s="216"/>
      <c r="N42" s="217"/>
      <c r="O42" s="222"/>
      <c r="P42" s="223"/>
      <c r="Q42" s="226"/>
    </row>
    <row r="43" spans="1:17" x14ac:dyDescent="0.3">
      <c r="A43" s="112"/>
      <c r="B43" s="34"/>
      <c r="C43" s="34"/>
      <c r="D43" s="33" t="s">
        <v>17</v>
      </c>
      <c r="E43" s="33" t="s">
        <v>18</v>
      </c>
      <c r="G43" s="209" t="s">
        <v>8</v>
      </c>
      <c r="H43" s="183" t="s">
        <v>9</v>
      </c>
      <c r="I43" s="32">
        <v>1</v>
      </c>
      <c r="J43" s="32">
        <v>1.49</v>
      </c>
      <c r="K43" s="40">
        <v>0.1</v>
      </c>
      <c r="M43" s="209" t="s">
        <v>8</v>
      </c>
      <c r="N43" s="183" t="s">
        <v>9</v>
      </c>
      <c r="O43" s="227">
        <v>1</v>
      </c>
      <c r="P43" s="227">
        <v>100000</v>
      </c>
      <c r="Q43" s="224">
        <v>5.0000000000000001E-3</v>
      </c>
    </row>
    <row r="44" spans="1:17" x14ac:dyDescent="0.3">
      <c r="A44" s="191" t="s">
        <v>6</v>
      </c>
      <c r="B44" s="23">
        <v>0</v>
      </c>
      <c r="C44" s="22">
        <v>0.79990000000000006</v>
      </c>
      <c r="D44" s="25">
        <f t="shared" ref="D44:E49" si="0">D16/2</f>
        <v>5.0000000000000001E-4</v>
      </c>
      <c r="E44" s="25">
        <f t="shared" si="0"/>
        <v>2.5000000000000001E-4</v>
      </c>
      <c r="G44" s="210"/>
      <c r="H44" s="184"/>
      <c r="I44" s="32">
        <v>1.5</v>
      </c>
      <c r="J44" s="32">
        <v>1000</v>
      </c>
      <c r="K44" s="40">
        <v>0.15</v>
      </c>
      <c r="M44" s="210"/>
      <c r="N44" s="184"/>
      <c r="O44" s="228"/>
      <c r="P44" s="228"/>
      <c r="Q44" s="226"/>
    </row>
    <row r="45" spans="1:17" ht="15" thickBot="1" x14ac:dyDescent="0.35">
      <c r="A45" s="191"/>
      <c r="B45" s="23">
        <v>0.8</v>
      </c>
      <c r="C45" s="22">
        <v>0.89990000000000003</v>
      </c>
      <c r="D45" s="25">
        <f t="shared" si="0"/>
        <v>1E-3</v>
      </c>
      <c r="E45" s="25">
        <f t="shared" si="0"/>
        <v>5.0000000000000001E-4</v>
      </c>
      <c r="G45" s="211"/>
      <c r="H45" s="39" t="s">
        <v>21</v>
      </c>
      <c r="I45" s="32">
        <v>1</v>
      </c>
      <c r="J45" s="32">
        <v>1000</v>
      </c>
      <c r="K45" s="40">
        <v>0.03</v>
      </c>
      <c r="M45" s="211"/>
      <c r="N45" s="39" t="s">
        <v>21</v>
      </c>
      <c r="O45" s="32">
        <v>1</v>
      </c>
      <c r="P45" s="32">
        <v>1000</v>
      </c>
      <c r="Q45" s="38">
        <v>5.0000000000000001E-3</v>
      </c>
    </row>
    <row r="46" spans="1:17" x14ac:dyDescent="0.3">
      <c r="A46" s="191"/>
      <c r="B46" s="23">
        <v>0.9</v>
      </c>
      <c r="C46" s="23">
        <v>10000</v>
      </c>
      <c r="D46" s="25">
        <f t="shared" si="0"/>
        <v>1.5E-3</v>
      </c>
      <c r="E46" s="25">
        <f t="shared" si="0"/>
        <v>7.5000000000000002E-4</v>
      </c>
      <c r="Q46" s="26"/>
    </row>
    <row r="47" spans="1:17" x14ac:dyDescent="0.3">
      <c r="A47" s="208" t="s">
        <v>10</v>
      </c>
      <c r="B47" s="23">
        <v>1</v>
      </c>
      <c r="C47" s="23">
        <v>1.4999</v>
      </c>
      <c r="D47" s="25">
        <f t="shared" si="0"/>
        <v>6.0000000000000001E-3</v>
      </c>
      <c r="E47" s="25">
        <f t="shared" si="0"/>
        <v>3.0000000000000001E-3</v>
      </c>
      <c r="Q47" s="26"/>
    </row>
    <row r="48" spans="1:17" x14ac:dyDescent="0.3">
      <c r="A48" s="208"/>
      <c r="B48" s="23">
        <v>1.5</v>
      </c>
      <c r="C48" s="23">
        <v>10</v>
      </c>
      <c r="D48" s="25">
        <f t="shared" si="0"/>
        <v>7.0000000000000001E-3</v>
      </c>
      <c r="E48" s="25">
        <f t="shared" si="0"/>
        <v>3.5000000000000001E-3</v>
      </c>
      <c r="Q48" s="26"/>
    </row>
    <row r="49" spans="1:17" x14ac:dyDescent="0.3">
      <c r="A49" s="112" t="s">
        <v>22</v>
      </c>
      <c r="B49" s="23">
        <v>1</v>
      </c>
      <c r="C49" s="23">
        <v>10</v>
      </c>
      <c r="D49" s="25">
        <f t="shared" si="0"/>
        <v>2.5000000000000001E-3</v>
      </c>
      <c r="E49" s="25">
        <f t="shared" si="0"/>
        <v>1.25E-3</v>
      </c>
      <c r="Q49" s="26"/>
    </row>
    <row r="50" spans="1:17" x14ac:dyDescent="0.3">
      <c r="A50" s="27"/>
      <c r="Q50" s="26"/>
    </row>
    <row r="51" spans="1:17" x14ac:dyDescent="0.3">
      <c r="A51" s="180" t="s">
        <v>19</v>
      </c>
      <c r="B51" s="181"/>
      <c r="C51" s="181"/>
      <c r="D51" s="182"/>
      <c r="Q51" s="26"/>
    </row>
    <row r="52" spans="1:17" x14ac:dyDescent="0.3">
      <c r="A52" s="112"/>
      <c r="B52" s="30"/>
      <c r="C52" s="30"/>
      <c r="D52" s="29"/>
      <c r="Q52" s="26"/>
    </row>
    <row r="53" spans="1:17" x14ac:dyDescent="0.3">
      <c r="A53" s="191" t="s">
        <v>6</v>
      </c>
      <c r="B53" s="23">
        <v>0</v>
      </c>
      <c r="C53" s="22">
        <v>0.89990000000000003</v>
      </c>
      <c r="D53" s="36">
        <v>2.0000000000000001E-4</v>
      </c>
      <c r="Q53" s="26"/>
    </row>
    <row r="54" spans="1:17" x14ac:dyDescent="0.3">
      <c r="A54" s="191"/>
      <c r="B54" s="23">
        <v>0.9</v>
      </c>
      <c r="C54" s="23">
        <v>10000</v>
      </c>
      <c r="D54" s="36">
        <v>5.0000000000000001E-4</v>
      </c>
      <c r="Q54" s="26"/>
    </row>
    <row r="55" spans="1:17" x14ac:dyDescent="0.3">
      <c r="A55" s="37" t="s">
        <v>10</v>
      </c>
      <c r="B55" s="23">
        <v>1</v>
      </c>
      <c r="C55" s="23">
        <v>10000</v>
      </c>
      <c r="D55" s="36">
        <v>1E-3</v>
      </c>
      <c r="Q55" s="26"/>
    </row>
    <row r="56" spans="1:17" x14ac:dyDescent="0.3">
      <c r="A56" s="112" t="s">
        <v>12</v>
      </c>
      <c r="B56" s="23">
        <v>1</v>
      </c>
      <c r="C56" s="23">
        <v>10</v>
      </c>
      <c r="D56" s="36">
        <v>5.0000000000000001E-4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8"/>
    </row>
    <row r="59" spans="1:17" x14ac:dyDescent="0.3">
      <c r="A59" s="186" t="s">
        <v>23</v>
      </c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8"/>
    </row>
    <row r="60" spans="1:17" x14ac:dyDescent="0.3">
      <c r="A60" s="205" t="s">
        <v>1</v>
      </c>
      <c r="B60" s="206"/>
      <c r="C60" s="206"/>
      <c r="D60" s="206"/>
      <c r="E60" s="207"/>
      <c r="G60" s="180" t="s">
        <v>2</v>
      </c>
      <c r="H60" s="181"/>
      <c r="I60" s="181"/>
      <c r="J60" s="181"/>
      <c r="K60" s="182"/>
      <c r="M60" s="180" t="s">
        <v>3</v>
      </c>
      <c r="N60" s="181"/>
      <c r="O60" s="181"/>
      <c r="P60" s="181"/>
      <c r="Q60" s="182"/>
    </row>
    <row r="61" spans="1:17" x14ac:dyDescent="0.3">
      <c r="A61" s="112"/>
      <c r="B61" s="34"/>
      <c r="C61" s="34"/>
      <c r="D61" s="33" t="s">
        <v>4</v>
      </c>
      <c r="E61" s="33" t="s">
        <v>5</v>
      </c>
      <c r="G61" s="192" t="s">
        <v>6</v>
      </c>
      <c r="H61" s="193"/>
      <c r="I61" s="32">
        <v>0</v>
      </c>
      <c r="J61" s="31">
        <v>0.79990000000000006</v>
      </c>
      <c r="K61" s="31">
        <v>5.0000000000000001E-3</v>
      </c>
      <c r="M61" s="192" t="s">
        <v>6</v>
      </c>
      <c r="N61" s="193"/>
      <c r="O61" s="32">
        <v>0</v>
      </c>
      <c r="P61" s="31">
        <v>0.79990000000000006</v>
      </c>
      <c r="Q61" s="36">
        <v>5.0000000000000001E-3</v>
      </c>
    </row>
    <row r="62" spans="1:17" x14ac:dyDescent="0.3">
      <c r="A62" s="112"/>
      <c r="B62" s="34"/>
      <c r="C62" s="34"/>
      <c r="D62" s="33" t="s">
        <v>7</v>
      </c>
      <c r="E62" s="33" t="s">
        <v>7</v>
      </c>
      <c r="G62" s="194"/>
      <c r="H62" s="195"/>
      <c r="I62" s="32">
        <v>0.8</v>
      </c>
      <c r="J62" s="31">
        <v>0.89990000000000003</v>
      </c>
      <c r="K62" s="31">
        <v>1.4999999999999999E-2</v>
      </c>
      <c r="M62" s="194"/>
      <c r="N62" s="195"/>
      <c r="O62" s="32">
        <v>0.8</v>
      </c>
      <c r="P62" s="31">
        <v>0.89990000000000003</v>
      </c>
      <c r="Q62" s="36">
        <v>1.4999999999999999E-2</v>
      </c>
    </row>
    <row r="63" spans="1:17" x14ac:dyDescent="0.3">
      <c r="A63" s="183" t="s">
        <v>6</v>
      </c>
      <c r="B63" s="23">
        <v>0.8</v>
      </c>
      <c r="C63" s="22">
        <v>0.89990000000000003</v>
      </c>
      <c r="D63" s="25">
        <v>4.0000000000000002E-4</v>
      </c>
      <c r="E63" s="25">
        <v>2.0000000000000001E-4</v>
      </c>
      <c r="G63" s="194"/>
      <c r="H63" s="195"/>
      <c r="I63" s="32">
        <v>0.9</v>
      </c>
      <c r="J63" s="31">
        <v>0.99990000000000001</v>
      </c>
      <c r="K63" s="31">
        <v>2.5000000000000001E-2</v>
      </c>
      <c r="M63" s="194"/>
      <c r="N63" s="195"/>
      <c r="O63" s="32">
        <v>0.9</v>
      </c>
      <c r="P63" s="31">
        <v>0.99990000000000001</v>
      </c>
      <c r="Q63" s="36">
        <v>2.5000000000000001E-2</v>
      </c>
    </row>
    <row r="64" spans="1:17" x14ac:dyDescent="0.3">
      <c r="A64" s="185"/>
      <c r="B64" s="23">
        <v>0.9</v>
      </c>
      <c r="C64" s="22">
        <v>0.99990000000000001</v>
      </c>
      <c r="D64" s="25">
        <v>6.0000000000000006E-4</v>
      </c>
      <c r="E64" s="25">
        <v>3.0000000000000003E-4</v>
      </c>
      <c r="G64" s="194"/>
      <c r="H64" s="195"/>
      <c r="I64" s="32">
        <v>1</v>
      </c>
      <c r="J64" s="31">
        <v>1.4999</v>
      </c>
      <c r="K64" s="31">
        <v>4.4999999999999998E-2</v>
      </c>
      <c r="M64" s="194"/>
      <c r="N64" s="195"/>
      <c r="O64" s="32">
        <v>1</v>
      </c>
      <c r="P64" s="31">
        <v>1.4999</v>
      </c>
      <c r="Q64" s="36">
        <v>5.5E-2</v>
      </c>
    </row>
    <row r="65" spans="1:17" x14ac:dyDescent="0.3">
      <c r="A65" s="185"/>
      <c r="B65" s="23">
        <v>1</v>
      </c>
      <c r="C65" s="23">
        <v>1.2499</v>
      </c>
      <c r="D65" s="25">
        <v>0.01</v>
      </c>
      <c r="E65" s="25">
        <v>1.2000000000000001E-3</v>
      </c>
      <c r="G65" s="194"/>
      <c r="H65" s="195"/>
      <c r="I65" s="32">
        <v>1.5</v>
      </c>
      <c r="J65" s="31">
        <v>1000</v>
      </c>
      <c r="K65" s="31">
        <v>5.5E-2</v>
      </c>
      <c r="M65" s="194"/>
      <c r="N65" s="195"/>
      <c r="O65" s="32">
        <v>1.5</v>
      </c>
      <c r="P65" s="31">
        <v>1000</v>
      </c>
      <c r="Q65" s="36">
        <v>6.5000000000000002E-2</v>
      </c>
    </row>
    <row r="66" spans="1:17" x14ac:dyDescent="0.3">
      <c r="A66" s="185"/>
      <c r="B66" s="23">
        <v>1.25</v>
      </c>
      <c r="C66" s="23">
        <v>1.4999</v>
      </c>
      <c r="D66" s="25">
        <v>1.0999999999999999E-2</v>
      </c>
      <c r="E66" s="25">
        <v>4.0000000000000001E-3</v>
      </c>
      <c r="I66" s="6"/>
      <c r="J66" s="6"/>
      <c r="K66" s="6"/>
      <c r="Q66" s="26"/>
    </row>
    <row r="67" spans="1:17" x14ac:dyDescent="0.3">
      <c r="A67" s="184"/>
      <c r="B67" s="23">
        <v>1.5</v>
      </c>
      <c r="C67" s="23">
        <v>10</v>
      </c>
      <c r="D67" s="25">
        <v>1.2500000000000001E-2</v>
      </c>
      <c r="E67" s="25">
        <v>5.0000000000000001E-3</v>
      </c>
      <c r="G67" s="180" t="s">
        <v>13</v>
      </c>
      <c r="H67" s="181"/>
      <c r="I67" s="181"/>
      <c r="J67" s="181"/>
      <c r="K67" s="182"/>
      <c r="M67" s="180" t="s">
        <v>14</v>
      </c>
      <c r="N67" s="181"/>
      <c r="O67" s="181"/>
      <c r="P67" s="181"/>
      <c r="Q67" s="182"/>
    </row>
    <row r="68" spans="1:17" x14ac:dyDescent="0.3">
      <c r="A68" s="27"/>
      <c r="D68" s="35"/>
      <c r="E68" s="35"/>
      <c r="G68" s="192" t="s">
        <v>6</v>
      </c>
      <c r="H68" s="193"/>
      <c r="I68" s="32">
        <v>0</v>
      </c>
      <c r="J68" s="31">
        <v>0.79990000000000006</v>
      </c>
      <c r="K68" s="31">
        <v>5.0000000000000001E-3</v>
      </c>
      <c r="M68" s="192" t="s">
        <v>6</v>
      </c>
      <c r="N68" s="193"/>
      <c r="O68" s="196" t="s">
        <v>15</v>
      </c>
      <c r="P68" s="197"/>
      <c r="Q68" s="202">
        <v>2.5000000000000001E-3</v>
      </c>
    </row>
    <row r="69" spans="1:17" x14ac:dyDescent="0.3">
      <c r="A69" s="205" t="s">
        <v>16</v>
      </c>
      <c r="B69" s="206"/>
      <c r="C69" s="206"/>
      <c r="D69" s="206"/>
      <c r="E69" s="207"/>
      <c r="G69" s="194"/>
      <c r="H69" s="195"/>
      <c r="I69" s="32">
        <v>0.8</v>
      </c>
      <c r="J69" s="31">
        <v>0.89990000000000003</v>
      </c>
      <c r="K69" s="31">
        <v>1.4999999999999999E-2</v>
      </c>
      <c r="M69" s="194"/>
      <c r="N69" s="195"/>
      <c r="O69" s="198"/>
      <c r="P69" s="199"/>
      <c r="Q69" s="203"/>
    </row>
    <row r="70" spans="1:17" x14ac:dyDescent="0.3">
      <c r="A70" s="112"/>
      <c r="B70" s="34"/>
      <c r="C70" s="34"/>
      <c r="D70" s="33" t="s">
        <v>4</v>
      </c>
      <c r="E70" s="33" t="s">
        <v>5</v>
      </c>
      <c r="G70" s="194"/>
      <c r="H70" s="195"/>
      <c r="I70" s="32">
        <v>0.9</v>
      </c>
      <c r="J70" s="31">
        <v>0.99990000000000001</v>
      </c>
      <c r="K70" s="31">
        <v>2.5000000000000001E-2</v>
      </c>
      <c r="M70" s="194"/>
      <c r="N70" s="195"/>
      <c r="O70" s="198"/>
      <c r="P70" s="199"/>
      <c r="Q70" s="203"/>
    </row>
    <row r="71" spans="1:17" x14ac:dyDescent="0.3">
      <c r="A71" s="112"/>
      <c r="B71" s="34"/>
      <c r="C71" s="34"/>
      <c r="D71" s="33" t="s">
        <v>17</v>
      </c>
      <c r="E71" s="33" t="s">
        <v>18</v>
      </c>
      <c r="G71" s="194"/>
      <c r="H71" s="195"/>
      <c r="I71" s="32">
        <v>1</v>
      </c>
      <c r="J71" s="31">
        <v>1.4999</v>
      </c>
      <c r="K71" s="31">
        <v>5.5E-2</v>
      </c>
      <c r="M71" s="194"/>
      <c r="N71" s="195"/>
      <c r="O71" s="198"/>
      <c r="P71" s="199"/>
      <c r="Q71" s="203"/>
    </row>
    <row r="72" spans="1:17" x14ac:dyDescent="0.3">
      <c r="A72" s="183" t="s">
        <v>6</v>
      </c>
      <c r="B72" s="23">
        <v>0.8</v>
      </c>
      <c r="C72" s="22">
        <v>0.89990000000000003</v>
      </c>
      <c r="D72" s="25">
        <v>5.0000000000000001E-4</v>
      </c>
      <c r="E72" s="25">
        <v>4.0000000000000002E-4</v>
      </c>
      <c r="G72" s="194"/>
      <c r="H72" s="195"/>
      <c r="I72" s="32">
        <v>1.5</v>
      </c>
      <c r="J72" s="31">
        <v>1000</v>
      </c>
      <c r="K72" s="31">
        <v>6.5000000000000002E-2</v>
      </c>
      <c r="M72" s="194"/>
      <c r="N72" s="195"/>
      <c r="O72" s="200"/>
      <c r="P72" s="201"/>
      <c r="Q72" s="204"/>
    </row>
    <row r="73" spans="1:17" x14ac:dyDescent="0.3">
      <c r="A73" s="185"/>
      <c r="B73" s="23">
        <v>0.9</v>
      </c>
      <c r="C73" s="22">
        <v>0.99990000000000001</v>
      </c>
      <c r="D73" s="25">
        <v>1E-3</v>
      </c>
      <c r="E73" s="25">
        <v>8.0000000000000004E-4</v>
      </c>
      <c r="Q73" s="26"/>
    </row>
    <row r="74" spans="1:17" x14ac:dyDescent="0.3">
      <c r="A74" s="185"/>
      <c r="B74" s="23">
        <v>1</v>
      </c>
      <c r="C74" s="23">
        <v>1.2499</v>
      </c>
      <c r="D74" s="25">
        <v>0</v>
      </c>
      <c r="E74" s="25">
        <v>2E-3</v>
      </c>
      <c r="Q74" s="26"/>
    </row>
    <row r="75" spans="1:17" x14ac:dyDescent="0.3">
      <c r="A75" s="185"/>
      <c r="B75" s="23">
        <v>1.25</v>
      </c>
      <c r="C75" s="23">
        <v>1.4999</v>
      </c>
      <c r="D75" s="25">
        <v>3.0000000000000001E-3</v>
      </c>
      <c r="E75" s="25">
        <v>2.5000000000000001E-3</v>
      </c>
      <c r="Q75" s="26"/>
    </row>
    <row r="76" spans="1:17" x14ac:dyDescent="0.3">
      <c r="A76" s="184"/>
      <c r="B76" s="23">
        <v>1.5</v>
      </c>
      <c r="C76" s="23">
        <v>10</v>
      </c>
      <c r="D76" s="25">
        <v>3.5000000000000001E-3</v>
      </c>
      <c r="E76" s="25">
        <v>3.0000000000000001E-3</v>
      </c>
      <c r="Q76" s="26"/>
    </row>
    <row r="77" spans="1:17" x14ac:dyDescent="0.3">
      <c r="A77" s="27"/>
      <c r="Q77" s="26"/>
    </row>
    <row r="78" spans="1:17" x14ac:dyDescent="0.3">
      <c r="A78" s="180" t="s">
        <v>19</v>
      </c>
      <c r="B78" s="181"/>
      <c r="C78" s="181"/>
      <c r="D78" s="182"/>
      <c r="Q78" s="26"/>
    </row>
    <row r="79" spans="1:17" x14ac:dyDescent="0.3">
      <c r="A79" s="112"/>
      <c r="B79" s="30"/>
      <c r="C79" s="30"/>
      <c r="D79" s="29"/>
      <c r="Q79" s="26"/>
    </row>
    <row r="80" spans="1:17" x14ac:dyDescent="0.3">
      <c r="A80" s="183" t="s">
        <v>6</v>
      </c>
      <c r="B80" s="23">
        <v>0</v>
      </c>
      <c r="C80" s="22">
        <v>0.89990000000000003</v>
      </c>
      <c r="D80" s="25">
        <v>5.0000000000000001E-4</v>
      </c>
      <c r="Q80" s="26"/>
    </row>
    <row r="81" spans="1:17" x14ac:dyDescent="0.3">
      <c r="A81" s="185"/>
      <c r="B81" s="23">
        <v>0.9</v>
      </c>
      <c r="C81" s="23">
        <v>0.99990000000000001</v>
      </c>
      <c r="D81" s="25">
        <v>1.5E-3</v>
      </c>
      <c r="Q81" s="26"/>
    </row>
    <row r="82" spans="1:17" x14ac:dyDescent="0.3">
      <c r="A82" s="185"/>
      <c r="B82" s="23">
        <v>1</v>
      </c>
      <c r="C82" s="23">
        <v>1.4999</v>
      </c>
      <c r="D82" s="25">
        <v>2E-3</v>
      </c>
      <c r="Q82" s="26"/>
    </row>
    <row r="83" spans="1:17" x14ac:dyDescent="0.3">
      <c r="A83" s="184"/>
      <c r="B83" s="23">
        <v>1.5</v>
      </c>
      <c r="C83" s="23">
        <v>10</v>
      </c>
      <c r="D83" s="25">
        <v>2.5000000000000001E-3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8"/>
    </row>
    <row r="85" spans="1:17" x14ac:dyDescent="0.3">
      <c r="A85" s="186" t="s">
        <v>24</v>
      </c>
      <c r="B85" s="187"/>
      <c r="C85" s="187"/>
      <c r="D85" s="187"/>
      <c r="E85" s="187"/>
      <c r="F85" s="187"/>
      <c r="G85" s="187"/>
      <c r="H85" s="187"/>
      <c r="I85" s="187"/>
      <c r="J85" s="188"/>
    </row>
    <row r="86" spans="1:17" x14ac:dyDescent="0.3">
      <c r="A86" s="27"/>
      <c r="G86" s="189" t="s">
        <v>25</v>
      </c>
      <c r="H86" s="189"/>
      <c r="I86" s="189"/>
      <c r="J86" s="190"/>
    </row>
    <row r="87" spans="1:17" x14ac:dyDescent="0.3">
      <c r="A87" s="180" t="s">
        <v>1</v>
      </c>
      <c r="B87" s="181"/>
      <c r="C87" s="181"/>
      <c r="D87" s="181"/>
      <c r="G87" s="180" t="s">
        <v>2</v>
      </c>
      <c r="H87" s="181"/>
      <c r="I87" s="181"/>
      <c r="J87" s="182"/>
    </row>
    <row r="88" spans="1:17" x14ac:dyDescent="0.3">
      <c r="A88" s="112" t="s">
        <v>6</v>
      </c>
      <c r="B88" s="23">
        <v>0.9</v>
      </c>
      <c r="C88" s="22">
        <v>10</v>
      </c>
      <c r="D88" s="25">
        <v>1E-3</v>
      </c>
      <c r="G88" s="112" t="s">
        <v>26</v>
      </c>
      <c r="H88" s="23">
        <v>1</v>
      </c>
      <c r="I88" s="22">
        <v>10</v>
      </c>
      <c r="J88" s="21">
        <v>100</v>
      </c>
    </row>
    <row r="89" spans="1:17" x14ac:dyDescent="0.3">
      <c r="A89" s="191" t="s">
        <v>11</v>
      </c>
      <c r="B89" s="23">
        <v>1</v>
      </c>
      <c r="C89" s="22">
        <v>1.49</v>
      </c>
      <c r="D89" s="25">
        <v>3.0000000000000001E-3</v>
      </c>
      <c r="J89" s="26"/>
    </row>
    <row r="90" spans="1:17" x14ac:dyDescent="0.3">
      <c r="A90" s="191"/>
      <c r="B90" s="23">
        <v>1.5</v>
      </c>
      <c r="C90" s="23">
        <v>1000</v>
      </c>
      <c r="D90" s="25">
        <v>7.0000000000000001E-3</v>
      </c>
      <c r="G90" s="180" t="s">
        <v>13</v>
      </c>
      <c r="H90" s="181"/>
      <c r="I90" s="181"/>
      <c r="J90" s="182"/>
    </row>
    <row r="91" spans="1:17" x14ac:dyDescent="0.3">
      <c r="A91" s="112" t="s">
        <v>21</v>
      </c>
      <c r="B91" s="23">
        <v>1</v>
      </c>
      <c r="C91" s="23">
        <v>1000</v>
      </c>
      <c r="D91" s="25">
        <v>2E-3</v>
      </c>
      <c r="G91" s="112" t="s">
        <v>26</v>
      </c>
      <c r="H91" s="23">
        <v>1</v>
      </c>
      <c r="I91" s="22">
        <v>10</v>
      </c>
      <c r="J91" s="21">
        <v>100</v>
      </c>
    </row>
    <row r="92" spans="1:17" x14ac:dyDescent="0.3">
      <c r="A92" s="27"/>
      <c r="J92" s="26"/>
    </row>
    <row r="93" spans="1:17" x14ac:dyDescent="0.3">
      <c r="A93" s="180" t="s">
        <v>16</v>
      </c>
      <c r="B93" s="181"/>
      <c r="C93" s="181"/>
      <c r="D93" s="181"/>
      <c r="G93" s="180" t="s">
        <v>3</v>
      </c>
      <c r="H93" s="181"/>
      <c r="I93" s="181"/>
      <c r="J93" s="182"/>
    </row>
    <row r="94" spans="1:17" x14ac:dyDescent="0.3">
      <c r="A94" s="183" t="s">
        <v>6</v>
      </c>
      <c r="B94" s="23">
        <v>0</v>
      </c>
      <c r="C94" s="22">
        <v>0.89</v>
      </c>
      <c r="D94" s="25">
        <v>1E-4</v>
      </c>
      <c r="G94" s="112" t="s">
        <v>26</v>
      </c>
      <c r="H94" s="23">
        <v>1</v>
      </c>
      <c r="I94" s="22">
        <v>10</v>
      </c>
      <c r="J94" s="21">
        <v>50</v>
      </c>
    </row>
    <row r="95" spans="1:17" x14ac:dyDescent="0.3">
      <c r="A95" s="184"/>
      <c r="B95" s="23">
        <v>0.9</v>
      </c>
      <c r="C95" s="22">
        <v>100000</v>
      </c>
      <c r="D95" s="25">
        <v>2.5000000000000001E-4</v>
      </c>
      <c r="J95" s="26"/>
    </row>
    <row r="96" spans="1:17" x14ac:dyDescent="0.3">
      <c r="A96" s="112" t="s">
        <v>11</v>
      </c>
      <c r="B96" s="23">
        <v>1</v>
      </c>
      <c r="C96" s="23">
        <v>1000</v>
      </c>
      <c r="D96" s="25">
        <v>7.5000000000000002E-4</v>
      </c>
      <c r="G96" s="180" t="s">
        <v>14</v>
      </c>
      <c r="H96" s="181"/>
      <c r="I96" s="181"/>
      <c r="J96" s="182"/>
    </row>
    <row r="97" spans="1:10" x14ac:dyDescent="0.3">
      <c r="A97" s="112" t="s">
        <v>21</v>
      </c>
      <c r="B97" s="23">
        <v>1</v>
      </c>
      <c r="C97" s="23">
        <v>1000</v>
      </c>
      <c r="D97" s="25">
        <v>2.5000000000000001E-4</v>
      </c>
      <c r="E97" s="24"/>
      <c r="F97" s="24"/>
      <c r="G97" s="112" t="s">
        <v>26</v>
      </c>
      <c r="H97" s="23">
        <v>1</v>
      </c>
      <c r="I97" s="22">
        <v>10</v>
      </c>
      <c r="J97" s="21">
        <v>20</v>
      </c>
    </row>
    <row r="112" spans="1:10" x14ac:dyDescent="0.3">
      <c r="A112" s="19" t="s">
        <v>27</v>
      </c>
      <c r="B112" t="s">
        <v>28</v>
      </c>
    </row>
    <row r="113" spans="1:2" x14ac:dyDescent="0.3">
      <c r="A113" s="20" t="s">
        <v>29</v>
      </c>
      <c r="B113" t="s">
        <v>28</v>
      </c>
    </row>
    <row r="114" spans="1:2" x14ac:dyDescent="0.3">
      <c r="A114" s="19" t="s">
        <v>30</v>
      </c>
      <c r="B114" t="s">
        <v>28</v>
      </c>
    </row>
    <row r="115" spans="1:2" x14ac:dyDescent="0.3">
      <c r="A115" s="19" t="s">
        <v>31</v>
      </c>
      <c r="B115" t="s">
        <v>28</v>
      </c>
    </row>
    <row r="116" spans="1:2" x14ac:dyDescent="0.3">
      <c r="A116" s="19" t="s">
        <v>32</v>
      </c>
      <c r="B116" t="s">
        <v>28</v>
      </c>
    </row>
    <row r="117" spans="1:2" x14ac:dyDescent="0.3">
      <c r="A117" s="19" t="s">
        <v>33</v>
      </c>
      <c r="B117" t="s">
        <v>28</v>
      </c>
    </row>
    <row r="118" spans="1:2" x14ac:dyDescent="0.3">
      <c r="A118" s="19" t="s">
        <v>34</v>
      </c>
      <c r="B118" t="s">
        <v>28</v>
      </c>
    </row>
    <row r="119" spans="1:2" x14ac:dyDescent="0.3">
      <c r="A119" s="19" t="s">
        <v>35</v>
      </c>
      <c r="B119" t="s">
        <v>28</v>
      </c>
    </row>
    <row r="120" spans="1:2" x14ac:dyDescent="0.3">
      <c r="A120" s="20" t="s">
        <v>36</v>
      </c>
      <c r="B120" t="s">
        <v>37</v>
      </c>
    </row>
    <row r="121" spans="1:2" x14ac:dyDescent="0.3">
      <c r="A121" s="20" t="s">
        <v>38</v>
      </c>
      <c r="B121" t="s">
        <v>37</v>
      </c>
    </row>
    <row r="122" spans="1:2" x14ac:dyDescent="0.3">
      <c r="A122" s="19" t="s">
        <v>39</v>
      </c>
      <c r="B122" t="s">
        <v>37</v>
      </c>
    </row>
    <row r="123" spans="1:2" x14ac:dyDescent="0.3">
      <c r="A123" s="19" t="s">
        <v>40</v>
      </c>
      <c r="B123" t="s">
        <v>37</v>
      </c>
    </row>
    <row r="124" spans="1:2" x14ac:dyDescent="0.3">
      <c r="A124" s="19" t="s">
        <v>41</v>
      </c>
      <c r="B124" t="s">
        <v>37</v>
      </c>
    </row>
    <row r="125" spans="1:2" x14ac:dyDescent="0.3">
      <c r="A125" s="20" t="s">
        <v>42</v>
      </c>
      <c r="B125" t="s">
        <v>37</v>
      </c>
    </row>
    <row r="126" spans="1:2" x14ac:dyDescent="0.3">
      <c r="A126" s="20" t="s">
        <v>43</v>
      </c>
      <c r="B126" t="s">
        <v>37</v>
      </c>
    </row>
    <row r="127" spans="1:2" x14ac:dyDescent="0.3">
      <c r="A127" s="20" t="s">
        <v>44</v>
      </c>
      <c r="B127" t="s">
        <v>45</v>
      </c>
    </row>
    <row r="128" spans="1:2" x14ac:dyDescent="0.3">
      <c r="A128" s="19" t="s">
        <v>46</v>
      </c>
      <c r="B128" t="s">
        <v>45</v>
      </c>
    </row>
    <row r="129" spans="1:2" x14ac:dyDescent="0.3">
      <c r="A129" s="19" t="s">
        <v>47</v>
      </c>
      <c r="B129" t="s">
        <v>45</v>
      </c>
    </row>
    <row r="130" spans="1:2" x14ac:dyDescent="0.3">
      <c r="A130" s="19" t="s">
        <v>48</v>
      </c>
      <c r="B130" t="s">
        <v>45</v>
      </c>
    </row>
    <row r="131" spans="1:2" x14ac:dyDescent="0.3">
      <c r="A131" s="19" t="s">
        <v>49</v>
      </c>
      <c r="B131" t="s">
        <v>45</v>
      </c>
    </row>
    <row r="132" spans="1:2" x14ac:dyDescent="0.3">
      <c r="A132" s="20" t="s">
        <v>50</v>
      </c>
      <c r="B132" t="s">
        <v>45</v>
      </c>
    </row>
    <row r="133" spans="1:2" x14ac:dyDescent="0.3">
      <c r="A133" s="19" t="s">
        <v>51</v>
      </c>
      <c r="B133" t="s">
        <v>52</v>
      </c>
    </row>
  </sheetData>
  <mergeCells count="87">
    <mergeCell ref="A2:Q2"/>
    <mergeCell ref="A3:E3"/>
    <mergeCell ref="G3:K3"/>
    <mergeCell ref="M3:Q3"/>
    <mergeCell ref="G4:H6"/>
    <mergeCell ref="M4:N6"/>
    <mergeCell ref="A6:A8"/>
    <mergeCell ref="G7:G9"/>
    <mergeCell ref="H7:H8"/>
    <mergeCell ref="M7:M9"/>
    <mergeCell ref="A19:A20"/>
    <mergeCell ref="N7:N8"/>
    <mergeCell ref="A9:A10"/>
    <mergeCell ref="G11:K11"/>
    <mergeCell ref="M11:Q11"/>
    <mergeCell ref="G12:H14"/>
    <mergeCell ref="M12:N14"/>
    <mergeCell ref="O12:P14"/>
    <mergeCell ref="Q12:Q14"/>
    <mergeCell ref="A13:E13"/>
    <mergeCell ref="G15:G17"/>
    <mergeCell ref="H15:H16"/>
    <mergeCell ref="M15:M17"/>
    <mergeCell ref="N15:N16"/>
    <mergeCell ref="O15:O16"/>
    <mergeCell ref="P15:P16"/>
    <mergeCell ref="Q15:Q16"/>
    <mergeCell ref="A16:A18"/>
    <mergeCell ref="P43:P44"/>
    <mergeCell ref="Q43:Q44"/>
    <mergeCell ref="A44:A46"/>
    <mergeCell ref="A23:D23"/>
    <mergeCell ref="A25:A26"/>
    <mergeCell ref="A31:E31"/>
    <mergeCell ref="G31:K31"/>
    <mergeCell ref="M31:Q31"/>
    <mergeCell ref="A30:Q30"/>
    <mergeCell ref="G32:H34"/>
    <mergeCell ref="M32:N34"/>
    <mergeCell ref="A34:A36"/>
    <mergeCell ref="G35:G37"/>
    <mergeCell ref="H35:H36"/>
    <mergeCell ref="A47:A48"/>
    <mergeCell ref="M35:M37"/>
    <mergeCell ref="N35:N36"/>
    <mergeCell ref="A37:A38"/>
    <mergeCell ref="G39:K39"/>
    <mergeCell ref="M39:Q39"/>
    <mergeCell ref="G40:H42"/>
    <mergeCell ref="M40:N42"/>
    <mergeCell ref="O40:P42"/>
    <mergeCell ref="Q40:Q42"/>
    <mergeCell ref="A41:E41"/>
    <mergeCell ref="G43:G45"/>
    <mergeCell ref="H43:H44"/>
    <mergeCell ref="M43:M45"/>
    <mergeCell ref="N43:N44"/>
    <mergeCell ref="O43:O44"/>
    <mergeCell ref="G61:H65"/>
    <mergeCell ref="M61:N65"/>
    <mergeCell ref="A63:A67"/>
    <mergeCell ref="G67:K67"/>
    <mergeCell ref="M67:Q67"/>
    <mergeCell ref="A51:D51"/>
    <mergeCell ref="A53:A54"/>
    <mergeCell ref="A60:E60"/>
    <mergeCell ref="G60:K60"/>
    <mergeCell ref="M60:Q60"/>
    <mergeCell ref="A59:Q59"/>
    <mergeCell ref="G68:H72"/>
    <mergeCell ref="M68:N72"/>
    <mergeCell ref="O68:P72"/>
    <mergeCell ref="Q68:Q72"/>
    <mergeCell ref="A69:E69"/>
    <mergeCell ref="A72:A76"/>
    <mergeCell ref="G93:J93"/>
    <mergeCell ref="A94:A95"/>
    <mergeCell ref="G96:J96"/>
    <mergeCell ref="A78:D78"/>
    <mergeCell ref="A80:A83"/>
    <mergeCell ref="A85:J85"/>
    <mergeCell ref="G86:J86"/>
    <mergeCell ref="A87:D87"/>
    <mergeCell ref="G87:J87"/>
    <mergeCell ref="A89:A90"/>
    <mergeCell ref="G90:J90"/>
    <mergeCell ref="A93:D9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2768-FBC9-4B9C-8A85-2546A5626E7D}">
  <sheetPr codeName="Planilha1"/>
  <dimension ref="A1:Y107"/>
  <sheetViews>
    <sheetView workbookViewId="0">
      <selection activeCell="G7" sqref="G7"/>
    </sheetView>
  </sheetViews>
  <sheetFormatPr defaultRowHeight="14.4" x14ac:dyDescent="0.3"/>
  <cols>
    <col min="1" max="1" width="36.77734375" bestFit="1" customWidth="1"/>
    <col min="2" max="2" width="24.21875" bestFit="1" customWidth="1"/>
    <col min="3" max="3" width="13.21875" style="72" bestFit="1" customWidth="1"/>
    <col min="4" max="4" width="15.77734375" style="72" bestFit="1" customWidth="1"/>
    <col min="5" max="5" width="14.21875" style="72" bestFit="1" customWidth="1"/>
    <col min="6" max="6" width="11.21875" style="72" bestFit="1" customWidth="1"/>
    <col min="7" max="7" width="13.5546875" style="72" bestFit="1" customWidth="1"/>
    <col min="8" max="8" width="12.21875" style="72" bestFit="1" customWidth="1"/>
    <col min="9" max="9" width="19.21875" style="72" bestFit="1" customWidth="1"/>
    <col min="10" max="10" width="21.77734375" style="72" bestFit="1" customWidth="1"/>
    <col min="11" max="11" width="20.5546875" style="72" bestFit="1" customWidth="1"/>
    <col min="12" max="13" width="20.44140625" style="72" bestFit="1" customWidth="1"/>
    <col min="14" max="15" width="19.77734375" style="72" bestFit="1" customWidth="1"/>
    <col min="16" max="17" width="19.5546875" style="72" bestFit="1" customWidth="1"/>
    <col min="18" max="18" width="20.21875" style="72" bestFit="1" customWidth="1"/>
    <col min="19" max="19" width="18.77734375" style="72" bestFit="1" customWidth="1"/>
    <col min="20" max="20" width="15.77734375" style="72" bestFit="1" customWidth="1"/>
    <col min="21" max="21" width="18.21875" style="72" bestFit="1" customWidth="1"/>
    <col min="22" max="22" width="16.77734375" style="72" bestFit="1" customWidth="1"/>
    <col min="23" max="23" width="10.77734375" style="72" bestFit="1" customWidth="1"/>
    <col min="24" max="24" width="13.21875" style="72" bestFit="1" customWidth="1"/>
    <col min="25" max="25" width="11.77734375" style="72" bestFit="1" customWidth="1"/>
  </cols>
  <sheetData>
    <row r="1" spans="1:25" x14ac:dyDescent="0.3">
      <c r="A1" t="s">
        <v>53</v>
      </c>
      <c r="B1" t="s">
        <v>54</v>
      </c>
      <c r="C1" s="72" t="s">
        <v>55</v>
      </c>
      <c r="D1" s="72" t="s">
        <v>56</v>
      </c>
      <c r="E1" s="72" t="s">
        <v>57</v>
      </c>
      <c r="F1" s="72" t="s">
        <v>58</v>
      </c>
      <c r="G1" s="72" t="s">
        <v>59</v>
      </c>
      <c r="H1" s="72" t="s">
        <v>60</v>
      </c>
      <c r="I1" s="72" t="s">
        <v>61</v>
      </c>
      <c r="J1" s="72" t="s">
        <v>62</v>
      </c>
      <c r="K1" s="72" t="s">
        <v>63</v>
      </c>
      <c r="L1" s="72" t="s">
        <v>64</v>
      </c>
      <c r="M1" s="72" t="s">
        <v>65</v>
      </c>
      <c r="N1" s="72" t="s">
        <v>66</v>
      </c>
      <c r="O1" s="72" t="s">
        <v>67</v>
      </c>
      <c r="P1" s="72" t="s">
        <v>68</v>
      </c>
      <c r="Q1" s="72" t="s">
        <v>69</v>
      </c>
      <c r="R1" s="72" t="s">
        <v>70</v>
      </c>
      <c r="S1" s="72" t="s">
        <v>71</v>
      </c>
      <c r="T1" s="72" t="s">
        <v>72</v>
      </c>
      <c r="U1" s="72" t="s">
        <v>73</v>
      </c>
      <c r="V1" s="72" t="s">
        <v>74</v>
      </c>
      <c r="W1" s="72" t="s">
        <v>75</v>
      </c>
      <c r="X1" s="72" t="s">
        <v>76</v>
      </c>
      <c r="Y1" s="72" t="s">
        <v>77</v>
      </c>
    </row>
    <row r="2" spans="1:25" x14ac:dyDescent="0.3">
      <c r="A2" t="s">
        <v>78</v>
      </c>
      <c r="B2" t="s">
        <v>27</v>
      </c>
      <c r="C2" s="72">
        <v>44</v>
      </c>
      <c r="D2" s="72">
        <v>2200</v>
      </c>
      <c r="E2" s="72">
        <v>2156</v>
      </c>
      <c r="F2" s="72">
        <v>0</v>
      </c>
      <c r="G2" s="72">
        <v>0</v>
      </c>
      <c r="H2" s="72">
        <v>0</v>
      </c>
      <c r="I2" s="72">
        <v>2999</v>
      </c>
      <c r="J2" s="72">
        <v>38666.666700000002</v>
      </c>
      <c r="K2" s="72">
        <v>35667.666700000002</v>
      </c>
      <c r="L2" s="72">
        <v>0</v>
      </c>
      <c r="M2" s="72">
        <v>0</v>
      </c>
      <c r="N2" s="72">
        <v>4650</v>
      </c>
      <c r="O2" s="72">
        <v>4650</v>
      </c>
      <c r="P2" s="72">
        <v>129</v>
      </c>
      <c r="Q2" s="72">
        <v>79</v>
      </c>
      <c r="R2" s="72">
        <v>2283.3332999999998</v>
      </c>
      <c r="S2" s="72">
        <v>2075.3332999999998</v>
      </c>
      <c r="T2" s="72">
        <v>0</v>
      </c>
      <c r="U2" s="72">
        <v>275</v>
      </c>
      <c r="V2" s="72">
        <v>275</v>
      </c>
      <c r="W2" s="72">
        <v>20.9</v>
      </c>
      <c r="X2" s="72">
        <v>283.33330000000001</v>
      </c>
      <c r="Y2" s="72">
        <v>262.43329999999997</v>
      </c>
    </row>
    <row r="3" spans="1:25" x14ac:dyDescent="0.3">
      <c r="A3" t="s">
        <v>79</v>
      </c>
      <c r="B3" t="s">
        <v>27</v>
      </c>
      <c r="C3" s="72">
        <v>118</v>
      </c>
      <c r="D3" s="72">
        <v>2200</v>
      </c>
      <c r="E3" s="72">
        <v>2082</v>
      </c>
      <c r="F3" s="72">
        <v>0</v>
      </c>
      <c r="G3" s="72">
        <v>0</v>
      </c>
      <c r="H3" s="72">
        <v>0</v>
      </c>
      <c r="I3" s="72">
        <v>3098</v>
      </c>
      <c r="J3" s="72">
        <v>38666.666700000002</v>
      </c>
      <c r="K3" s="72">
        <v>35568.666700000002</v>
      </c>
      <c r="L3" s="72">
        <v>0</v>
      </c>
      <c r="M3" s="72">
        <v>0</v>
      </c>
      <c r="N3" s="72">
        <v>4650</v>
      </c>
      <c r="O3" s="72">
        <v>4650</v>
      </c>
      <c r="P3" s="72">
        <v>158</v>
      </c>
      <c r="Q3" s="72">
        <v>99</v>
      </c>
      <c r="R3" s="72">
        <v>2283.3332999999998</v>
      </c>
      <c r="S3" s="72">
        <v>2026.3333</v>
      </c>
      <c r="T3" s="72">
        <v>0</v>
      </c>
      <c r="U3" s="72">
        <v>275</v>
      </c>
      <c r="V3" s="72">
        <v>275</v>
      </c>
      <c r="W3" s="72">
        <v>20.9</v>
      </c>
      <c r="X3" s="72">
        <v>283.33330000000001</v>
      </c>
      <c r="Y3" s="72">
        <v>262.43329999999997</v>
      </c>
    </row>
    <row r="4" spans="1:25" x14ac:dyDescent="0.3">
      <c r="A4" t="s">
        <v>80</v>
      </c>
      <c r="B4" t="s">
        <v>27</v>
      </c>
      <c r="C4" s="72">
        <v>315.01</v>
      </c>
      <c r="D4" s="72">
        <v>2200</v>
      </c>
      <c r="E4" s="72">
        <v>1884.99</v>
      </c>
      <c r="F4" s="72">
        <v>0</v>
      </c>
      <c r="G4" s="72">
        <v>0</v>
      </c>
      <c r="H4" s="72">
        <v>0</v>
      </c>
      <c r="I4" s="72">
        <v>2747</v>
      </c>
      <c r="J4" s="72">
        <v>38666.666700000002</v>
      </c>
      <c r="K4" s="72">
        <v>35919.666700000002</v>
      </c>
      <c r="L4" s="72">
        <v>0</v>
      </c>
      <c r="M4" s="72">
        <v>199</v>
      </c>
      <c r="N4" s="72">
        <v>4650</v>
      </c>
      <c r="O4" s="72">
        <v>4451</v>
      </c>
      <c r="P4" s="72">
        <v>356</v>
      </c>
      <c r="Q4" s="72">
        <v>198</v>
      </c>
      <c r="R4" s="72">
        <v>2283.3332999999998</v>
      </c>
      <c r="S4" s="72">
        <v>1729.3333</v>
      </c>
      <c r="T4" s="72">
        <v>33.799999999999997</v>
      </c>
      <c r="U4" s="72">
        <v>275</v>
      </c>
      <c r="V4" s="72">
        <v>241.2</v>
      </c>
      <c r="W4" s="72">
        <v>77.599999999999994</v>
      </c>
      <c r="X4" s="72">
        <v>283.33330000000001</v>
      </c>
      <c r="Y4" s="72">
        <v>205.73330000000001</v>
      </c>
    </row>
    <row r="5" spans="1:25" x14ac:dyDescent="0.3">
      <c r="A5" t="s">
        <v>81</v>
      </c>
      <c r="B5" t="s">
        <v>27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</row>
    <row r="6" spans="1:25" x14ac:dyDescent="0.3">
      <c r="A6" t="s">
        <v>82</v>
      </c>
      <c r="B6" t="s">
        <v>29</v>
      </c>
      <c r="C6" s="72">
        <v>480</v>
      </c>
      <c r="D6" s="72">
        <v>4333.3333000000002</v>
      </c>
      <c r="E6" s="72">
        <v>3853.3332999999998</v>
      </c>
      <c r="F6" s="72">
        <v>0</v>
      </c>
      <c r="G6" s="72">
        <v>0</v>
      </c>
      <c r="H6" s="72">
        <v>0</v>
      </c>
      <c r="I6" s="72">
        <v>7297</v>
      </c>
      <c r="J6" s="72">
        <v>30000</v>
      </c>
      <c r="K6" s="72">
        <v>22703</v>
      </c>
      <c r="L6" s="72">
        <v>0</v>
      </c>
      <c r="M6" s="72">
        <v>4137</v>
      </c>
      <c r="N6" s="72">
        <v>3566.6667000000002</v>
      </c>
      <c r="O6" s="72">
        <v>-570.33330000000001</v>
      </c>
      <c r="P6" s="72">
        <v>802</v>
      </c>
      <c r="Q6" s="72">
        <v>455</v>
      </c>
      <c r="R6" s="72">
        <v>2850</v>
      </c>
      <c r="S6" s="72">
        <v>1593</v>
      </c>
      <c r="T6" s="72">
        <v>51.8</v>
      </c>
      <c r="U6" s="72">
        <v>333.33330000000001</v>
      </c>
      <c r="V6" s="72">
        <v>281.5333</v>
      </c>
      <c r="W6" s="72">
        <v>45</v>
      </c>
      <c r="X6" s="72">
        <v>283.33330000000001</v>
      </c>
      <c r="Y6" s="72">
        <v>238.33330000000001</v>
      </c>
    </row>
    <row r="7" spans="1:25" x14ac:dyDescent="0.3">
      <c r="A7" t="s">
        <v>83</v>
      </c>
      <c r="B7" t="s">
        <v>29</v>
      </c>
      <c r="C7" s="72">
        <v>444.99</v>
      </c>
      <c r="D7" s="72">
        <v>4333.3333000000002</v>
      </c>
      <c r="E7" s="72">
        <v>3888.3433</v>
      </c>
      <c r="F7" s="72">
        <v>0</v>
      </c>
      <c r="G7" s="72">
        <v>0</v>
      </c>
      <c r="H7" s="72">
        <v>0</v>
      </c>
      <c r="I7" s="72">
        <v>5048</v>
      </c>
      <c r="J7" s="72">
        <v>30000</v>
      </c>
      <c r="K7" s="72">
        <v>24952</v>
      </c>
      <c r="L7" s="72">
        <v>0</v>
      </c>
      <c r="M7" s="72">
        <v>1738</v>
      </c>
      <c r="N7" s="72">
        <v>3566.6667000000002</v>
      </c>
      <c r="O7" s="72">
        <v>1828.6667</v>
      </c>
      <c r="P7" s="72">
        <v>178</v>
      </c>
      <c r="Q7" s="72">
        <v>208</v>
      </c>
      <c r="R7" s="72">
        <v>2850</v>
      </c>
      <c r="S7" s="72">
        <v>2464</v>
      </c>
      <c r="T7" s="72">
        <v>33.799999999999997</v>
      </c>
      <c r="U7" s="72">
        <v>333.33330000000001</v>
      </c>
      <c r="V7" s="72">
        <v>299.5333</v>
      </c>
      <c r="W7" s="72">
        <v>25.9</v>
      </c>
      <c r="X7" s="72">
        <v>283.33330000000001</v>
      </c>
      <c r="Y7" s="72">
        <v>257.43329999999997</v>
      </c>
    </row>
    <row r="8" spans="1:25" x14ac:dyDescent="0.3">
      <c r="A8" t="s">
        <v>84</v>
      </c>
      <c r="B8" t="s">
        <v>29</v>
      </c>
      <c r="C8" s="72">
        <v>445</v>
      </c>
      <c r="D8" s="72">
        <v>4333.3333000000002</v>
      </c>
      <c r="E8" s="72">
        <v>3888.3332999999998</v>
      </c>
      <c r="F8" s="72">
        <v>0</v>
      </c>
      <c r="G8" s="72">
        <v>0</v>
      </c>
      <c r="H8" s="72">
        <v>0</v>
      </c>
      <c r="I8" s="72">
        <v>11098</v>
      </c>
      <c r="J8" s="72">
        <v>30000</v>
      </c>
      <c r="K8" s="72">
        <v>18902</v>
      </c>
      <c r="L8" s="72">
        <v>0</v>
      </c>
      <c r="M8" s="72">
        <v>0</v>
      </c>
      <c r="N8" s="72">
        <v>3566.6667000000002</v>
      </c>
      <c r="O8" s="72">
        <v>3566.6667000000002</v>
      </c>
      <c r="P8" s="72">
        <v>89</v>
      </c>
      <c r="Q8" s="72">
        <v>505</v>
      </c>
      <c r="R8" s="72">
        <v>2850</v>
      </c>
      <c r="S8" s="72">
        <v>2256</v>
      </c>
      <c r="T8" s="72">
        <v>0</v>
      </c>
      <c r="U8" s="72">
        <v>333.33330000000001</v>
      </c>
      <c r="V8" s="72">
        <v>333.33330000000001</v>
      </c>
      <c r="W8" s="72">
        <v>0</v>
      </c>
      <c r="X8" s="72">
        <v>283.33330000000001</v>
      </c>
      <c r="Y8" s="72">
        <v>283.33330000000001</v>
      </c>
    </row>
    <row r="9" spans="1:25" x14ac:dyDescent="0.3">
      <c r="A9" t="s">
        <v>85</v>
      </c>
      <c r="B9" t="s">
        <v>29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</row>
    <row r="10" spans="1:25" x14ac:dyDescent="0.3">
      <c r="A10" t="s">
        <v>86</v>
      </c>
      <c r="B10" t="s">
        <v>36</v>
      </c>
      <c r="C10" s="72">
        <v>418.99</v>
      </c>
      <c r="D10" s="72">
        <v>2200</v>
      </c>
      <c r="E10" s="72">
        <v>1781.01</v>
      </c>
      <c r="F10" s="72">
        <v>20.010000000000002</v>
      </c>
      <c r="G10" s="72">
        <v>1275</v>
      </c>
      <c r="H10" s="72">
        <v>1254.99</v>
      </c>
      <c r="I10" s="72">
        <v>0</v>
      </c>
      <c r="J10" s="72">
        <v>33750</v>
      </c>
      <c r="K10" s="72">
        <v>33750</v>
      </c>
      <c r="L10" s="72">
        <v>0</v>
      </c>
      <c r="M10" s="72">
        <v>0</v>
      </c>
      <c r="N10" s="72">
        <v>4450</v>
      </c>
      <c r="O10" s="72">
        <v>4450</v>
      </c>
      <c r="P10" s="72">
        <v>0</v>
      </c>
      <c r="Q10" s="72">
        <v>0</v>
      </c>
      <c r="R10" s="72">
        <v>1700</v>
      </c>
      <c r="S10" s="72">
        <v>1700</v>
      </c>
      <c r="T10" s="72">
        <v>0</v>
      </c>
      <c r="U10" s="72">
        <v>195</v>
      </c>
      <c r="V10" s="72">
        <v>195</v>
      </c>
      <c r="W10" s="72">
        <v>137.69999999999999</v>
      </c>
      <c r="X10" s="72">
        <v>200</v>
      </c>
      <c r="Y10" s="72">
        <v>62.3</v>
      </c>
    </row>
    <row r="11" spans="1:25" x14ac:dyDescent="0.3">
      <c r="A11" t="s">
        <v>87</v>
      </c>
      <c r="B11" t="s">
        <v>36</v>
      </c>
      <c r="C11" s="72">
        <v>187.99</v>
      </c>
      <c r="D11" s="72">
        <v>2200</v>
      </c>
      <c r="E11" s="72">
        <v>2012.01</v>
      </c>
      <c r="F11" s="72">
        <v>0</v>
      </c>
      <c r="G11" s="72">
        <v>1275</v>
      </c>
      <c r="H11" s="72">
        <v>1275</v>
      </c>
      <c r="I11" s="72">
        <v>0</v>
      </c>
      <c r="J11" s="72">
        <v>33750</v>
      </c>
      <c r="K11" s="72">
        <v>33750</v>
      </c>
      <c r="L11" s="72">
        <v>0</v>
      </c>
      <c r="M11" s="72">
        <v>0</v>
      </c>
      <c r="N11" s="72">
        <v>4450</v>
      </c>
      <c r="O11" s="72">
        <v>4450</v>
      </c>
      <c r="P11" s="72">
        <v>0</v>
      </c>
      <c r="Q11" s="72">
        <v>0</v>
      </c>
      <c r="R11" s="72">
        <v>1700</v>
      </c>
      <c r="S11" s="72">
        <v>1700</v>
      </c>
      <c r="T11" s="72">
        <v>69.900000000000006</v>
      </c>
      <c r="U11" s="72">
        <v>195</v>
      </c>
      <c r="V11" s="72">
        <v>125.1</v>
      </c>
      <c r="W11" s="72">
        <v>0</v>
      </c>
      <c r="X11" s="72">
        <v>200</v>
      </c>
      <c r="Y11" s="72">
        <v>200</v>
      </c>
    </row>
    <row r="12" spans="1:25" x14ac:dyDescent="0.3">
      <c r="A12" t="s">
        <v>88</v>
      </c>
      <c r="B12" t="s">
        <v>36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</row>
    <row r="13" spans="1:25" x14ac:dyDescent="0.3">
      <c r="A13" t="s">
        <v>89</v>
      </c>
      <c r="B13" t="s">
        <v>38</v>
      </c>
      <c r="C13" s="72">
        <v>309</v>
      </c>
      <c r="D13" s="72">
        <v>2066.6667000000002</v>
      </c>
      <c r="E13" s="72">
        <v>1757.6667</v>
      </c>
      <c r="F13" s="72">
        <v>0</v>
      </c>
      <c r="G13" s="72">
        <v>1266.6667</v>
      </c>
      <c r="H13" s="72">
        <v>1266.6667</v>
      </c>
      <c r="I13" s="72">
        <v>3528</v>
      </c>
      <c r="J13" s="72">
        <v>23000</v>
      </c>
      <c r="K13" s="72">
        <v>19472</v>
      </c>
      <c r="L13" s="72">
        <v>209</v>
      </c>
      <c r="M13" s="72">
        <v>818</v>
      </c>
      <c r="N13" s="72">
        <v>2966.6667000000002</v>
      </c>
      <c r="O13" s="72">
        <v>1939.6667</v>
      </c>
      <c r="P13" s="72">
        <v>138</v>
      </c>
      <c r="Q13" s="72">
        <v>0</v>
      </c>
      <c r="R13" s="72">
        <v>1666.6667</v>
      </c>
      <c r="S13" s="72">
        <v>1528.6667</v>
      </c>
      <c r="T13" s="72">
        <v>0</v>
      </c>
      <c r="U13" s="72">
        <v>230</v>
      </c>
      <c r="V13" s="72">
        <v>230</v>
      </c>
      <c r="W13" s="72">
        <v>0</v>
      </c>
      <c r="X13" s="72">
        <v>200</v>
      </c>
      <c r="Y13" s="72">
        <v>200</v>
      </c>
    </row>
    <row r="14" spans="1:25" x14ac:dyDescent="0.3">
      <c r="A14" t="s">
        <v>90</v>
      </c>
      <c r="B14" t="s">
        <v>38</v>
      </c>
      <c r="C14" s="72">
        <v>0</v>
      </c>
      <c r="D14" s="72">
        <v>2066.6667000000002</v>
      </c>
      <c r="E14" s="72">
        <v>2066.6667000000002</v>
      </c>
      <c r="F14" s="72">
        <v>0</v>
      </c>
      <c r="G14" s="72">
        <v>1266.6667</v>
      </c>
      <c r="H14" s="72">
        <v>1266.6667</v>
      </c>
      <c r="I14" s="72">
        <v>0</v>
      </c>
      <c r="J14" s="72">
        <v>23000</v>
      </c>
      <c r="K14" s="72">
        <v>23000</v>
      </c>
      <c r="L14" s="72">
        <v>0</v>
      </c>
      <c r="M14" s="72">
        <v>0</v>
      </c>
      <c r="N14" s="72">
        <v>2966.6667000000002</v>
      </c>
      <c r="O14" s="72">
        <v>2966.6667000000002</v>
      </c>
      <c r="P14" s="72">
        <v>0</v>
      </c>
      <c r="Q14" s="72">
        <v>0</v>
      </c>
      <c r="R14" s="72">
        <v>1666.6667</v>
      </c>
      <c r="S14" s="72">
        <v>1666.6667</v>
      </c>
      <c r="T14" s="72">
        <v>0</v>
      </c>
      <c r="U14" s="72">
        <v>230</v>
      </c>
      <c r="V14" s="72">
        <v>230</v>
      </c>
      <c r="W14" s="72">
        <v>0</v>
      </c>
      <c r="X14" s="72">
        <v>200</v>
      </c>
      <c r="Y14" s="72">
        <v>200</v>
      </c>
    </row>
    <row r="15" spans="1:25" x14ac:dyDescent="0.3">
      <c r="A15" t="s">
        <v>91</v>
      </c>
      <c r="B15" t="s">
        <v>38</v>
      </c>
      <c r="C15" s="72">
        <v>218</v>
      </c>
      <c r="D15" s="72">
        <v>2066.6667000000002</v>
      </c>
      <c r="E15" s="72">
        <v>1848.6667</v>
      </c>
      <c r="F15" s="72">
        <v>85</v>
      </c>
      <c r="G15" s="72">
        <v>1266.6667</v>
      </c>
      <c r="H15" s="72">
        <v>1181.6667</v>
      </c>
      <c r="I15" s="72">
        <v>1699</v>
      </c>
      <c r="J15" s="72">
        <v>23000</v>
      </c>
      <c r="K15" s="72">
        <v>21301</v>
      </c>
      <c r="L15" s="72">
        <v>0</v>
      </c>
      <c r="M15" s="72">
        <v>0</v>
      </c>
      <c r="N15" s="72">
        <v>2966.6667000000002</v>
      </c>
      <c r="O15" s="72">
        <v>2966.6667000000002</v>
      </c>
      <c r="P15" s="72">
        <v>119</v>
      </c>
      <c r="Q15" s="72">
        <v>79</v>
      </c>
      <c r="R15" s="72">
        <v>1666.6667</v>
      </c>
      <c r="S15" s="72">
        <v>1468.6667</v>
      </c>
      <c r="T15" s="72">
        <v>0</v>
      </c>
      <c r="U15" s="72">
        <v>230</v>
      </c>
      <c r="V15" s="72">
        <v>230</v>
      </c>
      <c r="W15" s="72">
        <v>0</v>
      </c>
      <c r="X15" s="72">
        <v>200</v>
      </c>
      <c r="Y15" s="72">
        <v>200</v>
      </c>
    </row>
    <row r="16" spans="1:25" x14ac:dyDescent="0.3">
      <c r="A16" t="s">
        <v>92</v>
      </c>
      <c r="B16" t="s">
        <v>38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x14ac:dyDescent="0.3">
      <c r="A17" t="s">
        <v>93</v>
      </c>
      <c r="B17" t="s">
        <v>39</v>
      </c>
      <c r="C17" s="72">
        <v>353.99</v>
      </c>
      <c r="D17" s="72">
        <v>2530.3029999999999</v>
      </c>
      <c r="E17" s="72">
        <v>2176.3130000000001</v>
      </c>
      <c r="F17" s="72">
        <v>0</v>
      </c>
      <c r="G17" s="72">
        <v>1378.7879</v>
      </c>
      <c r="H17" s="72">
        <v>1378.7879</v>
      </c>
      <c r="I17" s="72">
        <v>0</v>
      </c>
      <c r="J17" s="72">
        <v>30303.030299999999</v>
      </c>
      <c r="K17" s="72">
        <v>30303.030299999999</v>
      </c>
      <c r="L17" s="72">
        <v>0</v>
      </c>
      <c r="M17" s="72">
        <v>0</v>
      </c>
      <c r="N17" s="72">
        <v>3863.6363999999999</v>
      </c>
      <c r="O17" s="72">
        <v>3863.6363999999999</v>
      </c>
      <c r="P17" s="72">
        <v>122.55</v>
      </c>
      <c r="Q17" s="72">
        <v>0</v>
      </c>
      <c r="R17" s="72">
        <v>1500</v>
      </c>
      <c r="S17" s="72">
        <v>1377.45</v>
      </c>
      <c r="T17" s="72">
        <v>0</v>
      </c>
      <c r="U17" s="72">
        <v>227.27269999999999</v>
      </c>
      <c r="V17" s="72">
        <v>227.27269999999999</v>
      </c>
      <c r="W17" s="72">
        <v>9.9</v>
      </c>
      <c r="X17" s="72">
        <v>151.51519999999999</v>
      </c>
      <c r="Y17" s="72">
        <v>141.61519999999999</v>
      </c>
    </row>
    <row r="18" spans="1:25" x14ac:dyDescent="0.3">
      <c r="A18" t="s">
        <v>94</v>
      </c>
      <c r="B18" t="s">
        <v>39</v>
      </c>
      <c r="C18" s="72">
        <v>94</v>
      </c>
      <c r="D18" s="72">
        <v>2530.3029999999999</v>
      </c>
      <c r="E18" s="72">
        <v>2436.3029999999999</v>
      </c>
      <c r="F18" s="72">
        <v>170</v>
      </c>
      <c r="G18" s="72">
        <v>1378.7879</v>
      </c>
      <c r="H18" s="72">
        <v>1208.7879</v>
      </c>
      <c r="I18" s="72">
        <v>10699</v>
      </c>
      <c r="J18" s="72">
        <v>30303.030299999999</v>
      </c>
      <c r="K18" s="72">
        <v>19604.030299999999</v>
      </c>
      <c r="L18" s="72">
        <v>0</v>
      </c>
      <c r="M18" s="72">
        <v>4107</v>
      </c>
      <c r="N18" s="72">
        <v>3863.6363999999999</v>
      </c>
      <c r="O18" s="72">
        <v>-243.36359999999999</v>
      </c>
      <c r="P18" s="72">
        <v>69</v>
      </c>
      <c r="Q18" s="72">
        <v>129</v>
      </c>
      <c r="R18" s="72">
        <v>1500</v>
      </c>
      <c r="S18" s="72">
        <v>1302</v>
      </c>
      <c r="T18" s="72">
        <v>34.9</v>
      </c>
      <c r="U18" s="72">
        <v>227.27269999999999</v>
      </c>
      <c r="V18" s="72">
        <v>192.37270000000001</v>
      </c>
      <c r="W18" s="72">
        <v>39.799999999999997</v>
      </c>
      <c r="X18" s="72">
        <v>151.51519999999999</v>
      </c>
      <c r="Y18" s="72">
        <v>111.7152</v>
      </c>
    </row>
    <row r="19" spans="1:25" x14ac:dyDescent="0.3">
      <c r="A19" t="s">
        <v>95</v>
      </c>
      <c r="B19" t="s">
        <v>39</v>
      </c>
      <c r="C19" s="72">
        <v>389</v>
      </c>
      <c r="D19" s="72">
        <v>2530.3029999999999</v>
      </c>
      <c r="E19" s="72">
        <v>2141.3029999999999</v>
      </c>
      <c r="F19" s="72">
        <v>450</v>
      </c>
      <c r="G19" s="72">
        <v>1378.7879</v>
      </c>
      <c r="H19" s="72">
        <v>928.78790000000004</v>
      </c>
      <c r="I19" s="72">
        <v>5999</v>
      </c>
      <c r="J19" s="72">
        <v>30303.030299999999</v>
      </c>
      <c r="K19" s="72">
        <v>24304.030299999999</v>
      </c>
      <c r="L19" s="72">
        <v>0</v>
      </c>
      <c r="M19" s="72">
        <v>3199</v>
      </c>
      <c r="N19" s="72">
        <v>3863.6363999999999</v>
      </c>
      <c r="O19" s="72">
        <v>664.63639999999998</v>
      </c>
      <c r="P19" s="72">
        <v>0</v>
      </c>
      <c r="Q19" s="72">
        <v>0</v>
      </c>
      <c r="R19" s="72">
        <v>1500</v>
      </c>
      <c r="S19" s="72">
        <v>1500</v>
      </c>
      <c r="T19" s="72">
        <v>0</v>
      </c>
      <c r="U19" s="72">
        <v>227.27269999999999</v>
      </c>
      <c r="V19" s="72">
        <v>227.27269999999999</v>
      </c>
      <c r="W19" s="72">
        <v>0</v>
      </c>
      <c r="X19" s="72">
        <v>151.51519999999999</v>
      </c>
      <c r="Y19" s="72">
        <v>151.51519999999999</v>
      </c>
    </row>
    <row r="20" spans="1:25" x14ac:dyDescent="0.3">
      <c r="A20" t="s">
        <v>96</v>
      </c>
      <c r="B20" t="s">
        <v>39</v>
      </c>
      <c r="C20" s="72">
        <v>45</v>
      </c>
      <c r="D20" s="72">
        <v>2530.3029999999999</v>
      </c>
      <c r="E20" s="72">
        <v>2485.3029999999999</v>
      </c>
      <c r="F20" s="72">
        <v>195</v>
      </c>
      <c r="G20" s="72">
        <v>1378.7879</v>
      </c>
      <c r="H20" s="72">
        <v>1183.7879</v>
      </c>
      <c r="I20" s="72">
        <v>1849</v>
      </c>
      <c r="J20" s="72">
        <v>30303.030299999999</v>
      </c>
      <c r="K20" s="72">
        <v>28454.030299999999</v>
      </c>
      <c r="L20" s="72">
        <v>0</v>
      </c>
      <c r="M20" s="72">
        <v>349</v>
      </c>
      <c r="N20" s="72">
        <v>3863.6363999999999</v>
      </c>
      <c r="O20" s="72">
        <v>3514.6363999999999</v>
      </c>
      <c r="P20" s="72">
        <v>69</v>
      </c>
      <c r="Q20" s="72">
        <v>79</v>
      </c>
      <c r="R20" s="72">
        <v>1500</v>
      </c>
      <c r="S20" s="72">
        <v>1352</v>
      </c>
      <c r="T20" s="72">
        <v>16.899999999999999</v>
      </c>
      <c r="U20" s="72">
        <v>227.27269999999999</v>
      </c>
      <c r="V20" s="72">
        <v>210.37270000000001</v>
      </c>
      <c r="W20" s="72">
        <v>30.8</v>
      </c>
      <c r="X20" s="72">
        <v>151.51519999999999</v>
      </c>
      <c r="Y20" s="72">
        <v>120.7152</v>
      </c>
    </row>
    <row r="21" spans="1:25" x14ac:dyDescent="0.3">
      <c r="A21" t="s">
        <v>97</v>
      </c>
      <c r="B21" t="s">
        <v>39</v>
      </c>
      <c r="C21" s="72">
        <v>0</v>
      </c>
      <c r="D21" s="72">
        <v>2530.3029999999999</v>
      </c>
      <c r="E21" s="72">
        <v>2530.3029999999999</v>
      </c>
      <c r="F21" s="72">
        <v>0</v>
      </c>
      <c r="G21" s="72">
        <v>1378.7879</v>
      </c>
      <c r="H21" s="72">
        <v>1378.7879</v>
      </c>
      <c r="I21" s="72">
        <v>0</v>
      </c>
      <c r="J21" s="72">
        <v>30303.030299999999</v>
      </c>
      <c r="K21" s="72">
        <v>30303.030299999999</v>
      </c>
      <c r="L21" s="72">
        <v>0</v>
      </c>
      <c r="M21" s="72">
        <v>0</v>
      </c>
      <c r="N21" s="72">
        <v>3863.6363999999999</v>
      </c>
      <c r="O21" s="72">
        <v>3863.6363999999999</v>
      </c>
      <c r="P21" s="72">
        <v>0</v>
      </c>
      <c r="Q21" s="72">
        <v>0</v>
      </c>
      <c r="R21" s="72">
        <v>1500</v>
      </c>
      <c r="S21" s="72">
        <v>1500</v>
      </c>
      <c r="T21" s="72">
        <v>0</v>
      </c>
      <c r="U21" s="72">
        <v>227.27269999999999</v>
      </c>
      <c r="V21" s="72">
        <v>227.27269999999999</v>
      </c>
      <c r="W21" s="72">
        <v>0</v>
      </c>
      <c r="X21" s="72">
        <v>151.51519999999999</v>
      </c>
      <c r="Y21" s="72">
        <v>151.51519999999999</v>
      </c>
    </row>
    <row r="22" spans="1:25" x14ac:dyDescent="0.3">
      <c r="A22" t="s">
        <v>98</v>
      </c>
      <c r="B22" t="s">
        <v>39</v>
      </c>
      <c r="C22" s="72">
        <v>0</v>
      </c>
      <c r="D22" s="72">
        <v>1518.1818000000001</v>
      </c>
      <c r="E22" s="72">
        <v>1518.1818000000001</v>
      </c>
      <c r="F22" s="72">
        <v>85</v>
      </c>
      <c r="G22" s="72">
        <v>827.27269999999999</v>
      </c>
      <c r="H22" s="72">
        <v>742.27269999999999</v>
      </c>
      <c r="I22" s="72">
        <v>749</v>
      </c>
      <c r="J22" s="72">
        <v>18181.818200000002</v>
      </c>
      <c r="K22" s="72">
        <v>17432.818200000002</v>
      </c>
      <c r="L22" s="72">
        <v>0</v>
      </c>
      <c r="M22" s="72">
        <v>259</v>
      </c>
      <c r="N22" s="72">
        <v>2318.1817999999998</v>
      </c>
      <c r="O22" s="72">
        <v>2059.1817999999998</v>
      </c>
      <c r="P22" s="72">
        <v>69</v>
      </c>
      <c r="Q22" s="72">
        <v>278</v>
      </c>
      <c r="R22" s="72">
        <v>900</v>
      </c>
      <c r="S22" s="72">
        <v>553</v>
      </c>
      <c r="T22" s="72">
        <v>0</v>
      </c>
      <c r="U22" s="72">
        <v>136.36359999999999</v>
      </c>
      <c r="V22" s="72">
        <v>136.36359999999999</v>
      </c>
      <c r="W22" s="72">
        <v>71.8</v>
      </c>
      <c r="X22" s="72">
        <v>90.909099999999995</v>
      </c>
      <c r="Y22" s="72">
        <v>19.109100000000002</v>
      </c>
    </row>
    <row r="23" spans="1:25" x14ac:dyDescent="0.3">
      <c r="A23" t="s">
        <v>99</v>
      </c>
      <c r="B23" t="s">
        <v>39</v>
      </c>
      <c r="C23" s="72">
        <v>0</v>
      </c>
      <c r="D23" s="72">
        <v>2530.3029999999999</v>
      </c>
      <c r="E23" s="72">
        <v>2530.3029999999999</v>
      </c>
      <c r="F23" s="72">
        <v>0</v>
      </c>
      <c r="G23" s="72">
        <v>1378.7879</v>
      </c>
      <c r="H23" s="72">
        <v>1378.7879</v>
      </c>
      <c r="I23" s="72">
        <v>1349</v>
      </c>
      <c r="J23" s="72">
        <v>30303.030299999999</v>
      </c>
      <c r="K23" s="72">
        <v>28954.030299999999</v>
      </c>
      <c r="L23" s="72">
        <v>0</v>
      </c>
      <c r="M23" s="72">
        <v>99</v>
      </c>
      <c r="N23" s="72">
        <v>3863.6363999999999</v>
      </c>
      <c r="O23" s="72">
        <v>3764.6363999999999</v>
      </c>
      <c r="P23" s="72">
        <v>69</v>
      </c>
      <c r="Q23" s="72">
        <v>65.7</v>
      </c>
      <c r="R23" s="72">
        <v>1500</v>
      </c>
      <c r="S23" s="72">
        <v>1365.3</v>
      </c>
      <c r="T23" s="72">
        <v>33.799999999999997</v>
      </c>
      <c r="U23" s="72">
        <v>227.27269999999999</v>
      </c>
      <c r="V23" s="72">
        <v>193.4727</v>
      </c>
      <c r="W23" s="72">
        <v>112.6</v>
      </c>
      <c r="X23" s="72">
        <v>151.51519999999999</v>
      </c>
      <c r="Y23" s="72">
        <v>38.915199999999999</v>
      </c>
    </row>
    <row r="24" spans="1:25" x14ac:dyDescent="0.3">
      <c r="A24" t="s">
        <v>100</v>
      </c>
      <c r="B24" t="s">
        <v>39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x14ac:dyDescent="0.3">
      <c r="A25" t="s">
        <v>101</v>
      </c>
      <c r="B25" t="s">
        <v>39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x14ac:dyDescent="0.3">
      <c r="A26" t="s">
        <v>102</v>
      </c>
      <c r="B26" t="s">
        <v>30</v>
      </c>
      <c r="C26" s="72">
        <v>194</v>
      </c>
      <c r="D26" s="72">
        <v>2781.25</v>
      </c>
      <c r="E26" s="72">
        <v>2587.25</v>
      </c>
      <c r="F26" s="72">
        <v>0</v>
      </c>
      <c r="G26" s="72">
        <v>0</v>
      </c>
      <c r="H26" s="72">
        <v>0</v>
      </c>
      <c r="I26" s="72">
        <v>10296</v>
      </c>
      <c r="J26" s="72">
        <v>43125</v>
      </c>
      <c r="K26" s="72">
        <v>32829</v>
      </c>
      <c r="L26" s="72">
        <v>0</v>
      </c>
      <c r="M26" s="72">
        <v>1799</v>
      </c>
      <c r="N26" s="72">
        <v>6500</v>
      </c>
      <c r="O26" s="72">
        <v>4701</v>
      </c>
      <c r="P26" s="72">
        <v>178</v>
      </c>
      <c r="Q26" s="72">
        <v>695</v>
      </c>
      <c r="R26" s="72">
        <v>3375</v>
      </c>
      <c r="S26" s="72">
        <v>2502</v>
      </c>
      <c r="T26" s="72">
        <v>33.799999999999997</v>
      </c>
      <c r="U26" s="72">
        <v>343.75</v>
      </c>
      <c r="V26" s="72">
        <v>309.95</v>
      </c>
      <c r="W26" s="72">
        <v>9.99</v>
      </c>
      <c r="X26" s="72">
        <v>281.25</v>
      </c>
      <c r="Y26" s="72">
        <v>271.26</v>
      </c>
    </row>
    <row r="27" spans="1:25" x14ac:dyDescent="0.3">
      <c r="A27" t="s">
        <v>103</v>
      </c>
      <c r="B27" t="s">
        <v>30</v>
      </c>
      <c r="C27" s="72">
        <v>134</v>
      </c>
      <c r="D27" s="72">
        <v>1668.75</v>
      </c>
      <c r="E27" s="72">
        <v>1534.75</v>
      </c>
      <c r="F27" s="72">
        <v>0</v>
      </c>
      <c r="G27" s="72">
        <v>0</v>
      </c>
      <c r="H27" s="72">
        <v>0</v>
      </c>
      <c r="I27" s="72">
        <v>6328</v>
      </c>
      <c r="J27" s="72">
        <v>25875</v>
      </c>
      <c r="K27" s="72">
        <v>19547</v>
      </c>
      <c r="L27" s="72">
        <v>0</v>
      </c>
      <c r="M27" s="72">
        <v>0</v>
      </c>
      <c r="N27" s="72">
        <v>3900</v>
      </c>
      <c r="O27" s="72">
        <v>3900</v>
      </c>
      <c r="P27" s="72">
        <v>297</v>
      </c>
      <c r="Q27" s="72">
        <v>298</v>
      </c>
      <c r="R27" s="72">
        <v>2025</v>
      </c>
      <c r="S27" s="72">
        <v>1430</v>
      </c>
      <c r="T27" s="72">
        <v>16.899999999999999</v>
      </c>
      <c r="U27" s="72">
        <v>206.25</v>
      </c>
      <c r="V27" s="72">
        <v>189.35</v>
      </c>
      <c r="W27" s="72">
        <v>20.9</v>
      </c>
      <c r="X27" s="72">
        <v>168.75</v>
      </c>
      <c r="Y27" s="72">
        <v>147.85</v>
      </c>
    </row>
    <row r="28" spans="1:25" x14ac:dyDescent="0.3">
      <c r="A28" t="s">
        <v>104</v>
      </c>
      <c r="B28" t="s">
        <v>30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x14ac:dyDescent="0.3">
      <c r="A29" t="s">
        <v>105</v>
      </c>
      <c r="B29" t="s">
        <v>43</v>
      </c>
      <c r="C29" s="72">
        <v>203</v>
      </c>
      <c r="D29" s="72">
        <v>2100</v>
      </c>
      <c r="E29" s="72">
        <v>1897</v>
      </c>
      <c r="F29" s="72">
        <v>0</v>
      </c>
      <c r="G29" s="72">
        <v>983.33330000000001</v>
      </c>
      <c r="H29" s="72">
        <v>983.33330000000001</v>
      </c>
      <c r="I29" s="72">
        <v>1299</v>
      </c>
      <c r="J29" s="72">
        <v>30000</v>
      </c>
      <c r="K29" s="72">
        <v>28701</v>
      </c>
      <c r="L29" s="72">
        <v>0</v>
      </c>
      <c r="M29" s="72">
        <v>0</v>
      </c>
      <c r="N29" s="72">
        <v>3333.3332999999998</v>
      </c>
      <c r="O29" s="72">
        <v>3333.3332999999998</v>
      </c>
      <c r="P29" s="72">
        <v>0</v>
      </c>
      <c r="Q29" s="72">
        <v>0</v>
      </c>
      <c r="R29" s="72">
        <v>2200</v>
      </c>
      <c r="S29" s="72">
        <v>2200</v>
      </c>
      <c r="T29" s="72">
        <v>0</v>
      </c>
      <c r="U29" s="72">
        <v>200</v>
      </c>
      <c r="V29" s="72">
        <v>200</v>
      </c>
      <c r="W29" s="72">
        <v>92.77</v>
      </c>
      <c r="X29" s="72">
        <v>230</v>
      </c>
      <c r="Y29" s="72">
        <v>137.22999999999999</v>
      </c>
    </row>
    <row r="30" spans="1:25" x14ac:dyDescent="0.3">
      <c r="A30" t="s">
        <v>106</v>
      </c>
      <c r="B30" t="s">
        <v>43</v>
      </c>
      <c r="C30" s="72">
        <v>127</v>
      </c>
      <c r="D30" s="72">
        <v>2100</v>
      </c>
      <c r="E30" s="72">
        <v>1973</v>
      </c>
      <c r="F30" s="72">
        <v>110</v>
      </c>
      <c r="G30" s="72">
        <v>983.33330000000001</v>
      </c>
      <c r="H30" s="72">
        <v>873.33330000000001</v>
      </c>
      <c r="I30" s="72">
        <v>11847</v>
      </c>
      <c r="J30" s="72">
        <v>30000</v>
      </c>
      <c r="K30" s="72">
        <v>18153</v>
      </c>
      <c r="L30" s="72">
        <v>0</v>
      </c>
      <c r="M30" s="72">
        <v>229</v>
      </c>
      <c r="N30" s="72">
        <v>3333.3332999999998</v>
      </c>
      <c r="O30" s="72">
        <v>3104.3332999999998</v>
      </c>
      <c r="P30" s="72">
        <v>138</v>
      </c>
      <c r="Q30" s="72">
        <v>497</v>
      </c>
      <c r="R30" s="72">
        <v>2200</v>
      </c>
      <c r="S30" s="72">
        <v>1565</v>
      </c>
      <c r="T30" s="72">
        <v>0</v>
      </c>
      <c r="U30" s="72">
        <v>200</v>
      </c>
      <c r="V30" s="72">
        <v>200</v>
      </c>
      <c r="W30" s="72">
        <v>24.99</v>
      </c>
      <c r="X30" s="72">
        <v>230</v>
      </c>
      <c r="Y30" s="72">
        <v>205.01</v>
      </c>
    </row>
    <row r="31" spans="1:25" x14ac:dyDescent="0.3">
      <c r="A31" t="s">
        <v>107</v>
      </c>
      <c r="B31" t="s">
        <v>43</v>
      </c>
      <c r="C31" s="72">
        <v>206</v>
      </c>
      <c r="D31" s="72">
        <v>2100</v>
      </c>
      <c r="E31" s="72">
        <v>1894</v>
      </c>
      <c r="F31" s="72">
        <v>280</v>
      </c>
      <c r="G31" s="72">
        <v>983.33330000000001</v>
      </c>
      <c r="H31" s="72">
        <v>703.33330000000001</v>
      </c>
      <c r="I31" s="72">
        <v>4948</v>
      </c>
      <c r="J31" s="72">
        <v>30000</v>
      </c>
      <c r="K31" s="72">
        <v>25052</v>
      </c>
      <c r="L31" s="72">
        <v>0</v>
      </c>
      <c r="M31" s="72">
        <v>189</v>
      </c>
      <c r="N31" s="72">
        <v>3333.3332999999998</v>
      </c>
      <c r="O31" s="72">
        <v>3144.3332999999998</v>
      </c>
      <c r="P31" s="72">
        <v>119</v>
      </c>
      <c r="Q31" s="72">
        <v>418</v>
      </c>
      <c r="R31" s="72">
        <v>2200</v>
      </c>
      <c r="S31" s="72">
        <v>1663</v>
      </c>
      <c r="T31" s="72">
        <v>33.799999999999997</v>
      </c>
      <c r="U31" s="72">
        <v>200</v>
      </c>
      <c r="V31" s="72">
        <v>166.2</v>
      </c>
      <c r="W31" s="72">
        <v>141.69999999999999</v>
      </c>
      <c r="X31" s="72">
        <v>230</v>
      </c>
      <c r="Y31" s="72">
        <v>88.3</v>
      </c>
    </row>
    <row r="32" spans="1:25" x14ac:dyDescent="0.3">
      <c r="A32" t="s">
        <v>108</v>
      </c>
      <c r="B32" t="s">
        <v>43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x14ac:dyDescent="0.3">
      <c r="A33" t="s">
        <v>109</v>
      </c>
      <c r="B33" t="s">
        <v>44</v>
      </c>
      <c r="C33" s="72">
        <v>228</v>
      </c>
      <c r="D33" s="72">
        <v>3375</v>
      </c>
      <c r="E33" s="72">
        <v>3147</v>
      </c>
      <c r="F33" s="72">
        <v>305</v>
      </c>
      <c r="G33" s="72">
        <v>1218.75</v>
      </c>
      <c r="H33" s="72">
        <v>913.75</v>
      </c>
      <c r="I33" s="72">
        <v>759.05</v>
      </c>
      <c r="J33" s="72">
        <v>34375</v>
      </c>
      <c r="K33" s="72">
        <v>33615.949999999997</v>
      </c>
      <c r="L33" s="72">
        <v>0</v>
      </c>
      <c r="M33" s="72">
        <v>0</v>
      </c>
      <c r="N33" s="72">
        <v>4687.5</v>
      </c>
      <c r="O33" s="72">
        <v>4687.5</v>
      </c>
      <c r="P33" s="72">
        <v>234.65</v>
      </c>
      <c r="Q33" s="72">
        <v>75.05</v>
      </c>
      <c r="R33" s="72">
        <v>2656.25</v>
      </c>
      <c r="S33" s="72">
        <v>2346.5500000000002</v>
      </c>
      <c r="T33" s="72">
        <v>86.8</v>
      </c>
      <c r="U33" s="72">
        <v>278.125</v>
      </c>
      <c r="V33" s="72">
        <v>191.32499999999999</v>
      </c>
      <c r="W33" s="72">
        <v>20.9</v>
      </c>
      <c r="X33" s="72">
        <v>281.25</v>
      </c>
      <c r="Y33" s="72">
        <v>260.35000000000002</v>
      </c>
    </row>
    <row r="34" spans="1:25" x14ac:dyDescent="0.3">
      <c r="A34" t="s">
        <v>110</v>
      </c>
      <c r="B34" t="s">
        <v>44</v>
      </c>
      <c r="C34" s="72">
        <v>124</v>
      </c>
      <c r="D34" s="72">
        <v>2025</v>
      </c>
      <c r="E34" s="72">
        <v>1901</v>
      </c>
      <c r="F34" s="72">
        <v>95</v>
      </c>
      <c r="G34" s="72">
        <v>731.25</v>
      </c>
      <c r="H34" s="72">
        <v>636.25</v>
      </c>
      <c r="I34" s="72">
        <v>0</v>
      </c>
      <c r="J34" s="72">
        <v>20625</v>
      </c>
      <c r="K34" s="72">
        <v>20625</v>
      </c>
      <c r="L34" s="72">
        <v>0</v>
      </c>
      <c r="M34" s="72">
        <v>0</v>
      </c>
      <c r="N34" s="72">
        <v>2812.5</v>
      </c>
      <c r="O34" s="72">
        <v>2812.5</v>
      </c>
      <c r="P34" s="72">
        <v>0</v>
      </c>
      <c r="Q34" s="72">
        <v>0</v>
      </c>
      <c r="R34" s="72">
        <v>1593.75</v>
      </c>
      <c r="S34" s="72">
        <v>1593.75</v>
      </c>
      <c r="T34" s="72">
        <v>68.7</v>
      </c>
      <c r="U34" s="72">
        <v>166.875</v>
      </c>
      <c r="V34" s="72">
        <v>98.174999999999997</v>
      </c>
      <c r="W34" s="72">
        <v>40.89</v>
      </c>
      <c r="X34" s="72">
        <v>168.75</v>
      </c>
      <c r="Y34" s="72">
        <v>127.86</v>
      </c>
    </row>
    <row r="35" spans="1:25" x14ac:dyDescent="0.3">
      <c r="A35" t="s">
        <v>111</v>
      </c>
      <c r="B35" t="s">
        <v>44</v>
      </c>
      <c r="C35" s="72">
        <v>317.01</v>
      </c>
      <c r="D35" s="72">
        <v>2025</v>
      </c>
      <c r="E35" s="72">
        <v>1707.99</v>
      </c>
      <c r="F35" s="72">
        <v>20.010000000000002</v>
      </c>
      <c r="G35" s="72">
        <v>731.25</v>
      </c>
      <c r="H35" s="72">
        <v>711.24</v>
      </c>
      <c r="I35" s="72">
        <v>9097</v>
      </c>
      <c r="J35" s="72">
        <v>20625</v>
      </c>
      <c r="K35" s="72">
        <v>11528</v>
      </c>
      <c r="L35" s="72">
        <v>0</v>
      </c>
      <c r="M35" s="72">
        <v>2099</v>
      </c>
      <c r="N35" s="72">
        <v>2812.5</v>
      </c>
      <c r="O35" s="72">
        <v>713.5</v>
      </c>
      <c r="P35" s="72">
        <v>268.3</v>
      </c>
      <c r="Q35" s="72">
        <v>337</v>
      </c>
      <c r="R35" s="72">
        <v>1593.75</v>
      </c>
      <c r="S35" s="72">
        <v>988.45</v>
      </c>
      <c r="T35" s="72">
        <v>0</v>
      </c>
      <c r="U35" s="72">
        <v>166.875</v>
      </c>
      <c r="V35" s="72">
        <v>166.875</v>
      </c>
      <c r="W35" s="72">
        <v>0</v>
      </c>
      <c r="X35" s="72">
        <v>168.75</v>
      </c>
      <c r="Y35" s="72">
        <v>168.75</v>
      </c>
    </row>
    <row r="36" spans="1:25" x14ac:dyDescent="0.3">
      <c r="A36" t="s">
        <v>112</v>
      </c>
      <c r="B36" t="s">
        <v>44</v>
      </c>
      <c r="C36" s="72">
        <v>313</v>
      </c>
      <c r="D36" s="72">
        <v>3375</v>
      </c>
      <c r="E36" s="72">
        <v>3062</v>
      </c>
      <c r="F36" s="72">
        <v>120</v>
      </c>
      <c r="G36" s="72">
        <v>1218.75</v>
      </c>
      <c r="H36" s="72">
        <v>1098.75</v>
      </c>
      <c r="I36" s="72">
        <v>1299</v>
      </c>
      <c r="J36" s="72">
        <v>34375</v>
      </c>
      <c r="K36" s="72">
        <v>33076</v>
      </c>
      <c r="L36" s="72">
        <v>0</v>
      </c>
      <c r="M36" s="72">
        <v>999</v>
      </c>
      <c r="N36" s="72">
        <v>4687.5</v>
      </c>
      <c r="O36" s="72">
        <v>3688.5</v>
      </c>
      <c r="P36" s="72">
        <v>89</v>
      </c>
      <c r="Q36" s="72">
        <v>238.6</v>
      </c>
      <c r="R36" s="72">
        <v>2656.25</v>
      </c>
      <c r="S36" s="72">
        <v>2328.65</v>
      </c>
      <c r="T36" s="72">
        <v>0</v>
      </c>
      <c r="U36" s="72">
        <v>278.125</v>
      </c>
      <c r="V36" s="72">
        <v>278.125</v>
      </c>
      <c r="W36" s="72">
        <v>80.8</v>
      </c>
      <c r="X36" s="72">
        <v>281.25</v>
      </c>
      <c r="Y36" s="72">
        <v>200.45</v>
      </c>
    </row>
    <row r="37" spans="1:25" x14ac:dyDescent="0.3">
      <c r="A37" t="s">
        <v>113</v>
      </c>
      <c r="B37" t="s">
        <v>44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</row>
    <row r="38" spans="1:25" x14ac:dyDescent="0.3">
      <c r="A38" t="s">
        <v>114</v>
      </c>
      <c r="B38" t="s">
        <v>40</v>
      </c>
      <c r="C38" s="72">
        <v>0</v>
      </c>
      <c r="D38" s="72">
        <v>1607.1429000000001</v>
      </c>
      <c r="E38" s="72">
        <v>1607.1429000000001</v>
      </c>
      <c r="F38" s="72">
        <v>230</v>
      </c>
      <c r="G38" s="72">
        <v>1053.5714</v>
      </c>
      <c r="H38" s="72">
        <v>823.57140000000004</v>
      </c>
      <c r="I38" s="72">
        <v>1549</v>
      </c>
      <c r="J38" s="72">
        <v>30357.142899999999</v>
      </c>
      <c r="K38" s="72">
        <v>28808.142899999999</v>
      </c>
      <c r="L38" s="72">
        <v>0</v>
      </c>
      <c r="M38" s="72">
        <v>199</v>
      </c>
      <c r="N38" s="72">
        <v>2107.1428999999998</v>
      </c>
      <c r="O38" s="72">
        <v>1908.1429000000001</v>
      </c>
      <c r="P38" s="72">
        <v>178</v>
      </c>
      <c r="Q38" s="72">
        <v>467</v>
      </c>
      <c r="R38" s="72">
        <v>2107.1428999999998</v>
      </c>
      <c r="S38" s="72">
        <v>1462.1429000000001</v>
      </c>
      <c r="T38" s="72">
        <v>0</v>
      </c>
      <c r="U38" s="72">
        <v>142.8571</v>
      </c>
      <c r="V38" s="72">
        <v>142.8571</v>
      </c>
      <c r="W38" s="72">
        <v>0</v>
      </c>
      <c r="X38" s="72">
        <v>178.57140000000001</v>
      </c>
      <c r="Y38" s="72">
        <v>178.57140000000001</v>
      </c>
    </row>
    <row r="39" spans="1:25" x14ac:dyDescent="0.3">
      <c r="A39" t="s">
        <v>115</v>
      </c>
      <c r="B39" t="s">
        <v>40</v>
      </c>
      <c r="C39" s="72">
        <v>88</v>
      </c>
      <c r="D39" s="72">
        <v>1285.7143000000001</v>
      </c>
      <c r="E39" s="72">
        <v>1197.7143000000001</v>
      </c>
      <c r="F39" s="72">
        <v>100</v>
      </c>
      <c r="G39" s="72">
        <v>842.85709999999995</v>
      </c>
      <c r="H39" s="72">
        <v>742.85709999999995</v>
      </c>
      <c r="I39" s="72">
        <v>1999</v>
      </c>
      <c r="J39" s="72">
        <v>24285.7143</v>
      </c>
      <c r="K39" s="72">
        <v>22286.7143</v>
      </c>
      <c r="L39" s="72">
        <v>0</v>
      </c>
      <c r="M39" s="72">
        <v>648</v>
      </c>
      <c r="N39" s="72">
        <v>1685.7143000000001</v>
      </c>
      <c r="O39" s="72">
        <v>1037.7143000000001</v>
      </c>
      <c r="P39" s="72">
        <v>89</v>
      </c>
      <c r="Q39" s="72">
        <v>139</v>
      </c>
      <c r="R39" s="72">
        <v>1685.7143000000001</v>
      </c>
      <c r="S39" s="72">
        <v>1457.7143000000001</v>
      </c>
      <c r="T39" s="72">
        <v>16.899999999999999</v>
      </c>
      <c r="U39" s="72">
        <v>114.28570000000001</v>
      </c>
      <c r="V39" s="72">
        <v>97.3857</v>
      </c>
      <c r="W39" s="72">
        <v>0</v>
      </c>
      <c r="X39" s="72">
        <v>142.8571</v>
      </c>
      <c r="Y39" s="72">
        <v>142.8571</v>
      </c>
    </row>
    <row r="40" spans="1:25" x14ac:dyDescent="0.3">
      <c r="A40" t="s">
        <v>116</v>
      </c>
      <c r="B40" t="s">
        <v>40</v>
      </c>
      <c r="C40" s="72">
        <v>0</v>
      </c>
      <c r="D40" s="72">
        <v>1607.1429000000001</v>
      </c>
      <c r="E40" s="72">
        <v>1607.1429000000001</v>
      </c>
      <c r="F40" s="72">
        <v>0</v>
      </c>
      <c r="G40" s="72">
        <v>1053.5714</v>
      </c>
      <c r="H40" s="72">
        <v>1053.5714</v>
      </c>
      <c r="I40" s="72">
        <v>0</v>
      </c>
      <c r="J40" s="72">
        <v>30357.142899999999</v>
      </c>
      <c r="K40" s="72">
        <v>30357.142899999999</v>
      </c>
      <c r="L40" s="72">
        <v>0</v>
      </c>
      <c r="M40" s="72">
        <v>0</v>
      </c>
      <c r="N40" s="72">
        <v>2107.1428999999998</v>
      </c>
      <c r="O40" s="72">
        <v>2107.1428999999998</v>
      </c>
      <c r="P40" s="72">
        <v>0</v>
      </c>
      <c r="Q40" s="72">
        <v>0</v>
      </c>
      <c r="R40" s="72">
        <v>2107.1428999999998</v>
      </c>
      <c r="S40" s="72">
        <v>2107.1428999999998</v>
      </c>
      <c r="T40" s="72">
        <v>0</v>
      </c>
      <c r="U40" s="72">
        <v>142.8571</v>
      </c>
      <c r="V40" s="72">
        <v>142.8571</v>
      </c>
      <c r="W40" s="72">
        <v>0</v>
      </c>
      <c r="X40" s="72">
        <v>178.57140000000001</v>
      </c>
      <c r="Y40" s="72">
        <v>178.57140000000001</v>
      </c>
    </row>
    <row r="41" spans="1:25" x14ac:dyDescent="0.3">
      <c r="A41" t="s">
        <v>117</v>
      </c>
      <c r="B41" t="s">
        <v>40</v>
      </c>
      <c r="C41" s="72">
        <v>227.75</v>
      </c>
      <c r="D41" s="72">
        <v>0</v>
      </c>
      <c r="E41" s="72">
        <v>-227.75</v>
      </c>
      <c r="F41" s="72">
        <v>200</v>
      </c>
      <c r="G41" s="72">
        <v>0</v>
      </c>
      <c r="H41" s="72">
        <v>-200</v>
      </c>
      <c r="I41" s="72">
        <v>2399</v>
      </c>
      <c r="J41" s="72">
        <v>0</v>
      </c>
      <c r="K41" s="72">
        <v>-2399</v>
      </c>
      <c r="L41" s="72">
        <v>0</v>
      </c>
      <c r="M41" s="72">
        <v>999</v>
      </c>
      <c r="N41" s="72">
        <v>0</v>
      </c>
      <c r="O41" s="72">
        <v>-999</v>
      </c>
      <c r="P41" s="72">
        <v>89</v>
      </c>
      <c r="Q41" s="72">
        <v>129</v>
      </c>
      <c r="R41" s="72">
        <v>0</v>
      </c>
      <c r="S41" s="72">
        <v>-218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</row>
    <row r="42" spans="1:25" x14ac:dyDescent="0.3">
      <c r="A42" t="s">
        <v>118</v>
      </c>
      <c r="B42" t="s">
        <v>46</v>
      </c>
      <c r="C42" s="72">
        <v>132</v>
      </c>
      <c r="D42" s="72">
        <v>2109.0909000000001</v>
      </c>
      <c r="E42" s="72">
        <v>1977.0908999999999</v>
      </c>
      <c r="F42" s="72">
        <v>200</v>
      </c>
      <c r="G42" s="72">
        <v>909.09090000000003</v>
      </c>
      <c r="H42" s="72">
        <v>709.09090000000003</v>
      </c>
      <c r="I42" s="72">
        <v>1399</v>
      </c>
      <c r="J42" s="72">
        <v>23636.363600000001</v>
      </c>
      <c r="K42" s="72">
        <v>22237.363600000001</v>
      </c>
      <c r="L42" s="72">
        <v>0</v>
      </c>
      <c r="M42" s="72">
        <v>0</v>
      </c>
      <c r="N42" s="72">
        <v>2527.2727</v>
      </c>
      <c r="O42" s="72">
        <v>2527.2727</v>
      </c>
      <c r="P42" s="72">
        <v>69</v>
      </c>
      <c r="Q42" s="72">
        <v>99</v>
      </c>
      <c r="R42" s="72">
        <v>1290.9091000000001</v>
      </c>
      <c r="S42" s="72">
        <v>1122.9091000000001</v>
      </c>
      <c r="T42" s="72">
        <v>0</v>
      </c>
      <c r="U42" s="72">
        <v>123.63639999999999</v>
      </c>
      <c r="V42" s="72">
        <v>123.63639999999999</v>
      </c>
      <c r="W42" s="72">
        <v>0</v>
      </c>
      <c r="X42" s="72">
        <v>145.4545</v>
      </c>
      <c r="Y42" s="72">
        <v>145.4545</v>
      </c>
    </row>
    <row r="43" spans="1:25" x14ac:dyDescent="0.3">
      <c r="A43" t="s">
        <v>119</v>
      </c>
      <c r="B43" t="s">
        <v>46</v>
      </c>
      <c r="C43" s="72">
        <v>255.98</v>
      </c>
      <c r="D43" s="72">
        <v>2636.3636000000001</v>
      </c>
      <c r="E43" s="72">
        <v>2380.3836000000001</v>
      </c>
      <c r="F43" s="72">
        <v>110</v>
      </c>
      <c r="G43" s="72">
        <v>1136.3635999999999</v>
      </c>
      <c r="H43" s="72">
        <v>1026.3635999999999</v>
      </c>
      <c r="I43" s="72">
        <v>0</v>
      </c>
      <c r="J43" s="72">
        <v>29545.4545</v>
      </c>
      <c r="K43" s="72">
        <v>29545.4545</v>
      </c>
      <c r="L43" s="72">
        <v>0</v>
      </c>
      <c r="M43" s="72">
        <v>0</v>
      </c>
      <c r="N43" s="72">
        <v>3159.0909000000001</v>
      </c>
      <c r="O43" s="72">
        <v>3159.0909000000001</v>
      </c>
      <c r="P43" s="72">
        <v>0</v>
      </c>
      <c r="Q43" s="72">
        <v>0</v>
      </c>
      <c r="R43" s="72">
        <v>1613.6364000000001</v>
      </c>
      <c r="S43" s="72">
        <v>1613.6364000000001</v>
      </c>
      <c r="T43" s="72">
        <v>0</v>
      </c>
      <c r="U43" s="72">
        <v>154.5455</v>
      </c>
      <c r="V43" s="72">
        <v>154.5455</v>
      </c>
      <c r="W43" s="72">
        <v>0</v>
      </c>
      <c r="X43" s="72">
        <v>181.81819999999999</v>
      </c>
      <c r="Y43" s="72">
        <v>181.81819999999999</v>
      </c>
    </row>
    <row r="44" spans="1:25" x14ac:dyDescent="0.3">
      <c r="A44" t="s">
        <v>120</v>
      </c>
      <c r="B44" t="s">
        <v>46</v>
      </c>
      <c r="C44" s="72">
        <v>302</v>
      </c>
      <c r="D44" s="72">
        <v>2636.3636000000001</v>
      </c>
      <c r="E44" s="72">
        <v>2334.3636000000001</v>
      </c>
      <c r="F44" s="72">
        <v>215</v>
      </c>
      <c r="G44" s="72">
        <v>1136.3635999999999</v>
      </c>
      <c r="H44" s="72">
        <v>921.36360000000002</v>
      </c>
      <c r="I44" s="72">
        <v>15296</v>
      </c>
      <c r="J44" s="72">
        <v>29545.4545</v>
      </c>
      <c r="K44" s="72">
        <v>14249.4545</v>
      </c>
      <c r="L44" s="72">
        <v>0</v>
      </c>
      <c r="M44" s="72">
        <v>0</v>
      </c>
      <c r="N44" s="72">
        <v>3159.0909000000001</v>
      </c>
      <c r="O44" s="72">
        <v>3159.0909000000001</v>
      </c>
      <c r="P44" s="72">
        <v>207</v>
      </c>
      <c r="Q44" s="72">
        <v>348</v>
      </c>
      <c r="R44" s="72">
        <v>1613.6364000000001</v>
      </c>
      <c r="S44" s="72">
        <v>1058.6364000000001</v>
      </c>
      <c r="T44" s="72">
        <v>0</v>
      </c>
      <c r="U44" s="72">
        <v>154.5455</v>
      </c>
      <c r="V44" s="72">
        <v>154.5455</v>
      </c>
      <c r="W44" s="72">
        <v>39.9</v>
      </c>
      <c r="X44" s="72">
        <v>181.81819999999999</v>
      </c>
      <c r="Y44" s="72">
        <v>141.91820000000001</v>
      </c>
    </row>
    <row r="45" spans="1:25" x14ac:dyDescent="0.3">
      <c r="A45" t="s">
        <v>121</v>
      </c>
      <c r="B45" t="s">
        <v>46</v>
      </c>
      <c r="C45" s="72">
        <v>0</v>
      </c>
      <c r="D45" s="72">
        <v>2109.0909000000001</v>
      </c>
      <c r="E45" s="72">
        <v>2109.0909000000001</v>
      </c>
      <c r="F45" s="72">
        <v>0</v>
      </c>
      <c r="G45" s="72">
        <v>909.09090000000003</v>
      </c>
      <c r="H45" s="72">
        <v>909.09090000000003</v>
      </c>
      <c r="I45" s="72">
        <v>0</v>
      </c>
      <c r="J45" s="72">
        <v>23636.363600000001</v>
      </c>
      <c r="K45" s="72">
        <v>23636.363600000001</v>
      </c>
      <c r="L45" s="72">
        <v>0</v>
      </c>
      <c r="M45" s="72">
        <v>0</v>
      </c>
      <c r="N45" s="72">
        <v>2527.2727</v>
      </c>
      <c r="O45" s="72">
        <v>2527.2727</v>
      </c>
      <c r="P45" s="72">
        <v>0</v>
      </c>
      <c r="Q45" s="72">
        <v>0</v>
      </c>
      <c r="R45" s="72">
        <v>1290.9091000000001</v>
      </c>
      <c r="S45" s="72">
        <v>1290.9091000000001</v>
      </c>
      <c r="T45" s="72">
        <v>0</v>
      </c>
      <c r="U45" s="72">
        <v>123.63639999999999</v>
      </c>
      <c r="V45" s="72">
        <v>123.63639999999999</v>
      </c>
      <c r="W45" s="72">
        <v>0</v>
      </c>
      <c r="X45" s="72">
        <v>145.4545</v>
      </c>
      <c r="Y45" s="72">
        <v>145.4545</v>
      </c>
    </row>
    <row r="46" spans="1:25" x14ac:dyDescent="0.3">
      <c r="A46" t="s">
        <v>122</v>
      </c>
      <c r="B46" t="s">
        <v>46</v>
      </c>
      <c r="C46" s="72">
        <v>925.03</v>
      </c>
      <c r="D46" s="72">
        <v>2109.0909000000001</v>
      </c>
      <c r="E46" s="72">
        <v>1184.0608999999999</v>
      </c>
      <c r="F46" s="72">
        <v>340</v>
      </c>
      <c r="G46" s="72">
        <v>909.09090000000003</v>
      </c>
      <c r="H46" s="72">
        <v>569.09090000000003</v>
      </c>
      <c r="I46" s="72">
        <v>1599</v>
      </c>
      <c r="J46" s="72">
        <v>23636.363600000001</v>
      </c>
      <c r="K46" s="72">
        <v>22037.363600000001</v>
      </c>
      <c r="L46" s="72">
        <v>0</v>
      </c>
      <c r="M46" s="72">
        <v>0</v>
      </c>
      <c r="N46" s="72">
        <v>2527.2727</v>
      </c>
      <c r="O46" s="72">
        <v>2527.2727</v>
      </c>
      <c r="P46" s="72">
        <v>454</v>
      </c>
      <c r="Q46" s="72">
        <v>129</v>
      </c>
      <c r="R46" s="72">
        <v>1290.9091000000001</v>
      </c>
      <c r="S46" s="72">
        <v>707.90909999999997</v>
      </c>
      <c r="T46" s="72">
        <v>0</v>
      </c>
      <c r="U46" s="72">
        <v>123.63639999999999</v>
      </c>
      <c r="V46" s="72">
        <v>123.63639999999999</v>
      </c>
      <c r="W46" s="72">
        <v>39.799999999999997</v>
      </c>
      <c r="X46" s="72">
        <v>145.4545</v>
      </c>
      <c r="Y46" s="72">
        <v>105.6545</v>
      </c>
    </row>
    <row r="47" spans="1:25" x14ac:dyDescent="0.3">
      <c r="A47" t="s">
        <v>123</v>
      </c>
      <c r="B47" t="s">
        <v>46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</row>
    <row r="48" spans="1:25" x14ac:dyDescent="0.3">
      <c r="A48" t="s">
        <v>124</v>
      </c>
      <c r="B48" t="s">
        <v>46</v>
      </c>
      <c r="C48" s="72">
        <v>0</v>
      </c>
      <c r="D48" s="72">
        <v>0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</row>
    <row r="49" spans="1:25" x14ac:dyDescent="0.3">
      <c r="A49" t="s">
        <v>125</v>
      </c>
      <c r="B49" t="s">
        <v>47</v>
      </c>
      <c r="C49" s="72">
        <v>0</v>
      </c>
      <c r="D49" s="72">
        <v>1923.0769</v>
      </c>
      <c r="E49" s="72">
        <v>1923.0769</v>
      </c>
      <c r="F49" s="72">
        <v>0</v>
      </c>
      <c r="G49" s="72">
        <v>1134.6153999999999</v>
      </c>
      <c r="H49" s="72">
        <v>1134.6153999999999</v>
      </c>
      <c r="I49" s="72">
        <v>0</v>
      </c>
      <c r="J49" s="72">
        <v>19230.769199999999</v>
      </c>
      <c r="K49" s="72">
        <v>19230.769199999999</v>
      </c>
      <c r="L49" s="72">
        <v>0</v>
      </c>
      <c r="M49" s="72">
        <v>0</v>
      </c>
      <c r="N49" s="72">
        <v>2230.7692000000002</v>
      </c>
      <c r="O49" s="72">
        <v>2230.7692000000002</v>
      </c>
      <c r="P49" s="72">
        <v>0</v>
      </c>
      <c r="Q49" s="72">
        <v>0</v>
      </c>
      <c r="R49" s="72">
        <v>1538.4614999999999</v>
      </c>
      <c r="S49" s="72">
        <v>1538.4614999999999</v>
      </c>
      <c r="T49" s="72">
        <v>0</v>
      </c>
      <c r="U49" s="72">
        <v>134.61539999999999</v>
      </c>
      <c r="V49" s="72">
        <v>134.61539999999999</v>
      </c>
      <c r="W49" s="72">
        <v>0</v>
      </c>
      <c r="X49" s="72">
        <v>153.84620000000001</v>
      </c>
      <c r="Y49" s="72">
        <v>153.84620000000001</v>
      </c>
    </row>
    <row r="50" spans="1:25" x14ac:dyDescent="0.3">
      <c r="A50" t="s">
        <v>126</v>
      </c>
      <c r="B50" t="s">
        <v>47</v>
      </c>
      <c r="C50" s="72">
        <v>312</v>
      </c>
      <c r="D50" s="72">
        <v>1153.8462</v>
      </c>
      <c r="E50" s="72">
        <v>841.84619999999995</v>
      </c>
      <c r="F50" s="72">
        <v>0</v>
      </c>
      <c r="G50" s="72">
        <v>680.76919999999996</v>
      </c>
      <c r="H50" s="72">
        <v>680.76919999999996</v>
      </c>
      <c r="I50" s="72">
        <v>2699</v>
      </c>
      <c r="J50" s="72">
        <v>11538.461499999999</v>
      </c>
      <c r="K50" s="72">
        <v>8839.4614999999994</v>
      </c>
      <c r="L50" s="72">
        <v>0</v>
      </c>
      <c r="M50" s="72">
        <v>0</v>
      </c>
      <c r="N50" s="72">
        <v>1338.4614999999999</v>
      </c>
      <c r="O50" s="72">
        <v>1338.4614999999999</v>
      </c>
      <c r="P50" s="72">
        <v>149</v>
      </c>
      <c r="Q50" s="72">
        <v>129</v>
      </c>
      <c r="R50" s="72">
        <v>923.07690000000002</v>
      </c>
      <c r="S50" s="72">
        <v>645.07690000000002</v>
      </c>
      <c r="T50" s="72">
        <v>34.9</v>
      </c>
      <c r="U50" s="72">
        <v>80.769199999999998</v>
      </c>
      <c r="V50" s="72">
        <v>45.869199999999999</v>
      </c>
      <c r="W50" s="72">
        <v>59.9</v>
      </c>
      <c r="X50" s="72">
        <v>92.307699999999997</v>
      </c>
      <c r="Y50" s="72">
        <v>32.407699999999998</v>
      </c>
    </row>
    <row r="51" spans="1:25" x14ac:dyDescent="0.3">
      <c r="A51" t="s">
        <v>127</v>
      </c>
      <c r="B51" t="s">
        <v>47</v>
      </c>
      <c r="C51" s="72">
        <v>174</v>
      </c>
      <c r="D51" s="72">
        <v>1923.0769</v>
      </c>
      <c r="E51" s="72">
        <v>1749.0769</v>
      </c>
      <c r="F51" s="72">
        <v>755</v>
      </c>
      <c r="G51" s="72">
        <v>1134.6153999999999</v>
      </c>
      <c r="H51" s="72">
        <v>379.61540000000002</v>
      </c>
      <c r="I51" s="72">
        <v>1649</v>
      </c>
      <c r="J51" s="72">
        <v>19230.769199999999</v>
      </c>
      <c r="K51" s="72">
        <v>17581.769199999999</v>
      </c>
      <c r="L51" s="72">
        <v>0</v>
      </c>
      <c r="M51" s="72">
        <v>2099</v>
      </c>
      <c r="N51" s="72">
        <v>2230.7692000000002</v>
      </c>
      <c r="O51" s="72">
        <v>131.76920000000001</v>
      </c>
      <c r="P51" s="72">
        <v>134.55000000000001</v>
      </c>
      <c r="Q51" s="72">
        <v>164.55</v>
      </c>
      <c r="R51" s="72">
        <v>1538.4614999999999</v>
      </c>
      <c r="S51" s="72">
        <v>1239.3615</v>
      </c>
      <c r="T51" s="72">
        <v>34.9</v>
      </c>
      <c r="U51" s="72">
        <v>134.61539999999999</v>
      </c>
      <c r="V51" s="72">
        <v>99.715400000000002</v>
      </c>
      <c r="W51" s="72">
        <v>59.9</v>
      </c>
      <c r="X51" s="72">
        <v>153.84620000000001</v>
      </c>
      <c r="Y51" s="72">
        <v>93.946200000000005</v>
      </c>
    </row>
    <row r="52" spans="1:25" x14ac:dyDescent="0.3">
      <c r="A52" t="s">
        <v>128</v>
      </c>
      <c r="B52" t="s">
        <v>47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0</v>
      </c>
    </row>
    <row r="53" spans="1:25" x14ac:dyDescent="0.3">
      <c r="A53" t="s">
        <v>129</v>
      </c>
      <c r="B53" t="s">
        <v>41</v>
      </c>
      <c r="C53" s="72">
        <v>262</v>
      </c>
      <c r="D53" s="72">
        <v>2875</v>
      </c>
      <c r="E53" s="72">
        <v>2613</v>
      </c>
      <c r="F53" s="72">
        <v>280</v>
      </c>
      <c r="G53" s="72">
        <v>1596.1538</v>
      </c>
      <c r="H53" s="72">
        <v>1316.1538</v>
      </c>
      <c r="I53" s="72">
        <v>13648</v>
      </c>
      <c r="J53" s="72">
        <v>50961.538500000002</v>
      </c>
      <c r="K53" s="72">
        <v>37313.538500000002</v>
      </c>
      <c r="L53" s="72">
        <v>0</v>
      </c>
      <c r="M53" s="72">
        <v>3998</v>
      </c>
      <c r="N53" s="72">
        <v>4519.2308000000003</v>
      </c>
      <c r="O53" s="72">
        <v>521.23080000000004</v>
      </c>
      <c r="P53" s="72">
        <v>89</v>
      </c>
      <c r="Q53" s="72">
        <v>239</v>
      </c>
      <c r="R53" s="72">
        <v>2365.3845999999999</v>
      </c>
      <c r="S53" s="72">
        <v>2037.3846000000001</v>
      </c>
      <c r="T53" s="72">
        <v>0</v>
      </c>
      <c r="U53" s="72">
        <v>307.69229999999999</v>
      </c>
      <c r="V53" s="72">
        <v>307.69229999999999</v>
      </c>
      <c r="W53" s="72">
        <v>0</v>
      </c>
      <c r="X53" s="72">
        <v>278.84620000000001</v>
      </c>
      <c r="Y53" s="72">
        <v>278.84620000000001</v>
      </c>
    </row>
    <row r="54" spans="1:25" x14ac:dyDescent="0.3">
      <c r="A54" t="s">
        <v>130</v>
      </c>
      <c r="B54" t="s">
        <v>41</v>
      </c>
      <c r="C54" s="72">
        <v>49</v>
      </c>
      <c r="D54" s="72">
        <v>1725</v>
      </c>
      <c r="E54" s="72">
        <v>1676</v>
      </c>
      <c r="F54" s="72">
        <v>110</v>
      </c>
      <c r="G54" s="72">
        <v>957.69230000000005</v>
      </c>
      <c r="H54" s="72">
        <v>847.69230000000005</v>
      </c>
      <c r="I54" s="72">
        <v>0</v>
      </c>
      <c r="J54" s="72">
        <v>30576.9231</v>
      </c>
      <c r="K54" s="72">
        <v>30576.9231</v>
      </c>
      <c r="L54" s="72">
        <v>0</v>
      </c>
      <c r="M54" s="72">
        <v>69</v>
      </c>
      <c r="N54" s="72">
        <v>2711.5385000000001</v>
      </c>
      <c r="O54" s="72">
        <v>2642.5385000000001</v>
      </c>
      <c r="P54" s="72">
        <v>0</v>
      </c>
      <c r="Q54" s="72">
        <v>0</v>
      </c>
      <c r="R54" s="72">
        <v>1419.2308</v>
      </c>
      <c r="S54" s="72">
        <v>1419.2308</v>
      </c>
      <c r="T54" s="72">
        <v>0</v>
      </c>
      <c r="U54" s="72">
        <v>184.61539999999999</v>
      </c>
      <c r="V54" s="72">
        <v>184.61539999999999</v>
      </c>
      <c r="W54" s="72">
        <v>0</v>
      </c>
      <c r="X54" s="72">
        <v>167.30770000000001</v>
      </c>
      <c r="Y54" s="72">
        <v>167.30770000000001</v>
      </c>
    </row>
    <row r="55" spans="1:25" x14ac:dyDescent="0.3">
      <c r="A55" t="s">
        <v>131</v>
      </c>
      <c r="B55" t="s">
        <v>41</v>
      </c>
      <c r="C55" s="72">
        <v>597</v>
      </c>
      <c r="D55" s="72">
        <v>1725</v>
      </c>
      <c r="E55" s="72">
        <v>1128</v>
      </c>
      <c r="F55" s="72">
        <v>450</v>
      </c>
      <c r="G55" s="72">
        <v>957.69230000000005</v>
      </c>
      <c r="H55" s="72">
        <v>507.69229999999999</v>
      </c>
      <c r="I55" s="72">
        <v>0</v>
      </c>
      <c r="J55" s="72">
        <v>30576.9231</v>
      </c>
      <c r="K55" s="72">
        <v>30576.9231</v>
      </c>
      <c r="L55" s="72">
        <v>0</v>
      </c>
      <c r="M55" s="72">
        <v>179</v>
      </c>
      <c r="N55" s="72">
        <v>2711.5385000000001</v>
      </c>
      <c r="O55" s="72">
        <v>2532.5385000000001</v>
      </c>
      <c r="P55" s="72">
        <v>84.55</v>
      </c>
      <c r="Q55" s="72">
        <v>0</v>
      </c>
      <c r="R55" s="72">
        <v>1419.2308</v>
      </c>
      <c r="S55" s="72">
        <v>1334.6808000000001</v>
      </c>
      <c r="T55" s="72">
        <v>34.9</v>
      </c>
      <c r="U55" s="72">
        <v>184.61539999999999</v>
      </c>
      <c r="V55" s="72">
        <v>149.71539999999999</v>
      </c>
      <c r="W55" s="72">
        <v>0</v>
      </c>
      <c r="X55" s="72">
        <v>167.30770000000001</v>
      </c>
      <c r="Y55" s="72">
        <v>167.30770000000001</v>
      </c>
    </row>
    <row r="56" spans="1:25" x14ac:dyDescent="0.3">
      <c r="A56" t="s">
        <v>132</v>
      </c>
      <c r="B56" t="s">
        <v>41</v>
      </c>
      <c r="C56" s="72">
        <v>375</v>
      </c>
      <c r="D56" s="72">
        <v>2875</v>
      </c>
      <c r="E56" s="72">
        <v>2500</v>
      </c>
      <c r="F56" s="72">
        <v>230</v>
      </c>
      <c r="G56" s="72">
        <v>1596.1538</v>
      </c>
      <c r="H56" s="72">
        <v>1366.1538</v>
      </c>
      <c r="I56" s="72">
        <v>849</v>
      </c>
      <c r="J56" s="72">
        <v>50961.538500000002</v>
      </c>
      <c r="K56" s="72">
        <v>50112.538500000002</v>
      </c>
      <c r="L56" s="72">
        <v>0</v>
      </c>
      <c r="M56" s="72">
        <v>0</v>
      </c>
      <c r="N56" s="72">
        <v>4519.2308000000003</v>
      </c>
      <c r="O56" s="72">
        <v>4519.2308000000003</v>
      </c>
      <c r="P56" s="72">
        <v>158</v>
      </c>
      <c r="Q56" s="72">
        <v>427</v>
      </c>
      <c r="R56" s="72">
        <v>2365.3845999999999</v>
      </c>
      <c r="S56" s="72">
        <v>1780.3846000000001</v>
      </c>
      <c r="T56" s="72">
        <v>34.9</v>
      </c>
      <c r="U56" s="72">
        <v>307.69229999999999</v>
      </c>
      <c r="V56" s="72">
        <v>272.79230000000001</v>
      </c>
      <c r="W56" s="72">
        <v>30.89</v>
      </c>
      <c r="X56" s="72">
        <v>278.84620000000001</v>
      </c>
      <c r="Y56" s="72">
        <v>247.9562</v>
      </c>
    </row>
    <row r="57" spans="1:25" x14ac:dyDescent="0.3">
      <c r="A57" t="s">
        <v>133</v>
      </c>
      <c r="B57" t="s">
        <v>41</v>
      </c>
      <c r="C57" s="72">
        <v>0</v>
      </c>
      <c r="D57" s="72">
        <v>2875</v>
      </c>
      <c r="E57" s="72">
        <v>2875</v>
      </c>
      <c r="F57" s="72">
        <v>0</v>
      </c>
      <c r="G57" s="72">
        <v>1596.1538</v>
      </c>
      <c r="H57" s="72">
        <v>1596.1538</v>
      </c>
      <c r="I57" s="72">
        <v>0</v>
      </c>
      <c r="J57" s="72">
        <v>50961.538500000002</v>
      </c>
      <c r="K57" s="72">
        <v>50961.538500000002</v>
      </c>
      <c r="L57" s="72">
        <v>0</v>
      </c>
      <c r="M57" s="72">
        <v>0</v>
      </c>
      <c r="N57" s="72">
        <v>4519.2308000000003</v>
      </c>
      <c r="O57" s="72">
        <v>4519.2308000000003</v>
      </c>
      <c r="P57" s="72">
        <v>0</v>
      </c>
      <c r="Q57" s="72">
        <v>0</v>
      </c>
      <c r="R57" s="72">
        <v>2365.3845999999999</v>
      </c>
      <c r="S57" s="72">
        <v>2365.3845999999999</v>
      </c>
      <c r="T57" s="72">
        <v>0</v>
      </c>
      <c r="U57" s="72">
        <v>307.69229999999999</v>
      </c>
      <c r="V57" s="72">
        <v>307.69229999999999</v>
      </c>
      <c r="W57" s="72">
        <v>0</v>
      </c>
      <c r="X57" s="72">
        <v>278.84620000000001</v>
      </c>
      <c r="Y57" s="72">
        <v>278.84620000000001</v>
      </c>
    </row>
    <row r="58" spans="1:25" x14ac:dyDescent="0.3">
      <c r="A58" t="s">
        <v>134</v>
      </c>
      <c r="B58" t="s">
        <v>41</v>
      </c>
      <c r="C58" s="72">
        <v>469</v>
      </c>
      <c r="D58" s="72">
        <v>2875</v>
      </c>
      <c r="E58" s="72">
        <v>2406</v>
      </c>
      <c r="F58" s="72">
        <v>380</v>
      </c>
      <c r="G58" s="72">
        <v>1596.1538</v>
      </c>
      <c r="H58" s="72">
        <v>1216.1538</v>
      </c>
      <c r="I58" s="72">
        <v>849</v>
      </c>
      <c r="J58" s="72">
        <v>50961.538500000002</v>
      </c>
      <c r="K58" s="72">
        <v>50112.538500000002</v>
      </c>
      <c r="L58" s="72">
        <v>0</v>
      </c>
      <c r="M58" s="72">
        <v>0</v>
      </c>
      <c r="N58" s="72">
        <v>4519.2308000000003</v>
      </c>
      <c r="O58" s="72">
        <v>4519.2308000000003</v>
      </c>
      <c r="P58" s="72">
        <v>89</v>
      </c>
      <c r="Q58" s="72">
        <v>208</v>
      </c>
      <c r="R58" s="72">
        <v>2365.3845999999999</v>
      </c>
      <c r="S58" s="72">
        <v>2068.3845999999999</v>
      </c>
      <c r="T58" s="72">
        <v>0</v>
      </c>
      <c r="U58" s="72">
        <v>307.69229999999999</v>
      </c>
      <c r="V58" s="72">
        <v>307.69229999999999</v>
      </c>
      <c r="W58" s="72">
        <v>69.88</v>
      </c>
      <c r="X58" s="72">
        <v>278.84620000000001</v>
      </c>
      <c r="Y58" s="72">
        <v>208.96619999999999</v>
      </c>
    </row>
    <row r="59" spans="1:25" x14ac:dyDescent="0.3">
      <c r="A59" t="s">
        <v>135</v>
      </c>
      <c r="B59" t="s">
        <v>41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</row>
    <row r="60" spans="1:25" x14ac:dyDescent="0.3">
      <c r="A60" t="s">
        <v>136</v>
      </c>
      <c r="B60" t="s">
        <v>41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</row>
    <row r="61" spans="1:25" x14ac:dyDescent="0.3">
      <c r="A61" t="s">
        <v>137</v>
      </c>
      <c r="B61" t="s">
        <v>31</v>
      </c>
      <c r="C61" s="72">
        <v>116</v>
      </c>
      <c r="D61" s="72">
        <v>2595</v>
      </c>
      <c r="E61" s="72">
        <v>2479</v>
      </c>
      <c r="F61" s="72">
        <v>0</v>
      </c>
      <c r="G61" s="72">
        <v>0</v>
      </c>
      <c r="H61" s="72">
        <v>0</v>
      </c>
      <c r="I61" s="72">
        <v>0</v>
      </c>
      <c r="J61" s="72">
        <v>42500</v>
      </c>
      <c r="K61" s="72">
        <v>42500</v>
      </c>
      <c r="L61" s="72">
        <v>0</v>
      </c>
      <c r="M61" s="72">
        <v>0</v>
      </c>
      <c r="N61" s="72">
        <v>5500</v>
      </c>
      <c r="O61" s="72">
        <v>5500</v>
      </c>
      <c r="P61" s="72">
        <v>0</v>
      </c>
      <c r="Q61" s="72">
        <v>0</v>
      </c>
      <c r="R61" s="72">
        <v>3850</v>
      </c>
      <c r="S61" s="72">
        <v>3850</v>
      </c>
      <c r="T61" s="72">
        <v>0</v>
      </c>
      <c r="U61" s="72">
        <v>240</v>
      </c>
      <c r="V61" s="72">
        <v>240</v>
      </c>
      <c r="W61" s="72">
        <v>0</v>
      </c>
      <c r="X61" s="72">
        <v>190</v>
      </c>
      <c r="Y61" s="72">
        <v>190</v>
      </c>
    </row>
    <row r="62" spans="1:25" x14ac:dyDescent="0.3">
      <c r="A62" t="s">
        <v>138</v>
      </c>
      <c r="B62" t="s">
        <v>31</v>
      </c>
      <c r="C62" s="72">
        <v>643.72</v>
      </c>
      <c r="D62" s="72">
        <v>2595</v>
      </c>
      <c r="E62" s="72">
        <v>1951.28</v>
      </c>
      <c r="F62" s="72">
        <v>0</v>
      </c>
      <c r="G62" s="72">
        <v>0</v>
      </c>
      <c r="H62" s="72">
        <v>0</v>
      </c>
      <c r="I62" s="72">
        <v>3477</v>
      </c>
      <c r="J62" s="72">
        <v>42500</v>
      </c>
      <c r="K62" s="72">
        <v>39023</v>
      </c>
      <c r="L62" s="72">
        <v>0</v>
      </c>
      <c r="M62" s="72">
        <v>2099</v>
      </c>
      <c r="N62" s="72">
        <v>5500</v>
      </c>
      <c r="O62" s="72">
        <v>3401</v>
      </c>
      <c r="P62" s="72">
        <v>227</v>
      </c>
      <c r="Q62" s="72">
        <v>237</v>
      </c>
      <c r="R62" s="72">
        <v>3850</v>
      </c>
      <c r="S62" s="72">
        <v>3386</v>
      </c>
      <c r="T62" s="72">
        <v>0</v>
      </c>
      <c r="U62" s="72">
        <v>240</v>
      </c>
      <c r="V62" s="72">
        <v>240</v>
      </c>
      <c r="W62" s="72">
        <v>0</v>
      </c>
      <c r="X62" s="72">
        <v>190</v>
      </c>
      <c r="Y62" s="72">
        <v>190</v>
      </c>
    </row>
    <row r="63" spans="1:25" x14ac:dyDescent="0.3">
      <c r="A63" t="s">
        <v>139</v>
      </c>
      <c r="B63" t="s">
        <v>31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</row>
    <row r="64" spans="1:25" x14ac:dyDescent="0.3">
      <c r="A64" t="s">
        <v>140</v>
      </c>
      <c r="B64" t="s">
        <v>48</v>
      </c>
      <c r="C64" s="72">
        <v>440.51</v>
      </c>
      <c r="D64" s="72">
        <v>3159.7222000000002</v>
      </c>
      <c r="E64" s="72">
        <v>2719.2121999999999</v>
      </c>
      <c r="F64" s="72">
        <v>330</v>
      </c>
      <c r="G64" s="72">
        <v>1333.3333</v>
      </c>
      <c r="H64" s="72">
        <v>1003.3333</v>
      </c>
      <c r="I64" s="72">
        <v>12796</v>
      </c>
      <c r="J64" s="72">
        <v>68055.555600000007</v>
      </c>
      <c r="K64" s="72">
        <v>55259.5556</v>
      </c>
      <c r="L64" s="72">
        <v>0</v>
      </c>
      <c r="M64" s="72">
        <v>0</v>
      </c>
      <c r="N64" s="72">
        <v>6944.4444000000003</v>
      </c>
      <c r="O64" s="72">
        <v>6944.4444000000003</v>
      </c>
      <c r="P64" s="72">
        <v>396</v>
      </c>
      <c r="Q64" s="72">
        <v>129</v>
      </c>
      <c r="R64" s="72">
        <v>4166.6666999999998</v>
      </c>
      <c r="S64" s="72">
        <v>3641.6667000000002</v>
      </c>
      <c r="T64" s="72">
        <v>0</v>
      </c>
      <c r="U64" s="72">
        <v>423.61110000000002</v>
      </c>
      <c r="V64" s="72">
        <v>423.61110000000002</v>
      </c>
      <c r="W64" s="72">
        <v>19.989999999999998</v>
      </c>
      <c r="X64" s="72">
        <v>395.83330000000001</v>
      </c>
      <c r="Y64" s="72">
        <v>375.8433</v>
      </c>
    </row>
    <row r="65" spans="1:25" x14ac:dyDescent="0.3">
      <c r="A65" t="s">
        <v>141</v>
      </c>
      <c r="B65" t="s">
        <v>48</v>
      </c>
      <c r="C65" s="72">
        <v>728</v>
      </c>
      <c r="D65" s="72">
        <v>3159.7222000000002</v>
      </c>
      <c r="E65" s="72">
        <v>2431.7222000000002</v>
      </c>
      <c r="F65" s="72">
        <v>380</v>
      </c>
      <c r="G65" s="72">
        <v>1333.3333</v>
      </c>
      <c r="H65" s="72">
        <v>953.33330000000001</v>
      </c>
      <c r="I65" s="72">
        <v>16694</v>
      </c>
      <c r="J65" s="72">
        <v>68055.555600000007</v>
      </c>
      <c r="K65" s="72">
        <v>51361.5556</v>
      </c>
      <c r="L65" s="72">
        <v>0</v>
      </c>
      <c r="M65" s="72">
        <v>209</v>
      </c>
      <c r="N65" s="72">
        <v>6944.4444000000003</v>
      </c>
      <c r="O65" s="72">
        <v>6735.4444000000003</v>
      </c>
      <c r="P65" s="72">
        <v>634</v>
      </c>
      <c r="Q65" s="72">
        <v>357</v>
      </c>
      <c r="R65" s="72">
        <v>4166.6666999999998</v>
      </c>
      <c r="S65" s="72">
        <v>3175.6667000000002</v>
      </c>
      <c r="T65" s="72">
        <v>34.9</v>
      </c>
      <c r="U65" s="72">
        <v>423.61110000000002</v>
      </c>
      <c r="V65" s="72">
        <v>388.71109999999999</v>
      </c>
      <c r="W65" s="72">
        <v>278.5</v>
      </c>
      <c r="X65" s="72">
        <v>395.83330000000001</v>
      </c>
      <c r="Y65" s="72">
        <v>117.33329999999999</v>
      </c>
    </row>
    <row r="66" spans="1:25" x14ac:dyDescent="0.3">
      <c r="A66" t="s">
        <v>142</v>
      </c>
      <c r="B66" t="s">
        <v>48</v>
      </c>
      <c r="C66" s="72">
        <v>0</v>
      </c>
      <c r="D66" s="72">
        <v>2527.7777999999998</v>
      </c>
      <c r="E66" s="72">
        <v>2527.7777999999998</v>
      </c>
      <c r="F66" s="72">
        <v>0</v>
      </c>
      <c r="G66" s="72">
        <v>1066.6667</v>
      </c>
      <c r="H66" s="72">
        <v>1066.6667</v>
      </c>
      <c r="I66" s="72">
        <v>0</v>
      </c>
      <c r="J66" s="72">
        <v>54444.4444</v>
      </c>
      <c r="K66" s="72">
        <v>54444.4444</v>
      </c>
      <c r="L66" s="72">
        <v>0</v>
      </c>
      <c r="M66" s="72">
        <v>0</v>
      </c>
      <c r="N66" s="72">
        <v>5555.5555999999997</v>
      </c>
      <c r="O66" s="72">
        <v>5555.5555999999997</v>
      </c>
      <c r="P66" s="72">
        <v>0</v>
      </c>
      <c r="Q66" s="72">
        <v>0</v>
      </c>
      <c r="R66" s="72">
        <v>3333.3332999999998</v>
      </c>
      <c r="S66" s="72">
        <v>3333.3332999999998</v>
      </c>
      <c r="T66" s="72">
        <v>0</v>
      </c>
      <c r="U66" s="72">
        <v>338.88889999999998</v>
      </c>
      <c r="V66" s="72">
        <v>338.88889999999998</v>
      </c>
      <c r="W66" s="72">
        <v>0</v>
      </c>
      <c r="X66" s="72">
        <v>316.66669999999999</v>
      </c>
      <c r="Y66" s="72">
        <v>316.66669999999999</v>
      </c>
    </row>
    <row r="67" spans="1:25" x14ac:dyDescent="0.3">
      <c r="A67" t="s">
        <v>143</v>
      </c>
      <c r="B67" t="s">
        <v>48</v>
      </c>
      <c r="C67" s="72">
        <v>403</v>
      </c>
      <c r="D67" s="72">
        <v>2527.7777999999998</v>
      </c>
      <c r="E67" s="72">
        <v>2124.7777999999998</v>
      </c>
      <c r="F67" s="72">
        <v>114</v>
      </c>
      <c r="G67" s="72">
        <v>1066.6667</v>
      </c>
      <c r="H67" s="72">
        <v>952.66669999999999</v>
      </c>
      <c r="I67" s="72">
        <v>11946</v>
      </c>
      <c r="J67" s="72">
        <v>54444.4444</v>
      </c>
      <c r="K67" s="72">
        <v>42498.4444</v>
      </c>
      <c r="L67" s="72">
        <v>0</v>
      </c>
      <c r="M67" s="72">
        <v>0</v>
      </c>
      <c r="N67" s="72">
        <v>5555.5555999999997</v>
      </c>
      <c r="O67" s="72">
        <v>5555.5555999999997</v>
      </c>
      <c r="P67" s="72">
        <v>476</v>
      </c>
      <c r="Q67" s="72">
        <v>367</v>
      </c>
      <c r="R67" s="72">
        <v>3333.3332999999998</v>
      </c>
      <c r="S67" s="72">
        <v>2490.3332999999998</v>
      </c>
      <c r="T67" s="72">
        <v>104.8</v>
      </c>
      <c r="U67" s="72">
        <v>338.88889999999998</v>
      </c>
      <c r="V67" s="72">
        <v>234.0889</v>
      </c>
      <c r="W67" s="72">
        <v>59.9</v>
      </c>
      <c r="X67" s="72">
        <v>316.66669999999999</v>
      </c>
      <c r="Y67" s="72">
        <v>256.76670000000001</v>
      </c>
    </row>
    <row r="68" spans="1:25" x14ac:dyDescent="0.3">
      <c r="A68" t="s">
        <v>144</v>
      </c>
      <c r="B68" t="s">
        <v>48</v>
      </c>
      <c r="C68" s="72">
        <v>1185</v>
      </c>
      <c r="D68" s="72">
        <v>3159.7222000000002</v>
      </c>
      <c r="E68" s="72">
        <v>1974.7221999999999</v>
      </c>
      <c r="F68" s="72">
        <v>220</v>
      </c>
      <c r="G68" s="72">
        <v>1333.3333</v>
      </c>
      <c r="H68" s="72">
        <v>1113.3333</v>
      </c>
      <c r="I68" s="72">
        <v>44892</v>
      </c>
      <c r="J68" s="72">
        <v>68055.555600000007</v>
      </c>
      <c r="K68" s="72">
        <v>23163.5556</v>
      </c>
      <c r="L68" s="72">
        <v>0</v>
      </c>
      <c r="M68" s="72">
        <v>1427</v>
      </c>
      <c r="N68" s="72">
        <v>6944.4444000000003</v>
      </c>
      <c r="O68" s="72">
        <v>5517.4444000000003</v>
      </c>
      <c r="P68" s="72">
        <v>892</v>
      </c>
      <c r="Q68" s="72">
        <v>1233</v>
      </c>
      <c r="R68" s="72">
        <v>4166.6666999999998</v>
      </c>
      <c r="S68" s="72">
        <v>2041.6667</v>
      </c>
      <c r="T68" s="72">
        <v>215.7</v>
      </c>
      <c r="U68" s="72">
        <v>423.61110000000002</v>
      </c>
      <c r="V68" s="72">
        <v>207.9111</v>
      </c>
      <c r="W68" s="72">
        <v>50</v>
      </c>
      <c r="X68" s="72">
        <v>395.83330000000001</v>
      </c>
      <c r="Y68" s="72">
        <v>345.83330000000001</v>
      </c>
    </row>
    <row r="69" spans="1:25" x14ac:dyDescent="0.3">
      <c r="A69" t="s">
        <v>145</v>
      </c>
      <c r="B69" t="s">
        <v>48</v>
      </c>
      <c r="C69" s="72">
        <v>87</v>
      </c>
      <c r="D69" s="72">
        <v>2527.7777999999998</v>
      </c>
      <c r="E69" s="72">
        <v>2440.7777999999998</v>
      </c>
      <c r="F69" s="72">
        <v>90</v>
      </c>
      <c r="G69" s="72">
        <v>1066.6667</v>
      </c>
      <c r="H69" s="72">
        <v>976.66669999999999</v>
      </c>
      <c r="I69" s="72">
        <v>3978</v>
      </c>
      <c r="J69" s="72">
        <v>54444.4444</v>
      </c>
      <c r="K69" s="72">
        <v>50466.4444</v>
      </c>
      <c r="L69" s="72">
        <v>0</v>
      </c>
      <c r="M69" s="72">
        <v>0</v>
      </c>
      <c r="N69" s="72">
        <v>5555.5555999999997</v>
      </c>
      <c r="O69" s="72">
        <v>5555.5555999999997</v>
      </c>
      <c r="P69" s="72">
        <v>446</v>
      </c>
      <c r="Q69" s="72">
        <v>0</v>
      </c>
      <c r="R69" s="72">
        <v>3333.3332999999998</v>
      </c>
      <c r="S69" s="72">
        <v>2887.3332999999998</v>
      </c>
      <c r="T69" s="72">
        <v>34.9</v>
      </c>
      <c r="U69" s="72">
        <v>338.88889999999998</v>
      </c>
      <c r="V69" s="72">
        <v>303.9889</v>
      </c>
      <c r="W69" s="72">
        <v>59.9</v>
      </c>
      <c r="X69" s="72">
        <v>316.66669999999999</v>
      </c>
      <c r="Y69" s="72">
        <v>256.76670000000001</v>
      </c>
    </row>
    <row r="70" spans="1:25" x14ac:dyDescent="0.3">
      <c r="A70" t="s">
        <v>146</v>
      </c>
      <c r="B70" t="s">
        <v>48</v>
      </c>
      <c r="C70" s="72">
        <v>445</v>
      </c>
      <c r="D70" s="72">
        <v>2527.7777999999998</v>
      </c>
      <c r="E70" s="72">
        <v>2082.7777999999998</v>
      </c>
      <c r="F70" s="72">
        <v>290</v>
      </c>
      <c r="G70" s="72">
        <v>1066.6667</v>
      </c>
      <c r="H70" s="72">
        <v>776.66669999999999</v>
      </c>
      <c r="I70" s="72">
        <v>5299</v>
      </c>
      <c r="J70" s="72">
        <v>54444.4444</v>
      </c>
      <c r="K70" s="72">
        <v>49145.4444</v>
      </c>
      <c r="L70" s="72">
        <v>0</v>
      </c>
      <c r="M70" s="72">
        <v>928</v>
      </c>
      <c r="N70" s="72">
        <v>5555.5555999999997</v>
      </c>
      <c r="O70" s="72">
        <v>4627.5555999999997</v>
      </c>
      <c r="P70" s="72">
        <v>89</v>
      </c>
      <c r="Q70" s="72">
        <v>626</v>
      </c>
      <c r="R70" s="72">
        <v>3333.3332999999998</v>
      </c>
      <c r="S70" s="72">
        <v>2618.3332999999998</v>
      </c>
      <c r="T70" s="72">
        <v>69.900000000000006</v>
      </c>
      <c r="U70" s="72">
        <v>338.88889999999998</v>
      </c>
      <c r="V70" s="72">
        <v>268.9889</v>
      </c>
      <c r="W70" s="72">
        <v>182.6</v>
      </c>
      <c r="X70" s="72">
        <v>316.66669999999999</v>
      </c>
      <c r="Y70" s="72">
        <v>134.0667</v>
      </c>
    </row>
    <row r="71" spans="1:25" x14ac:dyDescent="0.3">
      <c r="A71" t="s">
        <v>147</v>
      </c>
      <c r="B71" t="s">
        <v>48</v>
      </c>
      <c r="C71" s="72">
        <v>388</v>
      </c>
      <c r="D71" s="72">
        <v>3159.7222000000002</v>
      </c>
      <c r="E71" s="72">
        <v>2771.7222000000002</v>
      </c>
      <c r="F71" s="72">
        <v>120</v>
      </c>
      <c r="G71" s="72">
        <v>1333.3333</v>
      </c>
      <c r="H71" s="72">
        <v>1213.3333</v>
      </c>
      <c r="I71" s="72">
        <v>10497</v>
      </c>
      <c r="J71" s="72">
        <v>68055.555600000007</v>
      </c>
      <c r="K71" s="72">
        <v>57558.5556</v>
      </c>
      <c r="L71" s="72">
        <v>0</v>
      </c>
      <c r="M71" s="72">
        <v>0</v>
      </c>
      <c r="N71" s="72">
        <v>6944.4444000000003</v>
      </c>
      <c r="O71" s="72">
        <v>6944.4444000000003</v>
      </c>
      <c r="P71" s="72">
        <v>386</v>
      </c>
      <c r="Q71" s="72">
        <v>0</v>
      </c>
      <c r="R71" s="72">
        <v>4166.6666999999998</v>
      </c>
      <c r="S71" s="72">
        <v>3780.6667000000002</v>
      </c>
      <c r="T71" s="72">
        <v>69.900000000000006</v>
      </c>
      <c r="U71" s="72">
        <v>423.61110000000002</v>
      </c>
      <c r="V71" s="72">
        <v>353.71109999999999</v>
      </c>
      <c r="W71" s="72">
        <v>0</v>
      </c>
      <c r="X71" s="72">
        <v>395.83330000000001</v>
      </c>
      <c r="Y71" s="72">
        <v>395.83330000000001</v>
      </c>
    </row>
    <row r="72" spans="1:25" x14ac:dyDescent="0.3">
      <c r="A72" t="s">
        <v>148</v>
      </c>
      <c r="B72" t="s">
        <v>48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</row>
    <row r="73" spans="1:25" x14ac:dyDescent="0.3">
      <c r="A73" t="s">
        <v>149</v>
      </c>
      <c r="B73" t="s">
        <v>48</v>
      </c>
      <c r="C73" s="72">
        <v>150</v>
      </c>
      <c r="D73" s="72">
        <v>0</v>
      </c>
      <c r="E73" s="72">
        <v>-150</v>
      </c>
      <c r="F73" s="72">
        <v>110</v>
      </c>
      <c r="G73" s="72">
        <v>0</v>
      </c>
      <c r="H73" s="72">
        <v>-110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</row>
    <row r="74" spans="1:25" x14ac:dyDescent="0.3">
      <c r="A74" t="s">
        <v>150</v>
      </c>
      <c r="B74" t="s">
        <v>42</v>
      </c>
      <c r="C74" s="72">
        <v>313.95999999999998</v>
      </c>
      <c r="D74" s="72">
        <v>2716.6667000000002</v>
      </c>
      <c r="E74" s="72">
        <v>2402.7067000000002</v>
      </c>
      <c r="F74" s="72">
        <v>80</v>
      </c>
      <c r="G74" s="72">
        <v>1533.3333</v>
      </c>
      <c r="H74" s="72">
        <v>1453.3333</v>
      </c>
      <c r="I74" s="72">
        <v>12347</v>
      </c>
      <c r="J74" s="72">
        <v>69666.666700000002</v>
      </c>
      <c r="K74" s="72">
        <v>57319.666700000002</v>
      </c>
      <c r="L74" s="72">
        <v>0</v>
      </c>
      <c r="M74" s="72">
        <v>1478</v>
      </c>
      <c r="N74" s="72">
        <v>4750</v>
      </c>
      <c r="O74" s="72">
        <v>3272</v>
      </c>
      <c r="P74" s="72">
        <v>138</v>
      </c>
      <c r="Q74" s="72">
        <v>416</v>
      </c>
      <c r="R74" s="72">
        <v>3666.6667000000002</v>
      </c>
      <c r="S74" s="72">
        <v>3112.6667000000002</v>
      </c>
      <c r="T74" s="72">
        <v>0</v>
      </c>
      <c r="U74" s="72">
        <v>296.66669999999999</v>
      </c>
      <c r="V74" s="72">
        <v>296.66669999999999</v>
      </c>
      <c r="W74" s="72">
        <v>0</v>
      </c>
      <c r="X74" s="72">
        <v>300</v>
      </c>
      <c r="Y74" s="72">
        <v>300</v>
      </c>
    </row>
    <row r="75" spans="1:25" x14ac:dyDescent="0.3">
      <c r="A75" t="s">
        <v>151</v>
      </c>
      <c r="B75" t="s">
        <v>42</v>
      </c>
      <c r="C75" s="72">
        <v>111</v>
      </c>
      <c r="D75" s="72">
        <v>2716.6667000000002</v>
      </c>
      <c r="E75" s="72">
        <v>2605.6667000000002</v>
      </c>
      <c r="F75" s="72">
        <v>100</v>
      </c>
      <c r="G75" s="72">
        <v>1533.3333</v>
      </c>
      <c r="H75" s="72">
        <v>1433.3333</v>
      </c>
      <c r="I75" s="72">
        <v>0</v>
      </c>
      <c r="J75" s="72">
        <v>69666.666700000002</v>
      </c>
      <c r="K75" s="72">
        <v>69666.666700000002</v>
      </c>
      <c r="L75" s="72">
        <v>0</v>
      </c>
      <c r="M75" s="72">
        <v>209</v>
      </c>
      <c r="N75" s="72">
        <v>4750</v>
      </c>
      <c r="O75" s="72">
        <v>4541</v>
      </c>
      <c r="P75" s="72">
        <v>0</v>
      </c>
      <c r="Q75" s="72">
        <v>0</v>
      </c>
      <c r="R75" s="72">
        <v>3666.6667000000002</v>
      </c>
      <c r="S75" s="72">
        <v>3666.6667000000002</v>
      </c>
      <c r="T75" s="72">
        <v>0</v>
      </c>
      <c r="U75" s="72">
        <v>296.66669999999999</v>
      </c>
      <c r="V75" s="72">
        <v>296.66669999999999</v>
      </c>
      <c r="W75" s="72">
        <v>0</v>
      </c>
      <c r="X75" s="72">
        <v>300</v>
      </c>
      <c r="Y75" s="72">
        <v>300</v>
      </c>
    </row>
    <row r="76" spans="1:25" x14ac:dyDescent="0.3">
      <c r="A76" t="s">
        <v>152</v>
      </c>
      <c r="B76" t="s">
        <v>42</v>
      </c>
      <c r="C76" s="72">
        <v>478</v>
      </c>
      <c r="D76" s="72">
        <v>2716.6667000000002</v>
      </c>
      <c r="E76" s="72">
        <v>2238.6667000000002</v>
      </c>
      <c r="F76" s="72">
        <v>110</v>
      </c>
      <c r="G76" s="72">
        <v>1533.3333</v>
      </c>
      <c r="H76" s="72">
        <v>1423.3333</v>
      </c>
      <c r="I76" s="72">
        <v>2699</v>
      </c>
      <c r="J76" s="72">
        <v>69666.666700000002</v>
      </c>
      <c r="K76" s="72">
        <v>66967.666700000002</v>
      </c>
      <c r="L76" s="72">
        <v>0</v>
      </c>
      <c r="M76" s="72">
        <v>1299</v>
      </c>
      <c r="N76" s="72">
        <v>4750</v>
      </c>
      <c r="O76" s="72">
        <v>3451</v>
      </c>
      <c r="P76" s="72">
        <v>119</v>
      </c>
      <c r="Q76" s="72">
        <v>129</v>
      </c>
      <c r="R76" s="72">
        <v>3666.6667000000002</v>
      </c>
      <c r="S76" s="72">
        <v>3418.6667000000002</v>
      </c>
      <c r="T76" s="72">
        <v>0</v>
      </c>
      <c r="U76" s="72">
        <v>296.66669999999999</v>
      </c>
      <c r="V76" s="72">
        <v>296.66669999999999</v>
      </c>
      <c r="W76" s="72">
        <v>28.9</v>
      </c>
      <c r="X76" s="72">
        <v>300</v>
      </c>
      <c r="Y76" s="72">
        <v>271.10000000000002</v>
      </c>
    </row>
    <row r="77" spans="1:25" x14ac:dyDescent="0.3">
      <c r="A77" t="s">
        <v>153</v>
      </c>
      <c r="B77" t="s">
        <v>42</v>
      </c>
      <c r="C77" s="72">
        <v>0</v>
      </c>
      <c r="D77" s="72">
        <v>0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19.899999999999999</v>
      </c>
      <c r="X77" s="72">
        <v>0</v>
      </c>
      <c r="Y77" s="72">
        <v>-19.899999999999999</v>
      </c>
    </row>
    <row r="78" spans="1:25" x14ac:dyDescent="0.3">
      <c r="A78" t="s">
        <v>154</v>
      </c>
      <c r="B78" t="s">
        <v>42</v>
      </c>
      <c r="C78" s="72">
        <v>0</v>
      </c>
      <c r="D78" s="72">
        <v>0</v>
      </c>
      <c r="E78" s="72">
        <v>0</v>
      </c>
      <c r="F78" s="72">
        <v>0</v>
      </c>
      <c r="G78" s="72">
        <v>0</v>
      </c>
      <c r="H78" s="72">
        <v>0</v>
      </c>
      <c r="I78" s="72">
        <v>0</v>
      </c>
      <c r="J78" s="72">
        <v>0</v>
      </c>
      <c r="K78" s="72">
        <v>0</v>
      </c>
      <c r="L78" s="72">
        <v>0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2">
        <v>0</v>
      </c>
      <c r="W78" s="72">
        <v>0</v>
      </c>
      <c r="X78" s="72">
        <v>0</v>
      </c>
      <c r="Y78" s="72">
        <v>0</v>
      </c>
    </row>
    <row r="79" spans="1:25" x14ac:dyDescent="0.3">
      <c r="A79" t="s">
        <v>155</v>
      </c>
      <c r="B79" t="s">
        <v>42</v>
      </c>
      <c r="C79" s="72">
        <v>0</v>
      </c>
      <c r="D79" s="72">
        <v>0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0</v>
      </c>
    </row>
    <row r="80" spans="1:25" x14ac:dyDescent="0.3">
      <c r="A80" t="s">
        <v>156</v>
      </c>
      <c r="B80" t="s">
        <v>32</v>
      </c>
      <c r="C80" s="72">
        <v>115</v>
      </c>
      <c r="D80" s="72">
        <v>2562.5</v>
      </c>
      <c r="E80" s="72">
        <v>2447.5</v>
      </c>
      <c r="F80" s="72">
        <v>0</v>
      </c>
      <c r="G80" s="72">
        <v>0</v>
      </c>
      <c r="H80" s="72">
        <v>0</v>
      </c>
      <c r="I80" s="72">
        <v>3327</v>
      </c>
      <c r="J80" s="72">
        <v>41500</v>
      </c>
      <c r="K80" s="72">
        <v>38173</v>
      </c>
      <c r="L80" s="72">
        <v>0</v>
      </c>
      <c r="M80" s="72">
        <v>479</v>
      </c>
      <c r="N80" s="72">
        <v>3487.5</v>
      </c>
      <c r="O80" s="72">
        <v>3008.5</v>
      </c>
      <c r="P80" s="72">
        <v>416</v>
      </c>
      <c r="Q80" s="72">
        <v>198</v>
      </c>
      <c r="R80" s="72">
        <v>2625</v>
      </c>
      <c r="S80" s="72">
        <v>2011</v>
      </c>
      <c r="T80" s="72">
        <v>16.899999999999999</v>
      </c>
      <c r="U80" s="72">
        <v>237.5</v>
      </c>
      <c r="V80" s="72">
        <v>220.6</v>
      </c>
      <c r="W80" s="72">
        <v>0</v>
      </c>
      <c r="X80" s="72">
        <v>237.5</v>
      </c>
      <c r="Y80" s="72">
        <v>237.5</v>
      </c>
    </row>
    <row r="81" spans="1:25" x14ac:dyDescent="0.3">
      <c r="A81" t="s">
        <v>157</v>
      </c>
      <c r="B81" t="s">
        <v>32</v>
      </c>
      <c r="C81" s="72">
        <v>398.01</v>
      </c>
      <c r="D81" s="72">
        <v>2562.5</v>
      </c>
      <c r="E81" s="72">
        <v>2164.4899999999998</v>
      </c>
      <c r="F81" s="72">
        <v>0</v>
      </c>
      <c r="G81" s="72">
        <v>0</v>
      </c>
      <c r="H81" s="72">
        <v>0</v>
      </c>
      <c r="I81" s="72">
        <v>2198</v>
      </c>
      <c r="J81" s="72">
        <v>41500</v>
      </c>
      <c r="K81" s="72">
        <v>39302</v>
      </c>
      <c r="L81" s="72">
        <v>0</v>
      </c>
      <c r="M81" s="72">
        <v>209</v>
      </c>
      <c r="N81" s="72">
        <v>3487.5</v>
      </c>
      <c r="O81" s="72">
        <v>3278.5</v>
      </c>
      <c r="P81" s="72">
        <v>0</v>
      </c>
      <c r="Q81" s="72">
        <v>98</v>
      </c>
      <c r="R81" s="72">
        <v>2625</v>
      </c>
      <c r="S81" s="72">
        <v>2527</v>
      </c>
      <c r="T81" s="72">
        <v>0</v>
      </c>
      <c r="U81" s="72">
        <v>237.5</v>
      </c>
      <c r="V81" s="72">
        <v>237.5</v>
      </c>
      <c r="W81" s="72">
        <v>64.69</v>
      </c>
      <c r="X81" s="72">
        <v>237.5</v>
      </c>
      <c r="Y81" s="72">
        <v>172.81</v>
      </c>
    </row>
    <row r="82" spans="1:25" x14ac:dyDescent="0.3">
      <c r="A82" t="s">
        <v>158</v>
      </c>
      <c r="B82" t="s">
        <v>32</v>
      </c>
      <c r="C82" s="72">
        <v>155</v>
      </c>
      <c r="D82" s="72">
        <v>2562.5</v>
      </c>
      <c r="E82" s="72">
        <v>2407.5</v>
      </c>
      <c r="F82" s="72">
        <v>0</v>
      </c>
      <c r="G82" s="72">
        <v>0</v>
      </c>
      <c r="H82" s="72">
        <v>0</v>
      </c>
      <c r="I82" s="72">
        <v>0</v>
      </c>
      <c r="J82" s="72">
        <v>41500</v>
      </c>
      <c r="K82" s="72">
        <v>41500</v>
      </c>
      <c r="L82" s="72">
        <v>0</v>
      </c>
      <c r="M82" s="72">
        <v>0</v>
      </c>
      <c r="N82" s="72">
        <v>3487.5</v>
      </c>
      <c r="O82" s="72">
        <v>3487.5</v>
      </c>
      <c r="P82" s="72">
        <v>258</v>
      </c>
      <c r="Q82" s="72">
        <v>79</v>
      </c>
      <c r="R82" s="72">
        <v>2625</v>
      </c>
      <c r="S82" s="72">
        <v>2288</v>
      </c>
      <c r="T82" s="72">
        <v>0</v>
      </c>
      <c r="U82" s="72">
        <v>237.5</v>
      </c>
      <c r="V82" s="72">
        <v>237.5</v>
      </c>
      <c r="W82" s="72">
        <v>9.9</v>
      </c>
      <c r="X82" s="72">
        <v>237.5</v>
      </c>
      <c r="Y82" s="72">
        <v>227.6</v>
      </c>
    </row>
    <row r="83" spans="1:25" x14ac:dyDescent="0.3">
      <c r="A83" t="s">
        <v>159</v>
      </c>
      <c r="B83" t="s">
        <v>32</v>
      </c>
      <c r="C83" s="72">
        <v>194</v>
      </c>
      <c r="D83" s="72">
        <v>2562.5</v>
      </c>
      <c r="E83" s="72">
        <v>2368.5</v>
      </c>
      <c r="F83" s="72">
        <v>0</v>
      </c>
      <c r="G83" s="72">
        <v>0</v>
      </c>
      <c r="H83" s="72">
        <v>0</v>
      </c>
      <c r="I83" s="72">
        <v>2149</v>
      </c>
      <c r="J83" s="72">
        <v>41500</v>
      </c>
      <c r="K83" s="72">
        <v>39351</v>
      </c>
      <c r="L83" s="72">
        <v>0</v>
      </c>
      <c r="M83" s="72">
        <v>69</v>
      </c>
      <c r="N83" s="72">
        <v>3487.5</v>
      </c>
      <c r="O83" s="72">
        <v>3418.5</v>
      </c>
      <c r="P83" s="72">
        <v>0</v>
      </c>
      <c r="Q83" s="72">
        <v>0</v>
      </c>
      <c r="R83" s="72">
        <v>2625</v>
      </c>
      <c r="S83" s="72">
        <v>2625</v>
      </c>
      <c r="T83" s="72">
        <v>0</v>
      </c>
      <c r="U83" s="72">
        <v>237.5</v>
      </c>
      <c r="V83" s="72">
        <v>237.5</v>
      </c>
      <c r="W83" s="72">
        <v>0</v>
      </c>
      <c r="X83" s="72">
        <v>237.5</v>
      </c>
      <c r="Y83" s="72">
        <v>237.5</v>
      </c>
    </row>
    <row r="84" spans="1:25" x14ac:dyDescent="0.3">
      <c r="A84" t="s">
        <v>160</v>
      </c>
      <c r="B84" t="s">
        <v>32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</row>
    <row r="85" spans="1:25" x14ac:dyDescent="0.3">
      <c r="A85" t="s">
        <v>161</v>
      </c>
      <c r="B85" t="s">
        <v>49</v>
      </c>
      <c r="C85" s="72">
        <v>384</v>
      </c>
      <c r="D85" s="72">
        <v>6690</v>
      </c>
      <c r="E85" s="72">
        <v>6306</v>
      </c>
      <c r="F85" s="72">
        <v>200</v>
      </c>
      <c r="G85" s="72">
        <v>2800</v>
      </c>
      <c r="H85" s="72">
        <v>2600</v>
      </c>
      <c r="I85" s="72">
        <v>0</v>
      </c>
      <c r="J85" s="72">
        <v>83000</v>
      </c>
      <c r="K85" s="72">
        <v>83000</v>
      </c>
      <c r="L85" s="72">
        <v>0</v>
      </c>
      <c r="M85" s="72">
        <v>229</v>
      </c>
      <c r="N85" s="72">
        <v>6700</v>
      </c>
      <c r="O85" s="72">
        <v>6471</v>
      </c>
      <c r="P85" s="72">
        <v>0</v>
      </c>
      <c r="Q85" s="72">
        <v>456</v>
      </c>
      <c r="R85" s="72">
        <v>4500</v>
      </c>
      <c r="S85" s="72">
        <v>4044</v>
      </c>
      <c r="T85" s="72">
        <v>0</v>
      </c>
      <c r="U85" s="72">
        <v>600</v>
      </c>
      <c r="V85" s="72">
        <v>600</v>
      </c>
      <c r="W85" s="72">
        <v>29.9</v>
      </c>
      <c r="X85" s="72">
        <v>450</v>
      </c>
      <c r="Y85" s="72">
        <v>420.1</v>
      </c>
    </row>
    <row r="86" spans="1:25" x14ac:dyDescent="0.3">
      <c r="A86" t="s">
        <v>162</v>
      </c>
      <c r="B86" t="s">
        <v>49</v>
      </c>
      <c r="C86" s="72">
        <v>174</v>
      </c>
      <c r="D86" s="72">
        <v>0</v>
      </c>
      <c r="E86" s="72">
        <v>-174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0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</row>
    <row r="87" spans="1:25" x14ac:dyDescent="0.3">
      <c r="A87" t="s">
        <v>163</v>
      </c>
      <c r="B87" t="s">
        <v>33</v>
      </c>
      <c r="C87" s="72">
        <v>13</v>
      </c>
      <c r="D87" s="72">
        <v>1105.3846000000001</v>
      </c>
      <c r="E87" s="72">
        <v>1092.3846000000001</v>
      </c>
      <c r="F87" s="72">
        <v>0</v>
      </c>
      <c r="G87" s="72">
        <v>0</v>
      </c>
      <c r="H87" s="72">
        <v>0</v>
      </c>
      <c r="I87" s="72">
        <v>2398</v>
      </c>
      <c r="J87" s="72">
        <v>12000</v>
      </c>
      <c r="K87" s="72">
        <v>9602</v>
      </c>
      <c r="L87" s="72">
        <v>0</v>
      </c>
      <c r="M87" s="72">
        <v>0</v>
      </c>
      <c r="N87" s="72">
        <v>1176.9231</v>
      </c>
      <c r="O87" s="72">
        <v>1176.9231</v>
      </c>
      <c r="P87" s="72">
        <v>188</v>
      </c>
      <c r="Q87" s="72">
        <v>198</v>
      </c>
      <c r="R87" s="72">
        <v>1084.6153999999999</v>
      </c>
      <c r="S87" s="72">
        <v>698.61540000000002</v>
      </c>
      <c r="T87" s="72">
        <v>0</v>
      </c>
      <c r="U87" s="72">
        <v>92.307699999999997</v>
      </c>
      <c r="V87" s="72">
        <v>92.307699999999997</v>
      </c>
      <c r="W87" s="72">
        <v>0</v>
      </c>
      <c r="X87" s="72">
        <v>105</v>
      </c>
      <c r="Y87" s="72">
        <v>105</v>
      </c>
    </row>
    <row r="88" spans="1:25" x14ac:dyDescent="0.3">
      <c r="A88" t="s">
        <v>164</v>
      </c>
      <c r="B88" t="s">
        <v>33</v>
      </c>
      <c r="C88" s="72">
        <v>421</v>
      </c>
      <c r="D88" s="72">
        <v>1842.3077000000001</v>
      </c>
      <c r="E88" s="72">
        <v>1421.3077000000001</v>
      </c>
      <c r="F88" s="72">
        <v>0</v>
      </c>
      <c r="G88" s="72">
        <v>0</v>
      </c>
      <c r="H88" s="72">
        <v>0</v>
      </c>
      <c r="I88" s="72">
        <v>2988</v>
      </c>
      <c r="J88" s="72">
        <v>20000</v>
      </c>
      <c r="K88" s="72">
        <v>17012</v>
      </c>
      <c r="L88" s="72">
        <v>0</v>
      </c>
      <c r="M88" s="72">
        <v>179</v>
      </c>
      <c r="N88" s="72">
        <v>1961.5385000000001</v>
      </c>
      <c r="O88" s="72">
        <v>1782.5385000000001</v>
      </c>
      <c r="P88" s="72">
        <v>69</v>
      </c>
      <c r="Q88" s="72">
        <v>99</v>
      </c>
      <c r="R88" s="72">
        <v>1807.6922999999999</v>
      </c>
      <c r="S88" s="72">
        <v>1639.6922999999999</v>
      </c>
      <c r="T88" s="72">
        <v>104.8</v>
      </c>
      <c r="U88" s="72">
        <v>153.84620000000001</v>
      </c>
      <c r="V88" s="72">
        <v>49.046199999999999</v>
      </c>
      <c r="W88" s="72">
        <v>104.89</v>
      </c>
      <c r="X88" s="72">
        <v>175</v>
      </c>
      <c r="Y88" s="72">
        <v>70.11</v>
      </c>
    </row>
    <row r="89" spans="1:25" x14ac:dyDescent="0.3">
      <c r="A89" t="s">
        <v>165</v>
      </c>
      <c r="B89" t="s">
        <v>33</v>
      </c>
      <c r="C89" s="72">
        <v>13</v>
      </c>
      <c r="D89" s="72">
        <v>1842.3077000000001</v>
      </c>
      <c r="E89" s="72">
        <v>1829.3077000000001</v>
      </c>
      <c r="F89" s="72">
        <v>0</v>
      </c>
      <c r="G89" s="72">
        <v>0</v>
      </c>
      <c r="H89" s="72">
        <v>0</v>
      </c>
      <c r="I89" s="72">
        <v>3997</v>
      </c>
      <c r="J89" s="72">
        <v>20000</v>
      </c>
      <c r="K89" s="72">
        <v>16003</v>
      </c>
      <c r="L89" s="72">
        <v>0</v>
      </c>
      <c r="M89" s="72">
        <v>69</v>
      </c>
      <c r="N89" s="72">
        <v>1961.5385000000001</v>
      </c>
      <c r="O89" s="72">
        <v>1892.5385000000001</v>
      </c>
      <c r="P89" s="72">
        <v>336</v>
      </c>
      <c r="Q89" s="72">
        <v>257</v>
      </c>
      <c r="R89" s="72">
        <v>1807.6922999999999</v>
      </c>
      <c r="S89" s="72">
        <v>1214.6922999999999</v>
      </c>
      <c r="T89" s="72">
        <v>34.9</v>
      </c>
      <c r="U89" s="72">
        <v>153.84620000000001</v>
      </c>
      <c r="V89" s="72">
        <v>118.9462</v>
      </c>
      <c r="W89" s="72">
        <v>19.989999999999998</v>
      </c>
      <c r="X89" s="72">
        <v>175</v>
      </c>
      <c r="Y89" s="72">
        <v>155.01</v>
      </c>
    </row>
    <row r="90" spans="1:25" x14ac:dyDescent="0.3">
      <c r="A90" t="s">
        <v>166</v>
      </c>
      <c r="B90" t="s">
        <v>33</v>
      </c>
      <c r="C90" s="72">
        <v>108</v>
      </c>
      <c r="D90" s="72">
        <v>0</v>
      </c>
      <c r="E90" s="72">
        <v>-108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13.9</v>
      </c>
      <c r="U90" s="72">
        <v>0</v>
      </c>
      <c r="V90" s="72">
        <v>-13.9</v>
      </c>
      <c r="W90" s="72">
        <v>19.989999999999998</v>
      </c>
      <c r="X90" s="72">
        <v>0</v>
      </c>
      <c r="Y90" s="72">
        <v>-19.989999999999998</v>
      </c>
    </row>
    <row r="91" spans="1:25" x14ac:dyDescent="0.3">
      <c r="A91" t="s">
        <v>167</v>
      </c>
      <c r="B91" t="s">
        <v>34</v>
      </c>
      <c r="C91" s="72">
        <v>370</v>
      </c>
      <c r="D91" s="72">
        <v>4968.75</v>
      </c>
      <c r="E91" s="72">
        <v>4598.75</v>
      </c>
      <c r="F91" s="72">
        <v>0</v>
      </c>
      <c r="G91" s="72">
        <v>0</v>
      </c>
      <c r="H91" s="72">
        <v>0</v>
      </c>
      <c r="I91" s="72">
        <v>9298</v>
      </c>
      <c r="J91" s="72">
        <v>50625</v>
      </c>
      <c r="K91" s="72">
        <v>41327</v>
      </c>
      <c r="L91" s="72">
        <v>0</v>
      </c>
      <c r="M91" s="72">
        <v>149</v>
      </c>
      <c r="N91" s="72">
        <v>6625</v>
      </c>
      <c r="O91" s="72">
        <v>6476</v>
      </c>
      <c r="P91" s="72">
        <v>149</v>
      </c>
      <c r="Q91" s="72">
        <v>79</v>
      </c>
      <c r="R91" s="72">
        <v>5312.5</v>
      </c>
      <c r="S91" s="72">
        <v>5084.5</v>
      </c>
      <c r="T91" s="72">
        <v>34.9</v>
      </c>
      <c r="U91" s="72">
        <v>500</v>
      </c>
      <c r="V91" s="72">
        <v>465.1</v>
      </c>
      <c r="W91" s="72">
        <v>0</v>
      </c>
      <c r="X91" s="72">
        <v>468.75</v>
      </c>
      <c r="Y91" s="72">
        <v>468.75</v>
      </c>
    </row>
    <row r="92" spans="1:25" x14ac:dyDescent="0.3">
      <c r="A92" t="s">
        <v>168</v>
      </c>
      <c r="B92" t="s">
        <v>34</v>
      </c>
      <c r="C92" s="72">
        <v>186</v>
      </c>
      <c r="D92" s="72">
        <v>2981.25</v>
      </c>
      <c r="E92" s="72">
        <v>2795.25</v>
      </c>
      <c r="F92" s="72">
        <v>0</v>
      </c>
      <c r="G92" s="72">
        <v>0</v>
      </c>
      <c r="H92" s="72">
        <v>0</v>
      </c>
      <c r="I92" s="72">
        <v>2699</v>
      </c>
      <c r="J92" s="72">
        <v>30375</v>
      </c>
      <c r="K92" s="72">
        <v>27676</v>
      </c>
      <c r="L92" s="72">
        <v>0</v>
      </c>
      <c r="M92" s="72">
        <v>229</v>
      </c>
      <c r="N92" s="72">
        <v>3975</v>
      </c>
      <c r="O92" s="72">
        <v>3746</v>
      </c>
      <c r="P92" s="72">
        <v>218</v>
      </c>
      <c r="Q92" s="72">
        <v>417</v>
      </c>
      <c r="R92" s="72">
        <v>3187.5</v>
      </c>
      <c r="S92" s="72">
        <v>2552.5</v>
      </c>
      <c r="T92" s="72">
        <v>0</v>
      </c>
      <c r="U92" s="72">
        <v>300</v>
      </c>
      <c r="V92" s="72">
        <v>300</v>
      </c>
      <c r="W92" s="72">
        <v>0</v>
      </c>
      <c r="X92" s="72">
        <v>281.25</v>
      </c>
      <c r="Y92" s="72">
        <v>281.25</v>
      </c>
    </row>
    <row r="93" spans="1:25" x14ac:dyDescent="0.3">
      <c r="A93" t="s">
        <v>169</v>
      </c>
      <c r="B93" t="s">
        <v>34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  <c r="Q93" s="72">
        <v>0</v>
      </c>
      <c r="R93" s="72">
        <v>0</v>
      </c>
      <c r="S93" s="72">
        <v>0</v>
      </c>
      <c r="T93" s="72">
        <v>16.899999999999999</v>
      </c>
      <c r="U93" s="72">
        <v>0</v>
      </c>
      <c r="V93" s="72">
        <v>-16.899999999999999</v>
      </c>
      <c r="W93" s="72">
        <v>0</v>
      </c>
      <c r="X93" s="72">
        <v>0</v>
      </c>
      <c r="Y93" s="72">
        <v>0</v>
      </c>
    </row>
    <row r="94" spans="1:25" x14ac:dyDescent="0.3">
      <c r="A94" t="s">
        <v>170</v>
      </c>
      <c r="B94" t="s">
        <v>35</v>
      </c>
      <c r="C94" s="72">
        <v>221.99</v>
      </c>
      <c r="D94" s="72">
        <v>3750</v>
      </c>
      <c r="E94" s="72">
        <v>3528.01</v>
      </c>
      <c r="F94" s="72">
        <v>0</v>
      </c>
      <c r="G94" s="72">
        <v>0</v>
      </c>
      <c r="H94" s="72">
        <v>0</v>
      </c>
      <c r="I94" s="72">
        <v>0</v>
      </c>
      <c r="J94" s="72">
        <v>41000</v>
      </c>
      <c r="K94" s="72">
        <v>41000</v>
      </c>
      <c r="L94" s="72">
        <v>0</v>
      </c>
      <c r="M94" s="72">
        <v>0</v>
      </c>
      <c r="N94" s="72">
        <v>4250</v>
      </c>
      <c r="O94" s="72">
        <v>4250</v>
      </c>
      <c r="P94" s="72">
        <v>0</v>
      </c>
      <c r="Q94" s="72">
        <v>0</v>
      </c>
      <c r="R94" s="72">
        <v>3200</v>
      </c>
      <c r="S94" s="72">
        <v>3200</v>
      </c>
      <c r="T94" s="72">
        <v>27.8</v>
      </c>
      <c r="U94" s="72">
        <v>330</v>
      </c>
      <c r="V94" s="72">
        <v>302.2</v>
      </c>
      <c r="W94" s="72">
        <v>0</v>
      </c>
      <c r="X94" s="72">
        <v>350</v>
      </c>
      <c r="Y94" s="72">
        <v>350</v>
      </c>
    </row>
    <row r="95" spans="1:25" x14ac:dyDescent="0.3">
      <c r="A95" t="s">
        <v>171</v>
      </c>
      <c r="B95" t="s">
        <v>35</v>
      </c>
      <c r="C95" s="72">
        <v>206</v>
      </c>
      <c r="D95" s="72">
        <v>3750</v>
      </c>
      <c r="E95" s="72">
        <v>3544</v>
      </c>
      <c r="F95" s="72">
        <v>0</v>
      </c>
      <c r="G95" s="72">
        <v>0</v>
      </c>
      <c r="H95" s="72">
        <v>0</v>
      </c>
      <c r="I95" s="72">
        <v>0</v>
      </c>
      <c r="J95" s="72">
        <v>41000</v>
      </c>
      <c r="K95" s="72">
        <v>41000</v>
      </c>
      <c r="L95" s="72">
        <v>0</v>
      </c>
      <c r="M95" s="72">
        <v>0</v>
      </c>
      <c r="N95" s="72">
        <v>4250</v>
      </c>
      <c r="O95" s="72">
        <v>4250</v>
      </c>
      <c r="P95" s="72">
        <v>69</v>
      </c>
      <c r="Q95" s="72">
        <v>0</v>
      </c>
      <c r="R95" s="72">
        <v>3200</v>
      </c>
      <c r="S95" s="72">
        <v>3131</v>
      </c>
      <c r="T95" s="72">
        <v>0</v>
      </c>
      <c r="U95" s="72">
        <v>330</v>
      </c>
      <c r="V95" s="72">
        <v>330</v>
      </c>
      <c r="W95" s="72">
        <v>20.9</v>
      </c>
      <c r="X95" s="72">
        <v>350</v>
      </c>
      <c r="Y95" s="72">
        <v>329.1</v>
      </c>
    </row>
    <row r="96" spans="1:25" x14ac:dyDescent="0.3">
      <c r="A96" t="s">
        <v>172</v>
      </c>
      <c r="B96" t="s">
        <v>35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</row>
    <row r="97" spans="1:25" x14ac:dyDescent="0.3">
      <c r="A97" t="s">
        <v>173</v>
      </c>
      <c r="B97" t="s">
        <v>51</v>
      </c>
      <c r="C97" s="72">
        <v>47</v>
      </c>
      <c r="D97" s="72">
        <v>0</v>
      </c>
      <c r="E97" s="72">
        <v>-47</v>
      </c>
      <c r="F97" s="72">
        <v>100</v>
      </c>
      <c r="G97" s="72">
        <v>0</v>
      </c>
      <c r="H97" s="72">
        <v>-100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</row>
    <row r="98" spans="1:25" x14ac:dyDescent="0.3">
      <c r="A98" t="s">
        <v>174</v>
      </c>
      <c r="B98" t="s">
        <v>51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0</v>
      </c>
      <c r="Y98" s="72">
        <v>0</v>
      </c>
    </row>
    <row r="99" spans="1:25" x14ac:dyDescent="0.3">
      <c r="A99" t="s">
        <v>175</v>
      </c>
      <c r="B99" t="s">
        <v>51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</row>
    <row r="100" spans="1:25" x14ac:dyDescent="0.3">
      <c r="A100" t="s">
        <v>176</v>
      </c>
      <c r="B100" t="s">
        <v>51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</row>
    <row r="101" spans="1:25" x14ac:dyDescent="0.3">
      <c r="A101" t="s">
        <v>177</v>
      </c>
      <c r="B101" t="s">
        <v>50</v>
      </c>
      <c r="C101" s="72">
        <v>256</v>
      </c>
      <c r="D101" s="72">
        <v>3989.5832999999998</v>
      </c>
      <c r="E101" s="72">
        <v>3733.5832999999998</v>
      </c>
      <c r="F101" s="72">
        <v>0</v>
      </c>
      <c r="G101" s="72">
        <v>1666.6667</v>
      </c>
      <c r="H101" s="72">
        <v>1666.6667</v>
      </c>
      <c r="I101" s="72">
        <v>4599</v>
      </c>
      <c r="J101" s="72">
        <v>39375</v>
      </c>
      <c r="K101" s="72">
        <v>34776</v>
      </c>
      <c r="L101" s="72">
        <v>0</v>
      </c>
      <c r="M101" s="72">
        <v>0</v>
      </c>
      <c r="N101" s="72">
        <v>7500</v>
      </c>
      <c r="O101" s="72">
        <v>7500</v>
      </c>
      <c r="P101" s="72">
        <v>0</v>
      </c>
      <c r="Q101" s="72">
        <v>0</v>
      </c>
      <c r="R101" s="72">
        <v>2812.5</v>
      </c>
      <c r="S101" s="72">
        <v>2812.5</v>
      </c>
      <c r="T101" s="72">
        <v>16.899999999999999</v>
      </c>
      <c r="U101" s="72">
        <v>427.08330000000001</v>
      </c>
      <c r="V101" s="72">
        <v>410.18329999999997</v>
      </c>
      <c r="W101" s="72">
        <v>20.9</v>
      </c>
      <c r="X101" s="72">
        <v>291.66669999999999</v>
      </c>
      <c r="Y101" s="72">
        <v>270.76670000000001</v>
      </c>
    </row>
    <row r="102" spans="1:25" x14ac:dyDescent="0.3">
      <c r="A102" t="s">
        <v>178</v>
      </c>
      <c r="B102" t="s">
        <v>50</v>
      </c>
      <c r="C102" s="72">
        <v>506</v>
      </c>
      <c r="D102" s="72">
        <v>3989.5832999999998</v>
      </c>
      <c r="E102" s="72">
        <v>3483.5832999999998</v>
      </c>
      <c r="F102" s="72">
        <v>20</v>
      </c>
      <c r="G102" s="72">
        <v>1666.6667</v>
      </c>
      <c r="H102" s="72">
        <v>1646.6667</v>
      </c>
      <c r="I102" s="72">
        <v>799</v>
      </c>
      <c r="J102" s="72">
        <v>39375</v>
      </c>
      <c r="K102" s="72">
        <v>38576</v>
      </c>
      <c r="L102" s="72">
        <v>0</v>
      </c>
      <c r="M102" s="72">
        <v>229</v>
      </c>
      <c r="N102" s="72">
        <v>7500</v>
      </c>
      <c r="O102" s="72">
        <v>7271</v>
      </c>
      <c r="P102" s="72">
        <v>89</v>
      </c>
      <c r="Q102" s="72">
        <v>298</v>
      </c>
      <c r="R102" s="72">
        <v>2812.5</v>
      </c>
      <c r="S102" s="72">
        <v>2425.5</v>
      </c>
      <c r="T102" s="72">
        <v>33.799999999999997</v>
      </c>
      <c r="U102" s="72">
        <v>427.08330000000001</v>
      </c>
      <c r="V102" s="72">
        <v>393.2833</v>
      </c>
      <c r="W102" s="72">
        <v>0</v>
      </c>
      <c r="X102" s="72">
        <v>291.66669999999999</v>
      </c>
      <c r="Y102" s="72">
        <v>291.66669999999999</v>
      </c>
    </row>
    <row r="103" spans="1:25" x14ac:dyDescent="0.3">
      <c r="A103" t="s">
        <v>179</v>
      </c>
      <c r="B103" t="s">
        <v>50</v>
      </c>
      <c r="C103" s="72">
        <v>398.75</v>
      </c>
      <c r="D103" s="72">
        <v>3989.5832999999998</v>
      </c>
      <c r="E103" s="72">
        <v>3590.8332999999998</v>
      </c>
      <c r="F103" s="72">
        <v>40</v>
      </c>
      <c r="G103" s="72">
        <v>1666.6667</v>
      </c>
      <c r="H103" s="72">
        <v>1626.6667</v>
      </c>
      <c r="I103" s="72">
        <v>5297</v>
      </c>
      <c r="J103" s="72">
        <v>39375</v>
      </c>
      <c r="K103" s="72">
        <v>34078</v>
      </c>
      <c r="L103" s="72">
        <v>0</v>
      </c>
      <c r="M103" s="72">
        <v>0</v>
      </c>
      <c r="N103" s="72">
        <v>7500</v>
      </c>
      <c r="O103" s="72">
        <v>7500</v>
      </c>
      <c r="P103" s="72">
        <v>0</v>
      </c>
      <c r="Q103" s="72">
        <v>296</v>
      </c>
      <c r="R103" s="72">
        <v>2812.5</v>
      </c>
      <c r="S103" s="72">
        <v>2516.5</v>
      </c>
      <c r="T103" s="72">
        <v>30.8</v>
      </c>
      <c r="U103" s="72">
        <v>427.08330000000001</v>
      </c>
      <c r="V103" s="72">
        <v>396.2833</v>
      </c>
      <c r="W103" s="72">
        <v>189.6</v>
      </c>
      <c r="X103" s="72">
        <v>291.66669999999999</v>
      </c>
      <c r="Y103" s="72">
        <v>102.0667</v>
      </c>
    </row>
    <row r="104" spans="1:25" x14ac:dyDescent="0.3">
      <c r="A104" t="s">
        <v>180</v>
      </c>
      <c r="B104" t="s">
        <v>50</v>
      </c>
      <c r="C104" s="72">
        <v>445</v>
      </c>
      <c r="D104" s="72">
        <v>3191.6667000000002</v>
      </c>
      <c r="E104" s="72">
        <v>2746.6667000000002</v>
      </c>
      <c r="F104" s="72">
        <v>90</v>
      </c>
      <c r="G104" s="72">
        <v>1333.3333</v>
      </c>
      <c r="H104" s="72">
        <v>1243.3333</v>
      </c>
      <c r="I104" s="72">
        <v>0</v>
      </c>
      <c r="J104" s="72">
        <v>31500</v>
      </c>
      <c r="K104" s="72">
        <v>31500</v>
      </c>
      <c r="L104" s="72">
        <v>0</v>
      </c>
      <c r="M104" s="72">
        <v>0</v>
      </c>
      <c r="N104" s="72">
        <v>6000</v>
      </c>
      <c r="O104" s="72">
        <v>6000</v>
      </c>
      <c r="P104" s="72">
        <v>0</v>
      </c>
      <c r="Q104" s="72">
        <v>0</v>
      </c>
      <c r="R104" s="72">
        <v>2250</v>
      </c>
      <c r="S104" s="72">
        <v>2250</v>
      </c>
      <c r="T104" s="72">
        <v>34.9</v>
      </c>
      <c r="U104" s="72">
        <v>341.66669999999999</v>
      </c>
      <c r="V104" s="72">
        <v>306.76670000000001</v>
      </c>
      <c r="W104" s="72">
        <v>0</v>
      </c>
      <c r="X104" s="72">
        <v>233.33330000000001</v>
      </c>
      <c r="Y104" s="72">
        <v>233.33330000000001</v>
      </c>
    </row>
    <row r="105" spans="1:25" x14ac:dyDescent="0.3">
      <c r="A105" t="s">
        <v>181</v>
      </c>
      <c r="B105" t="s">
        <v>50</v>
      </c>
      <c r="C105" s="72">
        <v>431.77</v>
      </c>
      <c r="D105" s="72">
        <v>3989.5832999999998</v>
      </c>
      <c r="E105" s="72">
        <v>3557.8132999999998</v>
      </c>
      <c r="F105" s="72">
        <v>162</v>
      </c>
      <c r="G105" s="72">
        <v>1666.6667</v>
      </c>
      <c r="H105" s="72">
        <v>1504.6667</v>
      </c>
      <c r="I105" s="72">
        <v>8197</v>
      </c>
      <c r="J105" s="72">
        <v>39375</v>
      </c>
      <c r="K105" s="72">
        <v>31178</v>
      </c>
      <c r="L105" s="72">
        <v>0</v>
      </c>
      <c r="M105" s="72">
        <v>4747</v>
      </c>
      <c r="N105" s="72">
        <v>7500</v>
      </c>
      <c r="O105" s="72">
        <v>2753</v>
      </c>
      <c r="P105" s="72">
        <v>407</v>
      </c>
      <c r="Q105" s="72">
        <v>79</v>
      </c>
      <c r="R105" s="72">
        <v>2812.5</v>
      </c>
      <c r="S105" s="72">
        <v>2326.5</v>
      </c>
      <c r="T105" s="72">
        <v>68.7</v>
      </c>
      <c r="U105" s="72">
        <v>427.08330000000001</v>
      </c>
      <c r="V105" s="72">
        <v>358.38330000000002</v>
      </c>
      <c r="W105" s="72">
        <v>24.98</v>
      </c>
      <c r="X105" s="72">
        <v>291.66669999999999</v>
      </c>
      <c r="Y105" s="72">
        <v>266.68669999999997</v>
      </c>
    </row>
    <row r="106" spans="1:25" x14ac:dyDescent="0.3">
      <c r="A106" t="s">
        <v>182</v>
      </c>
      <c r="B106" t="s">
        <v>50</v>
      </c>
      <c r="C106" s="72">
        <v>0</v>
      </c>
      <c r="D106" s="72">
        <v>0</v>
      </c>
      <c r="E106" s="72">
        <v>0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  <c r="Q106" s="72">
        <v>0</v>
      </c>
      <c r="R106" s="72">
        <v>0</v>
      </c>
      <c r="S106" s="72">
        <v>0</v>
      </c>
      <c r="T106" s="72">
        <v>0</v>
      </c>
      <c r="U106" s="72">
        <v>0</v>
      </c>
      <c r="V106" s="72">
        <v>0</v>
      </c>
      <c r="W106" s="72">
        <v>0</v>
      </c>
      <c r="X106" s="72">
        <v>0</v>
      </c>
      <c r="Y106" s="72">
        <v>0</v>
      </c>
    </row>
    <row r="107" spans="1:25" x14ac:dyDescent="0.3">
      <c r="A107" t="s">
        <v>183</v>
      </c>
      <c r="B107" t="s">
        <v>50</v>
      </c>
      <c r="C107" s="72">
        <v>126</v>
      </c>
      <c r="D107" s="72">
        <v>0</v>
      </c>
      <c r="E107" s="72">
        <v>-126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0</v>
      </c>
      <c r="U107" s="72">
        <v>0</v>
      </c>
      <c r="V107" s="72">
        <v>0</v>
      </c>
      <c r="W107" s="72">
        <v>0</v>
      </c>
      <c r="X107" s="72">
        <v>0</v>
      </c>
      <c r="Y107" s="7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B7C6-9DCB-459B-898A-82F6542762DF}">
  <dimension ref="A1:T107"/>
  <sheetViews>
    <sheetView topLeftCell="H1" workbookViewId="0">
      <selection activeCell="E2" sqref="E2"/>
    </sheetView>
  </sheetViews>
  <sheetFormatPr defaultRowHeight="14.4" x14ac:dyDescent="0.3"/>
  <cols>
    <col min="1" max="1" width="38" bestFit="1" customWidth="1"/>
    <col min="2" max="2" width="25.21875" bestFit="1" customWidth="1"/>
    <col min="3" max="3" width="16.109375" style="72" bestFit="1" customWidth="1"/>
    <col min="4" max="4" width="13.5546875" style="72" bestFit="1" customWidth="1"/>
    <col min="5" max="5" width="10.5546875" style="72" bestFit="1" customWidth="1"/>
    <col min="6" max="6" width="19.5546875" style="72" bestFit="1" customWidth="1"/>
    <col min="7" max="7" width="20.6640625" style="72" bestFit="1" customWidth="1"/>
    <col min="8" max="8" width="21.6640625" style="72" bestFit="1" customWidth="1"/>
    <col min="9" max="9" width="17.44140625" style="72" bestFit="1" customWidth="1"/>
    <col min="10" max="10" width="13.21875" style="72" bestFit="1" customWidth="1"/>
    <col min="11" max="11" width="13.44140625" style="72" bestFit="1" customWidth="1"/>
    <col min="12" max="12" width="20" style="72" bestFit="1" customWidth="1"/>
    <col min="13" max="13" width="20.21875" style="72" bestFit="1" customWidth="1"/>
    <col min="14" max="14" width="17.77734375" style="72" bestFit="1" customWidth="1"/>
    <col min="15" max="16" width="18.77734375" style="72" bestFit="1" customWidth="1"/>
    <col min="17" max="17" width="17.77734375" style="72" bestFit="1" customWidth="1"/>
    <col min="18" max="18" width="17.77734375" bestFit="1" customWidth="1"/>
    <col min="19" max="19" width="12.109375" bestFit="1" customWidth="1"/>
    <col min="20" max="20" width="17.6640625" bestFit="1" customWidth="1"/>
  </cols>
  <sheetData>
    <row r="1" spans="1:20" x14ac:dyDescent="0.3">
      <c r="A1" t="s">
        <v>53</v>
      </c>
      <c r="B1" t="s">
        <v>54</v>
      </c>
      <c r="C1" s="72" t="s">
        <v>184</v>
      </c>
      <c r="D1" s="72" t="s">
        <v>185</v>
      </c>
      <c r="E1" t="s">
        <v>186</v>
      </c>
      <c r="F1" s="72" t="s">
        <v>187</v>
      </c>
      <c r="G1" s="72" t="s">
        <v>188</v>
      </c>
      <c r="H1" s="72" t="s">
        <v>189</v>
      </c>
      <c r="I1" s="72" t="s">
        <v>190</v>
      </c>
      <c r="J1" s="72" t="s">
        <v>191</v>
      </c>
      <c r="K1" s="72" t="s">
        <v>192</v>
      </c>
      <c r="L1" s="72" t="s">
        <v>193</v>
      </c>
      <c r="M1" s="72" t="s">
        <v>194</v>
      </c>
      <c r="N1" s="72" t="s">
        <v>195</v>
      </c>
      <c r="O1" s="72" t="s">
        <v>196</v>
      </c>
      <c r="P1" s="72" t="s">
        <v>197</v>
      </c>
      <c r="Q1" s="72" t="s">
        <v>198</v>
      </c>
      <c r="R1" s="72" t="s">
        <v>199</v>
      </c>
      <c r="S1" t="s">
        <v>200</v>
      </c>
      <c r="T1" t="s">
        <v>201</v>
      </c>
    </row>
    <row r="2" spans="1:20" x14ac:dyDescent="0.3">
      <c r="A2" s="249" t="s">
        <v>78</v>
      </c>
      <c r="B2" s="249" t="s">
        <v>27</v>
      </c>
      <c r="C2" s="72">
        <v>2063.9800000000009</v>
      </c>
      <c r="D2" s="72">
        <v>0</v>
      </c>
      <c r="E2" s="72">
        <v>0</v>
      </c>
      <c r="F2" s="72">
        <v>24429.000000000011</v>
      </c>
      <c r="G2" s="72">
        <v>2310.0000000000009</v>
      </c>
      <c r="H2" s="72">
        <v>2016.0000000000009</v>
      </c>
      <c r="I2" s="72">
        <v>281.30000000000013</v>
      </c>
      <c r="J2" s="72">
        <v>303.09000000000009</v>
      </c>
      <c r="K2" s="72">
        <v>0</v>
      </c>
      <c r="L2" s="72">
        <v>0</v>
      </c>
      <c r="M2" s="72">
        <v>0</v>
      </c>
      <c r="N2" s="72">
        <v>0</v>
      </c>
      <c r="O2" s="72">
        <v>0</v>
      </c>
      <c r="P2" s="72">
        <v>2016.0000000000009</v>
      </c>
      <c r="Q2" s="72">
        <v>1139.0000000000005</v>
      </c>
      <c r="R2" s="72">
        <v>1171.0000000000005</v>
      </c>
      <c r="S2" s="72">
        <v>0</v>
      </c>
      <c r="T2" s="249" t="s">
        <v>28</v>
      </c>
    </row>
    <row r="3" spans="1:20" x14ac:dyDescent="0.3">
      <c r="A3" s="249" t="s">
        <v>79</v>
      </c>
      <c r="B3" s="249" t="s">
        <v>27</v>
      </c>
      <c r="C3" s="72">
        <v>1128.9700000000005</v>
      </c>
      <c r="D3" s="72">
        <v>0</v>
      </c>
      <c r="E3" s="72">
        <v>0</v>
      </c>
      <c r="F3" s="72">
        <v>12152.000000000005</v>
      </c>
      <c r="G3" s="72">
        <v>2369.0000000000009</v>
      </c>
      <c r="H3" s="72">
        <v>3625.0000000000018</v>
      </c>
      <c r="I3" s="72">
        <v>213.40000000000009</v>
      </c>
      <c r="J3" s="72">
        <v>217.49000000000009</v>
      </c>
      <c r="K3" s="72">
        <v>0</v>
      </c>
      <c r="L3" s="72">
        <v>0</v>
      </c>
      <c r="M3" s="72">
        <v>0</v>
      </c>
      <c r="N3" s="72">
        <v>0</v>
      </c>
      <c r="O3" s="72">
        <v>0</v>
      </c>
      <c r="P3" s="72">
        <v>3625.0000000000018</v>
      </c>
      <c r="Q3" s="72">
        <v>741.00000000000034</v>
      </c>
      <c r="R3" s="72">
        <v>1628.0000000000007</v>
      </c>
      <c r="S3" s="72">
        <v>0</v>
      </c>
      <c r="T3" s="249" t="s">
        <v>28</v>
      </c>
    </row>
    <row r="4" spans="1:20" x14ac:dyDescent="0.3">
      <c r="A4" s="249" t="s">
        <v>80</v>
      </c>
      <c r="B4" s="249" t="s">
        <v>27</v>
      </c>
      <c r="C4" s="72">
        <v>2282.2300000000005</v>
      </c>
      <c r="D4" s="72">
        <v>0</v>
      </c>
      <c r="E4" s="72">
        <v>0</v>
      </c>
      <c r="F4" s="72">
        <v>29989.000000000015</v>
      </c>
      <c r="G4" s="72">
        <v>2984.0000000000014</v>
      </c>
      <c r="H4" s="72">
        <v>5411.0000000000027</v>
      </c>
      <c r="I4" s="72">
        <v>291.7000000000001</v>
      </c>
      <c r="J4" s="72">
        <v>297.88000000000011</v>
      </c>
      <c r="K4" s="72">
        <v>0</v>
      </c>
      <c r="L4" s="72">
        <v>0</v>
      </c>
      <c r="M4" s="72">
        <v>0</v>
      </c>
      <c r="N4" s="72">
        <v>0</v>
      </c>
      <c r="O4" s="72">
        <v>0</v>
      </c>
      <c r="P4" s="72">
        <v>5411.0000000000027</v>
      </c>
      <c r="Q4" s="72">
        <v>1495.0000000000007</v>
      </c>
      <c r="R4" s="72">
        <v>1489.0000000000007</v>
      </c>
      <c r="S4" s="72">
        <v>0</v>
      </c>
      <c r="T4" s="249" t="s">
        <v>28</v>
      </c>
    </row>
    <row r="5" spans="1:20" x14ac:dyDescent="0.3">
      <c r="A5" s="249" t="s">
        <v>82</v>
      </c>
      <c r="B5" s="249" t="s">
        <v>29</v>
      </c>
      <c r="C5" s="72">
        <v>4690.9400000000005</v>
      </c>
      <c r="D5" s="72">
        <v>0</v>
      </c>
      <c r="E5" s="72">
        <v>0</v>
      </c>
      <c r="F5" s="72">
        <v>32589.000000000015</v>
      </c>
      <c r="G5" s="72">
        <v>3239.0000000000014</v>
      </c>
      <c r="H5" s="72">
        <v>8183.0000000000036</v>
      </c>
      <c r="I5" s="72">
        <v>397.6</v>
      </c>
      <c r="J5" s="72">
        <v>329.56000000000017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8183.0000000000036</v>
      </c>
      <c r="Q5" s="72">
        <v>1881.0000000000009</v>
      </c>
      <c r="R5" s="72">
        <v>1358.0000000000007</v>
      </c>
      <c r="S5" s="72">
        <v>0</v>
      </c>
      <c r="T5" s="249" t="s">
        <v>28</v>
      </c>
    </row>
    <row r="6" spans="1:20" x14ac:dyDescent="0.3">
      <c r="A6" s="249" t="s">
        <v>83</v>
      </c>
      <c r="B6" s="249" t="s">
        <v>29</v>
      </c>
      <c r="C6" s="72">
        <v>4259.9900000000016</v>
      </c>
      <c r="D6" s="72">
        <v>0</v>
      </c>
      <c r="E6" s="72">
        <v>0</v>
      </c>
      <c r="F6" s="72">
        <v>29234.000000000015</v>
      </c>
      <c r="G6" s="72">
        <v>3305.0000000000014</v>
      </c>
      <c r="H6" s="72">
        <v>4612.0000000000018</v>
      </c>
      <c r="I6" s="72">
        <v>254.60000000000016</v>
      </c>
      <c r="J6" s="72">
        <v>282.18000000000012</v>
      </c>
      <c r="K6" s="72">
        <v>0</v>
      </c>
      <c r="L6" s="72">
        <v>0</v>
      </c>
      <c r="M6" s="72">
        <v>0</v>
      </c>
      <c r="N6" s="72">
        <v>0</v>
      </c>
      <c r="O6" s="72">
        <v>199.00000000000009</v>
      </c>
      <c r="P6" s="72">
        <v>4413.0000000000018</v>
      </c>
      <c r="Q6" s="72">
        <v>1781.0000000000007</v>
      </c>
      <c r="R6" s="72">
        <v>1524.0000000000007</v>
      </c>
      <c r="S6" s="72">
        <v>0</v>
      </c>
      <c r="T6" s="249" t="s">
        <v>28</v>
      </c>
    </row>
    <row r="7" spans="1:20" x14ac:dyDescent="0.3">
      <c r="A7" s="249" t="s">
        <v>84</v>
      </c>
      <c r="B7" s="249" t="s">
        <v>29</v>
      </c>
      <c r="C7" s="72">
        <v>4235.5300000000025</v>
      </c>
      <c r="D7" s="72">
        <v>0</v>
      </c>
      <c r="E7" s="72">
        <v>0</v>
      </c>
      <c r="F7" s="72">
        <v>30870.000000000015</v>
      </c>
      <c r="G7" s="72">
        <v>3041.0000000000014</v>
      </c>
      <c r="H7" s="72">
        <v>3767.0000000000018</v>
      </c>
      <c r="I7" s="72">
        <v>358.20000000000016</v>
      </c>
      <c r="J7" s="72">
        <v>252.55000000000013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3767.0000000000018</v>
      </c>
      <c r="Q7" s="72">
        <v>742.00000000000034</v>
      </c>
      <c r="R7" s="72">
        <v>2299.0000000000009</v>
      </c>
      <c r="S7" s="72">
        <v>0</v>
      </c>
      <c r="T7" s="249" t="s">
        <v>28</v>
      </c>
    </row>
    <row r="8" spans="1:20" x14ac:dyDescent="0.3">
      <c r="A8" s="249" t="s">
        <v>86</v>
      </c>
      <c r="B8" s="249" t="s">
        <v>36</v>
      </c>
      <c r="C8" s="72">
        <v>3269.2400000000011</v>
      </c>
      <c r="D8" s="72">
        <v>1164.0000000000005</v>
      </c>
      <c r="E8" s="72">
        <v>10</v>
      </c>
      <c r="F8" s="72">
        <v>24723.000000000011</v>
      </c>
      <c r="G8" s="72">
        <v>2104.0000000000009</v>
      </c>
      <c r="H8" s="72">
        <v>5339.0000000000027</v>
      </c>
      <c r="I8" s="72">
        <v>321.60000000000019</v>
      </c>
      <c r="J8" s="72">
        <v>317.50000000000011</v>
      </c>
      <c r="K8" s="72">
        <v>0</v>
      </c>
      <c r="L8" s="72">
        <v>0</v>
      </c>
      <c r="M8" s="72">
        <v>0</v>
      </c>
      <c r="N8" s="72">
        <v>0</v>
      </c>
      <c r="O8" s="72">
        <v>78.000000000000028</v>
      </c>
      <c r="P8" s="72">
        <v>5261.0000000000027</v>
      </c>
      <c r="Q8" s="72">
        <v>881.00000000000034</v>
      </c>
      <c r="R8" s="72">
        <v>1223.0000000000005</v>
      </c>
      <c r="S8" s="72">
        <v>0.7142857142857143</v>
      </c>
      <c r="T8" s="249" t="s">
        <v>202</v>
      </c>
    </row>
    <row r="9" spans="1:20" x14ac:dyDescent="0.3">
      <c r="A9" s="249" t="s">
        <v>87</v>
      </c>
      <c r="B9" s="249" t="s">
        <v>36</v>
      </c>
      <c r="C9" s="72">
        <v>2245.9500000000007</v>
      </c>
      <c r="D9" s="72">
        <v>1334.9900000000007</v>
      </c>
      <c r="E9" s="72">
        <v>10</v>
      </c>
      <c r="F9" s="72">
        <v>38673.000000000015</v>
      </c>
      <c r="G9" s="72">
        <v>1931.0000000000009</v>
      </c>
      <c r="H9" s="72">
        <v>4388.6000000000022</v>
      </c>
      <c r="I9" s="72">
        <v>156.70000000000007</v>
      </c>
      <c r="J9" s="72">
        <v>209.7000000000001</v>
      </c>
      <c r="K9" s="72">
        <v>0</v>
      </c>
      <c r="L9" s="72">
        <v>0</v>
      </c>
      <c r="M9" s="72">
        <v>0</v>
      </c>
      <c r="N9" s="72">
        <v>0</v>
      </c>
      <c r="O9" s="72">
        <v>199.00000000000009</v>
      </c>
      <c r="P9" s="72">
        <v>4189.6000000000022</v>
      </c>
      <c r="Q9" s="72">
        <v>930.00000000000045</v>
      </c>
      <c r="R9" s="72">
        <v>1001.0000000000005</v>
      </c>
      <c r="S9" s="72">
        <v>0.7142857142857143</v>
      </c>
      <c r="T9" s="249" t="s">
        <v>202</v>
      </c>
    </row>
    <row r="10" spans="1:20" x14ac:dyDescent="0.3">
      <c r="A10" s="249" t="s">
        <v>89</v>
      </c>
      <c r="B10" s="249" t="s">
        <v>38</v>
      </c>
      <c r="C10" s="72">
        <v>1696.0000000000007</v>
      </c>
      <c r="D10" s="72">
        <v>1314.9000000000008</v>
      </c>
      <c r="E10" s="72">
        <v>11</v>
      </c>
      <c r="F10" s="72">
        <v>16353.000000000007</v>
      </c>
      <c r="G10" s="72">
        <v>1642.0000000000007</v>
      </c>
      <c r="H10" s="72">
        <v>2963.0000000000014</v>
      </c>
      <c r="I10" s="72">
        <v>121.70000000000006</v>
      </c>
      <c r="J10" s="72">
        <v>249.29000000000013</v>
      </c>
      <c r="K10" s="72">
        <v>0</v>
      </c>
      <c r="L10" s="72">
        <v>0</v>
      </c>
      <c r="M10" s="72">
        <v>0</v>
      </c>
      <c r="N10" s="72">
        <v>0</v>
      </c>
      <c r="O10" s="72">
        <v>209.00000000000009</v>
      </c>
      <c r="P10" s="72">
        <v>2754.0000000000014</v>
      </c>
      <c r="Q10" s="72">
        <v>543.00000000000023</v>
      </c>
      <c r="R10" s="72">
        <v>1099.0000000000005</v>
      </c>
      <c r="S10" s="72">
        <v>0.7857142857142857</v>
      </c>
      <c r="T10" s="249" t="s">
        <v>202</v>
      </c>
    </row>
    <row r="11" spans="1:20" x14ac:dyDescent="0.3">
      <c r="A11" s="249" t="s">
        <v>90</v>
      </c>
      <c r="B11" s="249" t="s">
        <v>38</v>
      </c>
      <c r="C11" s="72">
        <v>441.01000000000016</v>
      </c>
      <c r="D11" s="72">
        <v>290.00000000000011</v>
      </c>
      <c r="E11" s="72">
        <v>3</v>
      </c>
      <c r="F11" s="72">
        <v>1549.0000000000007</v>
      </c>
      <c r="G11" s="72">
        <v>69.000000000000028</v>
      </c>
      <c r="H11" s="72">
        <v>0</v>
      </c>
      <c r="I11" s="72">
        <v>104.80000000000005</v>
      </c>
      <c r="J11" s="72">
        <v>20.900000000000009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69.000000000000028</v>
      </c>
      <c r="R11" s="72">
        <v>0</v>
      </c>
      <c r="S11" s="72">
        <v>0.21428571428571427</v>
      </c>
      <c r="T11" s="249" t="s">
        <v>202</v>
      </c>
    </row>
    <row r="12" spans="1:20" x14ac:dyDescent="0.3">
      <c r="A12" s="249" t="s">
        <v>91</v>
      </c>
      <c r="B12" s="249" t="s">
        <v>38</v>
      </c>
      <c r="C12" s="72">
        <v>1757.0000000000007</v>
      </c>
      <c r="D12" s="72">
        <v>1479.9900000000007</v>
      </c>
      <c r="E12" s="72">
        <v>14</v>
      </c>
      <c r="F12" s="72">
        <v>38590.000000000015</v>
      </c>
      <c r="G12" s="72">
        <v>2389.0000000000009</v>
      </c>
      <c r="H12" s="72">
        <v>2527.0000000000009</v>
      </c>
      <c r="I12" s="72">
        <v>239.40000000000015</v>
      </c>
      <c r="J12" s="72">
        <v>184.40000000000009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2527.0000000000009</v>
      </c>
      <c r="Q12" s="72">
        <v>1209.0000000000005</v>
      </c>
      <c r="R12" s="72">
        <v>1180.0000000000005</v>
      </c>
      <c r="S12" s="72">
        <v>1</v>
      </c>
      <c r="T12" s="249" t="s">
        <v>202</v>
      </c>
    </row>
    <row r="13" spans="1:20" x14ac:dyDescent="0.3">
      <c r="A13" s="249" t="s">
        <v>93</v>
      </c>
      <c r="B13" s="249" t="s">
        <v>39</v>
      </c>
      <c r="C13" s="72">
        <v>1741.5000000000007</v>
      </c>
      <c r="D13" s="72">
        <v>450.00000000000023</v>
      </c>
      <c r="E13" s="72">
        <v>5</v>
      </c>
      <c r="F13" s="72">
        <v>7245.0000000000036</v>
      </c>
      <c r="G13" s="72">
        <v>1042.5500000000004</v>
      </c>
      <c r="H13" s="72">
        <v>3216.0000000000014</v>
      </c>
      <c r="I13" s="72">
        <v>121.60000000000005</v>
      </c>
      <c r="J13" s="72">
        <v>50.800000000000018</v>
      </c>
      <c r="K13" s="72">
        <v>0</v>
      </c>
      <c r="L13" s="72">
        <v>0</v>
      </c>
      <c r="M13" s="72">
        <v>0</v>
      </c>
      <c r="N13" s="72">
        <v>0</v>
      </c>
      <c r="O13" s="72">
        <v>358.00000000000017</v>
      </c>
      <c r="P13" s="72">
        <v>2858.0000000000014</v>
      </c>
      <c r="Q13" s="72">
        <v>845.5500000000003</v>
      </c>
      <c r="R13" s="72">
        <v>197.00000000000009</v>
      </c>
      <c r="S13" s="72">
        <v>0.29166666666666669</v>
      </c>
      <c r="T13" s="249" t="s">
        <v>202</v>
      </c>
    </row>
    <row r="14" spans="1:20" x14ac:dyDescent="0.3">
      <c r="A14" s="249" t="s">
        <v>94</v>
      </c>
      <c r="B14" s="249" t="s">
        <v>39</v>
      </c>
      <c r="C14" s="72">
        <v>2008.0000000000009</v>
      </c>
      <c r="D14" s="72">
        <v>1210.0000000000005</v>
      </c>
      <c r="E14" s="72">
        <v>13</v>
      </c>
      <c r="F14" s="72">
        <v>32139.000000000015</v>
      </c>
      <c r="G14" s="72">
        <v>1914.0000000000009</v>
      </c>
      <c r="H14" s="72">
        <v>4724.0000000000018</v>
      </c>
      <c r="I14" s="72">
        <v>259.10000000000014</v>
      </c>
      <c r="J14" s="72">
        <v>191.49000000000009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4724.0000000000018</v>
      </c>
      <c r="Q14" s="72">
        <v>892.00000000000034</v>
      </c>
      <c r="R14" s="72">
        <v>1022.0000000000005</v>
      </c>
      <c r="S14" s="72">
        <v>0.7583333333333333</v>
      </c>
      <c r="T14" s="249" t="s">
        <v>202</v>
      </c>
    </row>
    <row r="15" spans="1:20" x14ac:dyDescent="0.3">
      <c r="A15" s="249" t="s">
        <v>95</v>
      </c>
      <c r="B15" s="249" t="s">
        <v>39</v>
      </c>
      <c r="C15" s="72">
        <v>3017.0000000000014</v>
      </c>
      <c r="D15" s="72">
        <v>1965.0000000000009</v>
      </c>
      <c r="E15" s="72">
        <v>18</v>
      </c>
      <c r="F15" s="72">
        <v>37799.000000000015</v>
      </c>
      <c r="G15" s="72">
        <v>2027.0000000000009</v>
      </c>
      <c r="H15" s="72">
        <v>4592.0000000000018</v>
      </c>
      <c r="I15" s="72">
        <v>279.80000000000013</v>
      </c>
      <c r="J15" s="72">
        <v>212.60000000000008</v>
      </c>
      <c r="K15" s="72">
        <v>0</v>
      </c>
      <c r="L15" s="72">
        <v>0</v>
      </c>
      <c r="M15" s="72">
        <v>0</v>
      </c>
      <c r="N15" s="72">
        <v>0</v>
      </c>
      <c r="O15" s="72">
        <v>39.000000000000014</v>
      </c>
      <c r="P15" s="72">
        <v>4553.0000000000018</v>
      </c>
      <c r="Q15" s="72">
        <v>1057.0000000000005</v>
      </c>
      <c r="R15" s="72">
        <v>970.00000000000045</v>
      </c>
      <c r="S15" s="72">
        <v>1.05</v>
      </c>
      <c r="T15" s="249" t="s">
        <v>202</v>
      </c>
    </row>
    <row r="16" spans="1:20" x14ac:dyDescent="0.3">
      <c r="A16" s="249" t="s">
        <v>96</v>
      </c>
      <c r="B16" s="249" t="s">
        <v>39</v>
      </c>
      <c r="C16" s="72">
        <v>1978.0000000000009</v>
      </c>
      <c r="D16" s="72">
        <v>1379.9900000000007</v>
      </c>
      <c r="E16" s="72">
        <v>14</v>
      </c>
      <c r="F16" s="72">
        <v>20292.000000000007</v>
      </c>
      <c r="G16" s="72">
        <v>1970.0000000000009</v>
      </c>
      <c r="H16" s="72">
        <v>5196.0000000000027</v>
      </c>
      <c r="I16" s="72">
        <v>160.40000000000009</v>
      </c>
      <c r="J16" s="72">
        <v>213.40000000000009</v>
      </c>
      <c r="K16" s="72">
        <v>0</v>
      </c>
      <c r="L16" s="72">
        <v>0</v>
      </c>
      <c r="M16" s="72">
        <v>0</v>
      </c>
      <c r="N16" s="72">
        <v>0</v>
      </c>
      <c r="O16" s="72">
        <v>2599.0000000000014</v>
      </c>
      <c r="P16" s="72">
        <v>2597.0000000000014</v>
      </c>
      <c r="Q16" s="72">
        <v>939.00000000000045</v>
      </c>
      <c r="R16" s="72">
        <v>1031.0000000000005</v>
      </c>
      <c r="S16" s="72">
        <v>0.81666666666666676</v>
      </c>
      <c r="T16" s="249" t="s">
        <v>202</v>
      </c>
    </row>
    <row r="17" spans="1:20" x14ac:dyDescent="0.3">
      <c r="A17" s="249" t="s">
        <v>98</v>
      </c>
      <c r="B17" s="249" t="s">
        <v>39</v>
      </c>
      <c r="C17" s="72">
        <v>2061.0900000000011</v>
      </c>
      <c r="D17" s="72">
        <v>1239.9800000000005</v>
      </c>
      <c r="E17" s="72">
        <v>13</v>
      </c>
      <c r="F17" s="72">
        <v>38005.000000000015</v>
      </c>
      <c r="G17" s="72">
        <v>2118.0000000000009</v>
      </c>
      <c r="H17" s="72">
        <v>4957.0000000000018</v>
      </c>
      <c r="I17" s="72">
        <v>267.50000000000011</v>
      </c>
      <c r="J17" s="72">
        <v>199.50000000000009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4957.0000000000018</v>
      </c>
      <c r="Q17" s="72">
        <v>1126.0000000000005</v>
      </c>
      <c r="R17" s="72">
        <v>992.00000000000045</v>
      </c>
      <c r="S17" s="72">
        <v>1.2638888888888893</v>
      </c>
      <c r="T17" s="249" t="s">
        <v>202</v>
      </c>
    </row>
    <row r="18" spans="1:20" x14ac:dyDescent="0.3">
      <c r="A18" s="249" t="s">
        <v>99</v>
      </c>
      <c r="B18" s="249" t="s">
        <v>39</v>
      </c>
      <c r="C18" s="72">
        <v>623.76000000000022</v>
      </c>
      <c r="D18" s="72">
        <v>425.00000000000017</v>
      </c>
      <c r="E18" s="72">
        <v>5</v>
      </c>
      <c r="F18" s="72">
        <v>6401.0500000000029</v>
      </c>
      <c r="G18" s="72">
        <v>712.70000000000039</v>
      </c>
      <c r="H18" s="72">
        <v>238.00000000000011</v>
      </c>
      <c r="I18" s="72">
        <v>154.30000000000007</v>
      </c>
      <c r="J18" s="72">
        <v>193.3000000000001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238.00000000000011</v>
      </c>
      <c r="Q18" s="72">
        <v>420.00000000000017</v>
      </c>
      <c r="R18" s="72">
        <v>292.7000000000001</v>
      </c>
      <c r="S18" s="72">
        <v>0.29166666666666669</v>
      </c>
      <c r="T18" s="249" t="s">
        <v>202</v>
      </c>
    </row>
    <row r="19" spans="1:20" x14ac:dyDescent="0.3">
      <c r="A19" s="249" t="s">
        <v>102</v>
      </c>
      <c r="B19" s="249" t="s">
        <v>30</v>
      </c>
      <c r="C19" s="72">
        <v>2480.0000000000009</v>
      </c>
      <c r="D19" s="72">
        <v>0</v>
      </c>
      <c r="E19" s="72">
        <v>0</v>
      </c>
      <c r="F19" s="72">
        <v>45483.000000000022</v>
      </c>
      <c r="G19" s="72">
        <v>3566.0000000000014</v>
      </c>
      <c r="H19" s="72">
        <v>2506.0000000000009</v>
      </c>
      <c r="I19" s="72">
        <v>214.40000000000009</v>
      </c>
      <c r="J19" s="72">
        <v>275.65000000000015</v>
      </c>
      <c r="K19" s="72">
        <v>0</v>
      </c>
      <c r="L19" s="72">
        <v>0</v>
      </c>
      <c r="M19" s="72">
        <v>0</v>
      </c>
      <c r="N19" s="72">
        <v>0</v>
      </c>
      <c r="O19" s="72">
        <v>358.00000000000017</v>
      </c>
      <c r="P19" s="72">
        <v>2148.0000000000009</v>
      </c>
      <c r="Q19" s="72">
        <v>1315.0000000000007</v>
      </c>
      <c r="R19" s="72">
        <v>2251.0000000000009</v>
      </c>
      <c r="S19" s="72">
        <v>0</v>
      </c>
      <c r="T19" s="249" t="s">
        <v>28</v>
      </c>
    </row>
    <row r="20" spans="1:20" x14ac:dyDescent="0.3">
      <c r="A20" s="249" t="s">
        <v>103</v>
      </c>
      <c r="B20" s="249" t="s">
        <v>30</v>
      </c>
      <c r="C20" s="72">
        <v>581.00000000000023</v>
      </c>
      <c r="D20" s="72">
        <v>0</v>
      </c>
      <c r="E20" s="72">
        <v>0</v>
      </c>
      <c r="F20" s="72">
        <v>14623.000000000007</v>
      </c>
      <c r="G20" s="72">
        <v>1198.0000000000005</v>
      </c>
      <c r="H20" s="72">
        <v>229.00000000000011</v>
      </c>
      <c r="I20" s="72">
        <v>146.80000000000007</v>
      </c>
      <c r="J20" s="72">
        <v>82.69000000000004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229.00000000000011</v>
      </c>
      <c r="Q20" s="72">
        <v>742.00000000000034</v>
      </c>
      <c r="R20" s="72">
        <v>456.00000000000023</v>
      </c>
      <c r="S20" s="72">
        <v>0</v>
      </c>
      <c r="T20" s="249" t="s">
        <v>28</v>
      </c>
    </row>
    <row r="21" spans="1:20" x14ac:dyDescent="0.3">
      <c r="A21" s="249" t="s">
        <v>105</v>
      </c>
      <c r="B21" s="249" t="s">
        <v>43</v>
      </c>
      <c r="C21" s="72">
        <v>187.00000000000009</v>
      </c>
      <c r="D21" s="72">
        <v>85.000000000000043</v>
      </c>
      <c r="E21" s="72">
        <v>1</v>
      </c>
      <c r="F21" s="72">
        <v>1299.0000000000007</v>
      </c>
      <c r="G21" s="72">
        <v>0</v>
      </c>
      <c r="H21" s="72">
        <v>0</v>
      </c>
      <c r="I21" s="72">
        <v>0</v>
      </c>
      <c r="J21" s="72">
        <v>82.78000000000003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0.23749999999999999</v>
      </c>
      <c r="T21" s="249" t="s">
        <v>202</v>
      </c>
    </row>
    <row r="22" spans="1:20" x14ac:dyDescent="0.3">
      <c r="A22" s="249" t="s">
        <v>106</v>
      </c>
      <c r="B22" s="249" t="s">
        <v>43</v>
      </c>
      <c r="C22" s="72">
        <v>2250.9900000000007</v>
      </c>
      <c r="D22" s="72">
        <v>1144.9800000000005</v>
      </c>
      <c r="E22" s="72">
        <v>10</v>
      </c>
      <c r="F22" s="72">
        <v>53404.000000000022</v>
      </c>
      <c r="G22" s="72">
        <v>4068.0000000000018</v>
      </c>
      <c r="H22" s="72">
        <v>6938.0000000000027</v>
      </c>
      <c r="I22" s="72">
        <v>416.70000000000022</v>
      </c>
      <c r="J22" s="72">
        <v>311.4500000000001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6938.0000000000027</v>
      </c>
      <c r="Q22" s="72">
        <v>1611.0000000000007</v>
      </c>
      <c r="R22" s="72">
        <v>2457.0000000000009</v>
      </c>
      <c r="S22" s="72">
        <v>0.77551020408163263</v>
      </c>
      <c r="T22" s="249" t="s">
        <v>202</v>
      </c>
    </row>
    <row r="23" spans="1:20" x14ac:dyDescent="0.3">
      <c r="A23" s="249" t="s">
        <v>107</v>
      </c>
      <c r="B23" s="249" t="s">
        <v>43</v>
      </c>
      <c r="C23" s="72">
        <v>2909.1900000000014</v>
      </c>
      <c r="D23" s="72">
        <v>1200.0000000000005</v>
      </c>
      <c r="E23" s="72">
        <v>11</v>
      </c>
      <c r="F23" s="72">
        <v>42262.000000000022</v>
      </c>
      <c r="G23" s="72">
        <v>3491.0000000000014</v>
      </c>
      <c r="H23" s="72">
        <v>4974.0000000000018</v>
      </c>
      <c r="I23" s="72">
        <v>284.60000000000008</v>
      </c>
      <c r="J23" s="72">
        <v>340.18000000000012</v>
      </c>
      <c r="K23" s="72">
        <v>0</v>
      </c>
      <c r="L23" s="72">
        <v>0</v>
      </c>
      <c r="M23" s="72">
        <v>0</v>
      </c>
      <c r="N23" s="72">
        <v>0</v>
      </c>
      <c r="O23" s="72">
        <v>378.00000000000017</v>
      </c>
      <c r="P23" s="72">
        <v>4596.0000000000018</v>
      </c>
      <c r="Q23" s="72">
        <v>1761.0000000000007</v>
      </c>
      <c r="R23" s="72">
        <v>1730.0000000000007</v>
      </c>
      <c r="S23" s="72">
        <v>0.85306122448979604</v>
      </c>
      <c r="T23" s="249" t="s">
        <v>202</v>
      </c>
    </row>
    <row r="24" spans="1:20" x14ac:dyDescent="0.3">
      <c r="A24" s="249" t="s">
        <v>109</v>
      </c>
      <c r="B24" s="249" t="s">
        <v>44</v>
      </c>
      <c r="C24" s="72">
        <v>3846.0000000000018</v>
      </c>
      <c r="D24" s="72">
        <v>1749.9900000000007</v>
      </c>
      <c r="E24" s="72">
        <v>16</v>
      </c>
      <c r="F24" s="72">
        <v>40550.050000000017</v>
      </c>
      <c r="G24" s="72">
        <v>2768.4500000000007</v>
      </c>
      <c r="H24" s="72">
        <v>6888.5500000000029</v>
      </c>
      <c r="I24" s="72">
        <v>485.80000000000018</v>
      </c>
      <c r="J24" s="72">
        <v>348.29000000000013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6888.5500000000029</v>
      </c>
      <c r="Q24" s="72">
        <v>2178.7500000000005</v>
      </c>
      <c r="R24" s="72">
        <v>589.70000000000016</v>
      </c>
      <c r="S24" s="72">
        <v>1.1636363636363636</v>
      </c>
      <c r="T24" s="249" t="s">
        <v>45</v>
      </c>
    </row>
    <row r="25" spans="1:20" x14ac:dyDescent="0.3">
      <c r="A25" s="249" t="s">
        <v>110</v>
      </c>
      <c r="B25" s="249" t="s">
        <v>44</v>
      </c>
      <c r="C25" s="72">
        <v>1714.0000000000007</v>
      </c>
      <c r="D25" s="72">
        <v>890.00000000000034</v>
      </c>
      <c r="E25" s="72">
        <v>7</v>
      </c>
      <c r="F25" s="72">
        <v>24222.000000000011</v>
      </c>
      <c r="G25" s="72">
        <v>1690.1500000000005</v>
      </c>
      <c r="H25" s="72">
        <v>5537.0000000000027</v>
      </c>
      <c r="I25" s="72">
        <v>120.50000000000006</v>
      </c>
      <c r="J25" s="72">
        <v>183.5800000000001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5537.0000000000027</v>
      </c>
      <c r="Q25" s="72">
        <v>784.10000000000025</v>
      </c>
      <c r="R25" s="72">
        <v>906.05000000000041</v>
      </c>
      <c r="S25" s="72">
        <v>0.84848484848484851</v>
      </c>
      <c r="T25" s="249" t="s">
        <v>45</v>
      </c>
    </row>
    <row r="26" spans="1:20" x14ac:dyDescent="0.3">
      <c r="A26" s="249" t="s">
        <v>111</v>
      </c>
      <c r="B26" s="249" t="s">
        <v>44</v>
      </c>
      <c r="C26" s="72">
        <v>988.76000000000045</v>
      </c>
      <c r="D26" s="72">
        <v>639.98000000000025</v>
      </c>
      <c r="E26" s="72">
        <v>6</v>
      </c>
      <c r="F26" s="72">
        <v>16094.000000000007</v>
      </c>
      <c r="G26" s="72">
        <v>2021.8000000000009</v>
      </c>
      <c r="H26" s="72">
        <v>2312.1000000000008</v>
      </c>
      <c r="I26" s="72">
        <v>51.800000000000018</v>
      </c>
      <c r="J26" s="72">
        <v>69.890000000000029</v>
      </c>
      <c r="K26" s="72">
        <v>0</v>
      </c>
      <c r="L26" s="72">
        <v>0</v>
      </c>
      <c r="M26" s="72">
        <v>0</v>
      </c>
      <c r="N26" s="72">
        <v>0</v>
      </c>
      <c r="O26" s="72">
        <v>74.100000000000023</v>
      </c>
      <c r="P26" s="72">
        <v>2238.0000000000009</v>
      </c>
      <c r="Q26" s="72">
        <v>1001.7500000000005</v>
      </c>
      <c r="R26" s="72">
        <v>1020.0500000000004</v>
      </c>
      <c r="S26" s="72">
        <v>0.7272727272727274</v>
      </c>
      <c r="T26" s="249" t="s">
        <v>45</v>
      </c>
    </row>
    <row r="27" spans="1:20" x14ac:dyDescent="0.3">
      <c r="A27" s="249" t="s">
        <v>112</v>
      </c>
      <c r="B27" s="249" t="s">
        <v>44</v>
      </c>
      <c r="C27" s="72">
        <v>4296.5000000000018</v>
      </c>
      <c r="D27" s="72">
        <v>1594.9600000000007</v>
      </c>
      <c r="E27" s="72">
        <v>16</v>
      </c>
      <c r="F27" s="72">
        <v>49332.050000000025</v>
      </c>
      <c r="G27" s="72">
        <v>2829.7900000000009</v>
      </c>
      <c r="H27" s="72">
        <v>6254.0000000000027</v>
      </c>
      <c r="I27" s="72">
        <v>279.50000000000011</v>
      </c>
      <c r="J27" s="72">
        <v>303.00000000000011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6254.0000000000027</v>
      </c>
      <c r="Q27" s="72">
        <v>1674.7000000000003</v>
      </c>
      <c r="R27" s="72">
        <v>1155.0900000000004</v>
      </c>
      <c r="S27" s="72">
        <v>1.1636363636363636</v>
      </c>
      <c r="T27" s="249" t="s">
        <v>45</v>
      </c>
    </row>
    <row r="28" spans="1:20" x14ac:dyDescent="0.3">
      <c r="A28" s="249" t="s">
        <v>114</v>
      </c>
      <c r="B28" s="249" t="s">
        <v>40</v>
      </c>
      <c r="C28" s="72">
        <v>1474.7600000000007</v>
      </c>
      <c r="D28" s="72">
        <v>1004.9700000000005</v>
      </c>
      <c r="E28" s="72">
        <v>9</v>
      </c>
      <c r="F28" s="72">
        <v>10544.000000000005</v>
      </c>
      <c r="G28" s="72">
        <v>1853.0000000000009</v>
      </c>
      <c r="H28" s="72">
        <v>3476.0000000000014</v>
      </c>
      <c r="I28" s="72">
        <v>33.800000000000011</v>
      </c>
      <c r="J28" s="72">
        <v>144.69000000000005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3476.0000000000014</v>
      </c>
      <c r="Q28" s="72">
        <v>692.00000000000034</v>
      </c>
      <c r="R28" s="72">
        <v>1161.0000000000005</v>
      </c>
      <c r="S28" s="72">
        <v>0.78749999999999998</v>
      </c>
      <c r="T28" s="249" t="s">
        <v>45</v>
      </c>
    </row>
    <row r="29" spans="1:20" x14ac:dyDescent="0.3">
      <c r="A29" s="249" t="s">
        <v>115</v>
      </c>
      <c r="B29" s="249" t="s">
        <v>40</v>
      </c>
      <c r="C29" s="72">
        <v>1441.7600000000007</v>
      </c>
      <c r="D29" s="72">
        <v>1039.9900000000005</v>
      </c>
      <c r="E29" s="72">
        <v>10</v>
      </c>
      <c r="F29" s="72">
        <v>39939.000000000015</v>
      </c>
      <c r="G29" s="72">
        <v>2207.0000000000009</v>
      </c>
      <c r="H29" s="72">
        <v>1255.0000000000005</v>
      </c>
      <c r="I29" s="72">
        <v>168.3000000000001</v>
      </c>
      <c r="J29" s="72">
        <v>151.67000000000004</v>
      </c>
      <c r="K29" s="72">
        <v>0</v>
      </c>
      <c r="L29" s="72">
        <v>0</v>
      </c>
      <c r="M29" s="72">
        <v>0</v>
      </c>
      <c r="N29" s="72">
        <v>0</v>
      </c>
      <c r="O29" s="72">
        <v>199.00000000000009</v>
      </c>
      <c r="P29" s="72">
        <v>1056.0000000000005</v>
      </c>
      <c r="Q29" s="72">
        <v>977.00000000000045</v>
      </c>
      <c r="R29" s="72">
        <v>1230.0000000000005</v>
      </c>
      <c r="S29" s="72">
        <v>1.09375</v>
      </c>
      <c r="T29" s="249" t="s">
        <v>45</v>
      </c>
    </row>
    <row r="30" spans="1:20" x14ac:dyDescent="0.3">
      <c r="A30" s="249" t="s">
        <v>116</v>
      </c>
      <c r="B30" s="249" t="s">
        <v>40</v>
      </c>
      <c r="C30" s="72">
        <v>1740.7400000000007</v>
      </c>
      <c r="D30" s="72">
        <v>1239.9900000000005</v>
      </c>
      <c r="E30" s="72">
        <v>12</v>
      </c>
      <c r="F30" s="72">
        <v>46139.000000000022</v>
      </c>
      <c r="G30" s="72">
        <v>2678.0000000000014</v>
      </c>
      <c r="H30" s="72">
        <v>1913.0000000000009</v>
      </c>
      <c r="I30" s="72">
        <v>244.60000000000014</v>
      </c>
      <c r="J30" s="72">
        <v>236.39000000000013</v>
      </c>
      <c r="K30" s="72">
        <v>0</v>
      </c>
      <c r="L30" s="72">
        <v>0</v>
      </c>
      <c r="M30" s="72">
        <v>0</v>
      </c>
      <c r="N30" s="72">
        <v>0</v>
      </c>
      <c r="O30" s="72">
        <v>179.00000000000009</v>
      </c>
      <c r="P30" s="72">
        <v>1734.0000000000007</v>
      </c>
      <c r="Q30" s="72">
        <v>801.00000000000034</v>
      </c>
      <c r="R30" s="72">
        <v>1877.0000000000009</v>
      </c>
      <c r="S30" s="72">
        <v>1.05</v>
      </c>
      <c r="T30" s="249" t="s">
        <v>45</v>
      </c>
    </row>
    <row r="31" spans="1:20" x14ac:dyDescent="0.3">
      <c r="A31" s="249" t="s">
        <v>118</v>
      </c>
      <c r="B31" s="249" t="s">
        <v>46</v>
      </c>
      <c r="C31" s="72">
        <v>1355.0000000000007</v>
      </c>
      <c r="D31" s="72">
        <v>604.00000000000023</v>
      </c>
      <c r="E31" s="72">
        <v>6</v>
      </c>
      <c r="F31" s="72">
        <v>28039.000000000011</v>
      </c>
      <c r="G31" s="72">
        <v>1810.0000000000009</v>
      </c>
      <c r="H31" s="72">
        <v>4655.0000000000018</v>
      </c>
      <c r="I31" s="72">
        <v>103.70000000000006</v>
      </c>
      <c r="J31" s="72">
        <v>112.80000000000005</v>
      </c>
      <c r="K31" s="72">
        <v>0</v>
      </c>
      <c r="L31" s="72">
        <v>0</v>
      </c>
      <c r="M31" s="72">
        <v>0</v>
      </c>
      <c r="N31" s="72">
        <v>0</v>
      </c>
      <c r="O31" s="72">
        <v>179.00000000000009</v>
      </c>
      <c r="P31" s="72">
        <v>4476.0000000000018</v>
      </c>
      <c r="Q31" s="72">
        <v>1086.0000000000005</v>
      </c>
      <c r="R31" s="72">
        <v>724.00000000000034</v>
      </c>
      <c r="S31" s="72">
        <v>0.59999999999999976</v>
      </c>
      <c r="T31" s="249" t="s">
        <v>45</v>
      </c>
    </row>
    <row r="32" spans="1:20" x14ac:dyDescent="0.3">
      <c r="A32" s="249" t="s">
        <v>119</v>
      </c>
      <c r="B32" s="249" t="s">
        <v>46</v>
      </c>
      <c r="C32" s="72">
        <v>2598.7300000000014</v>
      </c>
      <c r="D32" s="72">
        <v>1509.9900000000007</v>
      </c>
      <c r="E32" s="72">
        <v>14</v>
      </c>
      <c r="F32" s="72">
        <v>35087.000000000015</v>
      </c>
      <c r="G32" s="72">
        <v>1843.0000000000009</v>
      </c>
      <c r="H32" s="72">
        <v>5273.0000000000027</v>
      </c>
      <c r="I32" s="72">
        <v>146.80000000000007</v>
      </c>
      <c r="J32" s="72">
        <v>431.60000000000008</v>
      </c>
      <c r="K32" s="72">
        <v>0</v>
      </c>
      <c r="L32" s="72">
        <v>0</v>
      </c>
      <c r="M32" s="72">
        <v>0</v>
      </c>
      <c r="N32" s="72">
        <v>0</v>
      </c>
      <c r="O32" s="72">
        <v>199.00000000000009</v>
      </c>
      <c r="P32" s="72">
        <v>5074.0000000000018</v>
      </c>
      <c r="Q32" s="72">
        <v>730.00000000000034</v>
      </c>
      <c r="R32" s="72">
        <v>1113.0000000000005</v>
      </c>
      <c r="S32" s="72">
        <v>1.1199999999999997</v>
      </c>
      <c r="T32" s="249" t="s">
        <v>45</v>
      </c>
    </row>
    <row r="33" spans="1:20" x14ac:dyDescent="0.3">
      <c r="A33" s="249" t="s">
        <v>120</v>
      </c>
      <c r="B33" s="249" t="s">
        <v>46</v>
      </c>
      <c r="C33" s="72">
        <v>2669.9800000000009</v>
      </c>
      <c r="D33" s="72">
        <v>1235.0000000000005</v>
      </c>
      <c r="E33" s="72">
        <v>13</v>
      </c>
      <c r="F33" s="72">
        <v>29990.000000000015</v>
      </c>
      <c r="G33" s="72">
        <v>1701.0000000000007</v>
      </c>
      <c r="H33" s="72">
        <v>4397.0000000000018</v>
      </c>
      <c r="I33" s="72">
        <v>215.50000000000009</v>
      </c>
      <c r="J33" s="72">
        <v>200.50000000000009</v>
      </c>
      <c r="K33" s="72">
        <v>0</v>
      </c>
      <c r="L33" s="72">
        <v>0</v>
      </c>
      <c r="M33" s="72">
        <v>0</v>
      </c>
      <c r="N33" s="72">
        <v>0</v>
      </c>
      <c r="O33" s="72">
        <v>199.00000000000009</v>
      </c>
      <c r="P33" s="72">
        <v>4198.0000000000018</v>
      </c>
      <c r="Q33" s="72">
        <v>1096.0000000000005</v>
      </c>
      <c r="R33" s="72">
        <v>605.00000000000023</v>
      </c>
      <c r="S33" s="72">
        <v>1.0399999999999998</v>
      </c>
      <c r="T33" s="249" t="s">
        <v>45</v>
      </c>
    </row>
    <row r="34" spans="1:20" x14ac:dyDescent="0.3">
      <c r="A34" s="249" t="s">
        <v>121</v>
      </c>
      <c r="B34" s="249" t="s">
        <v>46</v>
      </c>
      <c r="C34" s="72">
        <v>149.00000000000006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147.70000000000007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249" t="s">
        <v>45</v>
      </c>
    </row>
    <row r="35" spans="1:20" x14ac:dyDescent="0.3">
      <c r="A35" s="249" t="s">
        <v>122</v>
      </c>
      <c r="B35" s="249" t="s">
        <v>46</v>
      </c>
      <c r="C35" s="72">
        <v>2681.9900000000011</v>
      </c>
      <c r="D35" s="72">
        <v>1120.0000000000005</v>
      </c>
      <c r="E35" s="72">
        <v>11</v>
      </c>
      <c r="F35" s="72">
        <v>24194.000000000011</v>
      </c>
      <c r="G35" s="72">
        <v>1376.0000000000007</v>
      </c>
      <c r="H35" s="72">
        <v>2624.0000000000014</v>
      </c>
      <c r="I35" s="72">
        <v>163.90000000000009</v>
      </c>
      <c r="J35" s="72">
        <v>213.3000000000001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2624.0000000000014</v>
      </c>
      <c r="Q35" s="72">
        <v>661.00000000000034</v>
      </c>
      <c r="R35" s="72">
        <v>715.00000000000034</v>
      </c>
      <c r="S35" s="72">
        <v>1.0999999999999996</v>
      </c>
      <c r="T35" s="249" t="s">
        <v>45</v>
      </c>
    </row>
    <row r="36" spans="1:20" x14ac:dyDescent="0.3">
      <c r="A36" s="249" t="s">
        <v>125</v>
      </c>
      <c r="B36" s="249" t="s">
        <v>47</v>
      </c>
      <c r="C36" s="72">
        <v>1793.0300000000009</v>
      </c>
      <c r="D36" s="72">
        <v>1019.9900000000005</v>
      </c>
      <c r="E36" s="72">
        <v>10</v>
      </c>
      <c r="F36" s="72">
        <v>27438.05000000001</v>
      </c>
      <c r="G36" s="72">
        <v>1521.2500000000007</v>
      </c>
      <c r="H36" s="72">
        <v>1499.0000000000007</v>
      </c>
      <c r="I36" s="72">
        <v>120.60000000000008</v>
      </c>
      <c r="J36" s="72">
        <v>113.50000000000006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1499.0000000000007</v>
      </c>
      <c r="Q36" s="72">
        <v>621.20000000000027</v>
      </c>
      <c r="R36" s="72">
        <v>900.05000000000041</v>
      </c>
      <c r="S36" s="72">
        <v>0.90909090909090917</v>
      </c>
      <c r="T36" s="249" t="s">
        <v>202</v>
      </c>
    </row>
    <row r="37" spans="1:20" x14ac:dyDescent="0.3">
      <c r="A37" s="249" t="s">
        <v>126</v>
      </c>
      <c r="B37" s="249" t="s">
        <v>47</v>
      </c>
      <c r="C37" s="72">
        <v>1225.7500000000005</v>
      </c>
      <c r="D37" s="72">
        <v>570.00000000000023</v>
      </c>
      <c r="E37" s="72">
        <v>5</v>
      </c>
      <c r="F37" s="72">
        <v>15850.550000000007</v>
      </c>
      <c r="G37" s="72">
        <v>1118.6500000000005</v>
      </c>
      <c r="H37" s="72">
        <v>518.00000000000023</v>
      </c>
      <c r="I37" s="72">
        <v>121.70000000000006</v>
      </c>
      <c r="J37" s="72">
        <v>159.87000000000006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518.00000000000023</v>
      </c>
      <c r="Q37" s="72">
        <v>577.55000000000018</v>
      </c>
      <c r="R37" s="72">
        <v>541.10000000000025</v>
      </c>
      <c r="S37" s="72">
        <v>0.45454545454545459</v>
      </c>
      <c r="T37" s="249" t="s">
        <v>202</v>
      </c>
    </row>
    <row r="38" spans="1:20" x14ac:dyDescent="0.3">
      <c r="A38" s="249" t="s">
        <v>127</v>
      </c>
      <c r="B38" s="249" t="s">
        <v>47</v>
      </c>
      <c r="C38" s="72">
        <v>2055.0000000000009</v>
      </c>
      <c r="D38" s="72">
        <v>1570.0000000000007</v>
      </c>
      <c r="E38" s="72">
        <v>16</v>
      </c>
      <c r="F38" s="72">
        <v>20643.600000000009</v>
      </c>
      <c r="G38" s="72">
        <v>1438.4000000000008</v>
      </c>
      <c r="H38" s="72">
        <v>3847.0000000000018</v>
      </c>
      <c r="I38" s="72">
        <v>121.70000000000006</v>
      </c>
      <c r="J38" s="72">
        <v>193.5800000000001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3847.0000000000018</v>
      </c>
      <c r="Q38" s="72">
        <v>334.6500000000002</v>
      </c>
      <c r="R38" s="72">
        <v>1103.7500000000005</v>
      </c>
      <c r="S38" s="72">
        <v>1.4545454545454546</v>
      </c>
      <c r="T38" s="249" t="s">
        <v>202</v>
      </c>
    </row>
    <row r="39" spans="1:20" x14ac:dyDescent="0.3">
      <c r="A39" s="249" t="s">
        <v>129</v>
      </c>
      <c r="B39" s="249" t="s">
        <v>41</v>
      </c>
      <c r="C39" s="72">
        <v>5253.0000000000027</v>
      </c>
      <c r="D39" s="72">
        <v>2480.0000000000009</v>
      </c>
      <c r="E39" s="72">
        <v>23</v>
      </c>
      <c r="F39" s="72">
        <v>58559.000000000029</v>
      </c>
      <c r="G39" s="72">
        <v>2581.0000000000014</v>
      </c>
      <c r="H39" s="72">
        <v>13552.000000000005</v>
      </c>
      <c r="I39" s="72">
        <v>604.60000000000025</v>
      </c>
      <c r="J39" s="72">
        <v>548.79000000000019</v>
      </c>
      <c r="K39" s="72">
        <v>0</v>
      </c>
      <c r="L39" s="72">
        <v>0</v>
      </c>
      <c r="M39" s="72">
        <v>0</v>
      </c>
      <c r="N39" s="72">
        <v>0</v>
      </c>
      <c r="O39" s="72">
        <v>179.00000000000009</v>
      </c>
      <c r="P39" s="72">
        <v>13373.000000000005</v>
      </c>
      <c r="Q39" s="72">
        <v>791.00000000000034</v>
      </c>
      <c r="R39" s="72">
        <v>1790.0000000000007</v>
      </c>
      <c r="S39" s="72">
        <v>1.4238095238095241</v>
      </c>
      <c r="T39" s="249" t="s">
        <v>202</v>
      </c>
    </row>
    <row r="40" spans="1:20" x14ac:dyDescent="0.3">
      <c r="A40" s="249" t="s">
        <v>130</v>
      </c>
      <c r="B40" s="249" t="s">
        <v>41</v>
      </c>
      <c r="C40" s="72">
        <v>464.00000000000023</v>
      </c>
      <c r="D40" s="72">
        <v>380.00000000000017</v>
      </c>
      <c r="E40" s="72">
        <v>4</v>
      </c>
      <c r="F40" s="72">
        <v>5779.0000000000027</v>
      </c>
      <c r="G40" s="72">
        <v>384.00000000000017</v>
      </c>
      <c r="H40" s="72">
        <v>69.000000000000028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69.000000000000028</v>
      </c>
      <c r="Q40" s="72">
        <v>345.00000000000017</v>
      </c>
      <c r="R40" s="72">
        <v>39.000000000000014</v>
      </c>
      <c r="S40" s="72">
        <v>0.41269841269841279</v>
      </c>
      <c r="T40" s="249" t="s">
        <v>202</v>
      </c>
    </row>
    <row r="41" spans="1:20" x14ac:dyDescent="0.3">
      <c r="A41" s="249" t="s">
        <v>131</v>
      </c>
      <c r="B41" s="249" t="s">
        <v>41</v>
      </c>
      <c r="C41" s="72">
        <v>1484.9900000000007</v>
      </c>
      <c r="D41" s="72">
        <v>980.00000000000045</v>
      </c>
      <c r="E41" s="72">
        <v>8</v>
      </c>
      <c r="F41" s="72">
        <v>19825.000000000007</v>
      </c>
      <c r="G41" s="72">
        <v>1681.5500000000006</v>
      </c>
      <c r="H41" s="72">
        <v>6173.0000000000027</v>
      </c>
      <c r="I41" s="72">
        <v>164.8000000000001</v>
      </c>
      <c r="J41" s="72">
        <v>129.60000000000005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6173.0000000000027</v>
      </c>
      <c r="Q41" s="72">
        <v>450.55000000000024</v>
      </c>
      <c r="R41" s="72">
        <v>1231.0000000000005</v>
      </c>
      <c r="S41" s="72">
        <v>0.82539682539682557</v>
      </c>
      <c r="T41" s="249" t="s">
        <v>202</v>
      </c>
    </row>
    <row r="42" spans="1:20" x14ac:dyDescent="0.3">
      <c r="A42" s="249" t="s">
        <v>132</v>
      </c>
      <c r="B42" s="249" t="s">
        <v>41</v>
      </c>
      <c r="C42" s="72">
        <v>3042.9900000000011</v>
      </c>
      <c r="D42" s="72">
        <v>1390.0000000000007</v>
      </c>
      <c r="E42" s="72">
        <v>12</v>
      </c>
      <c r="F42" s="72">
        <v>33777.000000000015</v>
      </c>
      <c r="G42" s="72">
        <v>2912.0000000000014</v>
      </c>
      <c r="H42" s="72">
        <v>8806.0000000000036</v>
      </c>
      <c r="I42" s="72">
        <v>293.90000000000009</v>
      </c>
      <c r="J42" s="72">
        <v>251.38000000000014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8806.0000000000036</v>
      </c>
      <c r="Q42" s="72">
        <v>1037.0000000000005</v>
      </c>
      <c r="R42" s="72">
        <v>1875.0000000000009</v>
      </c>
      <c r="S42" s="72">
        <v>0.74285714285714288</v>
      </c>
      <c r="T42" s="249" t="s">
        <v>202</v>
      </c>
    </row>
    <row r="43" spans="1:20" x14ac:dyDescent="0.3">
      <c r="A43" s="249" t="s">
        <v>133</v>
      </c>
      <c r="B43" s="249" t="s">
        <v>41</v>
      </c>
      <c r="C43" s="72">
        <v>2732.9900000000011</v>
      </c>
      <c r="D43" s="72">
        <v>1975.0000000000009</v>
      </c>
      <c r="E43" s="72">
        <v>17</v>
      </c>
      <c r="F43" s="72">
        <v>65986.000000000029</v>
      </c>
      <c r="G43" s="72">
        <v>2462.0000000000009</v>
      </c>
      <c r="H43" s="72">
        <v>5563.0000000000027</v>
      </c>
      <c r="I43" s="72">
        <v>313.40000000000009</v>
      </c>
      <c r="J43" s="72">
        <v>295.29000000000013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5563.0000000000027</v>
      </c>
      <c r="Q43" s="72">
        <v>892.00000000000034</v>
      </c>
      <c r="R43" s="72">
        <v>1570.0000000000007</v>
      </c>
      <c r="S43" s="72">
        <v>1.0523809523809524</v>
      </c>
      <c r="T43" s="249" t="s">
        <v>202</v>
      </c>
    </row>
    <row r="44" spans="1:20" x14ac:dyDescent="0.3">
      <c r="A44" s="249" t="s">
        <v>134</v>
      </c>
      <c r="B44" s="249" t="s">
        <v>41</v>
      </c>
      <c r="C44" s="72">
        <v>3352.9900000000011</v>
      </c>
      <c r="D44" s="72">
        <v>1645.0000000000007</v>
      </c>
      <c r="E44" s="72">
        <v>16</v>
      </c>
      <c r="F44" s="72">
        <v>52713.000000000022</v>
      </c>
      <c r="G44" s="72">
        <v>2783.0000000000014</v>
      </c>
      <c r="H44" s="72">
        <v>5866.0000000000027</v>
      </c>
      <c r="I44" s="72">
        <v>329.90000000000015</v>
      </c>
      <c r="J44" s="72">
        <v>328.3400000000002</v>
      </c>
      <c r="K44" s="72">
        <v>0</v>
      </c>
      <c r="L44" s="72">
        <v>0</v>
      </c>
      <c r="M44" s="72">
        <v>0</v>
      </c>
      <c r="N44" s="72">
        <v>0</v>
      </c>
      <c r="O44" s="72">
        <v>179.00000000000009</v>
      </c>
      <c r="P44" s="72">
        <v>5687.0000000000027</v>
      </c>
      <c r="Q44" s="72">
        <v>1284.0000000000007</v>
      </c>
      <c r="R44" s="72">
        <v>1499.0000000000007</v>
      </c>
      <c r="S44" s="72">
        <v>0.99047619047619051</v>
      </c>
      <c r="T44" s="249" t="s">
        <v>202</v>
      </c>
    </row>
    <row r="45" spans="1:20" x14ac:dyDescent="0.3">
      <c r="A45" s="249" t="s">
        <v>137</v>
      </c>
      <c r="B45" s="249" t="s">
        <v>31</v>
      </c>
      <c r="C45" s="72">
        <v>1633.0000000000007</v>
      </c>
      <c r="D45" s="72">
        <v>0</v>
      </c>
      <c r="E45" s="72">
        <v>0</v>
      </c>
      <c r="F45" s="72">
        <v>43587.000000000022</v>
      </c>
      <c r="G45" s="72">
        <v>4131.0000000000018</v>
      </c>
      <c r="H45" s="72">
        <v>11121.000000000005</v>
      </c>
      <c r="I45" s="72">
        <v>250.80000000000013</v>
      </c>
      <c r="J45" s="72">
        <v>145.58000000000007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11121.000000000005</v>
      </c>
      <c r="Q45" s="72">
        <v>1878.0000000000009</v>
      </c>
      <c r="R45" s="72">
        <v>2253.0000000000009</v>
      </c>
      <c r="S45" s="72">
        <v>0</v>
      </c>
      <c r="T45" s="249" t="s">
        <v>28</v>
      </c>
    </row>
    <row r="46" spans="1:20" x14ac:dyDescent="0.3">
      <c r="A46" s="249" t="s">
        <v>138</v>
      </c>
      <c r="B46" s="249" t="s">
        <v>31</v>
      </c>
      <c r="C46" s="72">
        <v>2076.0000000000009</v>
      </c>
      <c r="D46" s="72">
        <v>0</v>
      </c>
      <c r="E46" s="72">
        <v>0</v>
      </c>
      <c r="F46" s="72">
        <v>44764.000000000022</v>
      </c>
      <c r="G46" s="72">
        <v>3147.0000000000014</v>
      </c>
      <c r="H46" s="72">
        <v>15693.000000000007</v>
      </c>
      <c r="I46" s="72">
        <v>47.700000000000017</v>
      </c>
      <c r="J46" s="72">
        <v>173.29000000000011</v>
      </c>
      <c r="K46" s="72">
        <v>0</v>
      </c>
      <c r="L46" s="72">
        <v>0</v>
      </c>
      <c r="M46" s="72">
        <v>0</v>
      </c>
      <c r="N46" s="72">
        <v>0</v>
      </c>
      <c r="O46" s="72">
        <v>199.00000000000009</v>
      </c>
      <c r="P46" s="72">
        <v>15494.000000000007</v>
      </c>
      <c r="Q46" s="72">
        <v>1175.0000000000005</v>
      </c>
      <c r="R46" s="72">
        <v>1972.0000000000009</v>
      </c>
      <c r="S46" s="72">
        <v>0</v>
      </c>
      <c r="T46" s="249" t="s">
        <v>28</v>
      </c>
    </row>
    <row r="47" spans="1:20" x14ac:dyDescent="0.3">
      <c r="A47" s="249" t="s">
        <v>140</v>
      </c>
      <c r="B47" s="249" t="s">
        <v>48</v>
      </c>
      <c r="C47" s="72">
        <v>2364.5100000000011</v>
      </c>
      <c r="D47" s="72">
        <v>1410.0000000000007</v>
      </c>
      <c r="E47" s="72">
        <v>13</v>
      </c>
      <c r="F47" s="72">
        <v>50489.000000000022</v>
      </c>
      <c r="G47" s="72">
        <v>1439.0000000000007</v>
      </c>
      <c r="H47" s="72">
        <v>7373.0000000000036</v>
      </c>
      <c r="I47" s="72">
        <v>259.80000000000013</v>
      </c>
      <c r="J47" s="72">
        <v>100.79000000000003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7373.0000000000036</v>
      </c>
      <c r="Q47" s="72">
        <v>664.00000000000034</v>
      </c>
      <c r="R47" s="72">
        <v>775.00000000000034</v>
      </c>
      <c r="S47" s="72">
        <v>0.88831168831168805</v>
      </c>
      <c r="T47" s="249" t="s">
        <v>45</v>
      </c>
    </row>
    <row r="48" spans="1:20" x14ac:dyDescent="0.3">
      <c r="A48" s="249" t="s">
        <v>141</v>
      </c>
      <c r="B48" s="249" t="s">
        <v>48</v>
      </c>
      <c r="C48" s="72">
        <v>2729.0200000000018</v>
      </c>
      <c r="D48" s="72">
        <v>1740.0000000000007</v>
      </c>
      <c r="E48" s="72">
        <v>17</v>
      </c>
      <c r="F48" s="72">
        <v>69584.000000000029</v>
      </c>
      <c r="G48" s="72">
        <v>4356.0000000000018</v>
      </c>
      <c r="H48" s="72">
        <v>10063.000000000004</v>
      </c>
      <c r="I48" s="72">
        <v>484.60000000000025</v>
      </c>
      <c r="J48" s="72">
        <v>366.40000000000015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10063.000000000004</v>
      </c>
      <c r="Q48" s="72">
        <v>2121.0000000000009</v>
      </c>
      <c r="R48" s="72">
        <v>2235.0000000000009</v>
      </c>
      <c r="S48" s="72">
        <v>1.1616383616383614</v>
      </c>
      <c r="T48" s="249" t="s">
        <v>45</v>
      </c>
    </row>
    <row r="49" spans="1:20" x14ac:dyDescent="0.3">
      <c r="A49" s="249" t="s">
        <v>142</v>
      </c>
      <c r="B49" s="249" t="s">
        <v>48</v>
      </c>
      <c r="C49" s="72">
        <v>1615.0100000000007</v>
      </c>
      <c r="D49" s="72">
        <v>955.00000000000045</v>
      </c>
      <c r="E49" s="72">
        <v>9</v>
      </c>
      <c r="F49" s="72">
        <v>25138.000000000011</v>
      </c>
      <c r="G49" s="72">
        <v>2241.0000000000009</v>
      </c>
      <c r="H49" s="72">
        <v>2996.0000000000014</v>
      </c>
      <c r="I49" s="72">
        <v>137.40000000000006</v>
      </c>
      <c r="J49" s="72">
        <v>141.70000000000005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2996.0000000000014</v>
      </c>
      <c r="Q49" s="72">
        <v>832.00000000000034</v>
      </c>
      <c r="R49" s="72">
        <v>1409.0000000000007</v>
      </c>
      <c r="S49" s="72">
        <v>0.87047511312217185</v>
      </c>
      <c r="T49" s="249" t="s">
        <v>45</v>
      </c>
    </row>
    <row r="50" spans="1:20" x14ac:dyDescent="0.3">
      <c r="A50" s="249" t="s">
        <v>143</v>
      </c>
      <c r="B50" s="249" t="s">
        <v>48</v>
      </c>
      <c r="C50" s="72">
        <v>2650.0200000000018</v>
      </c>
      <c r="D50" s="72">
        <v>1358.9800000000007</v>
      </c>
      <c r="E50" s="72">
        <v>13</v>
      </c>
      <c r="F50" s="72">
        <v>61020.000000000029</v>
      </c>
      <c r="G50" s="72">
        <v>3481.0000000000014</v>
      </c>
      <c r="H50" s="72">
        <v>6341.0000000000027</v>
      </c>
      <c r="I50" s="72">
        <v>387.40000000000015</v>
      </c>
      <c r="J50" s="72">
        <v>375.2000000000001</v>
      </c>
      <c r="K50" s="72">
        <v>0</v>
      </c>
      <c r="L50" s="72">
        <v>0</v>
      </c>
      <c r="M50" s="72">
        <v>0</v>
      </c>
      <c r="N50" s="72">
        <v>0</v>
      </c>
      <c r="O50" s="72">
        <v>199.00000000000009</v>
      </c>
      <c r="P50" s="72">
        <v>6142.0000000000027</v>
      </c>
      <c r="Q50" s="72">
        <v>1754.0000000000007</v>
      </c>
      <c r="R50" s="72">
        <v>1727.0000000000007</v>
      </c>
      <c r="S50" s="72">
        <v>1.1103896103896105</v>
      </c>
      <c r="T50" s="249" t="s">
        <v>45</v>
      </c>
    </row>
    <row r="51" spans="1:20" x14ac:dyDescent="0.3">
      <c r="A51" s="249" t="s">
        <v>144</v>
      </c>
      <c r="B51" s="249" t="s">
        <v>48</v>
      </c>
      <c r="C51" s="72">
        <v>4203.2500000000018</v>
      </c>
      <c r="D51" s="72">
        <v>2714.9800000000014</v>
      </c>
      <c r="E51" s="72">
        <v>23</v>
      </c>
      <c r="F51" s="72">
        <v>111710.00000000004</v>
      </c>
      <c r="G51" s="72">
        <v>6447.0000000000027</v>
      </c>
      <c r="H51" s="72">
        <v>16888.000000000007</v>
      </c>
      <c r="I51" s="72">
        <v>536.10000000000014</v>
      </c>
      <c r="J51" s="72">
        <v>653.85000000000025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16888.000000000007</v>
      </c>
      <c r="Q51" s="72">
        <v>2142.0000000000009</v>
      </c>
      <c r="R51" s="72">
        <v>4305.0000000000018</v>
      </c>
      <c r="S51" s="72">
        <v>1.5716283716283712</v>
      </c>
      <c r="T51" s="249" t="s">
        <v>45</v>
      </c>
    </row>
    <row r="52" spans="1:20" x14ac:dyDescent="0.3">
      <c r="A52" s="249" t="s">
        <v>145</v>
      </c>
      <c r="B52" s="249" t="s">
        <v>48</v>
      </c>
      <c r="C52" s="72">
        <v>2256.7500000000009</v>
      </c>
      <c r="D52" s="72">
        <v>1230.0000000000005</v>
      </c>
      <c r="E52" s="72">
        <v>13</v>
      </c>
      <c r="F52" s="72">
        <v>73993.000000000029</v>
      </c>
      <c r="G52" s="72">
        <v>4227.0000000000018</v>
      </c>
      <c r="H52" s="72">
        <v>10896.000000000005</v>
      </c>
      <c r="I52" s="72">
        <v>398.60000000000019</v>
      </c>
      <c r="J52" s="72">
        <v>404.2000000000001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10896.000000000005</v>
      </c>
      <c r="Q52" s="72">
        <v>1844.0000000000009</v>
      </c>
      <c r="R52" s="72">
        <v>2383.0000000000009</v>
      </c>
      <c r="S52" s="72">
        <v>1.1103896103896105</v>
      </c>
      <c r="T52" s="249" t="s">
        <v>45</v>
      </c>
    </row>
    <row r="53" spans="1:20" x14ac:dyDescent="0.3">
      <c r="A53" s="249" t="s">
        <v>146</v>
      </c>
      <c r="B53" s="249" t="s">
        <v>48</v>
      </c>
      <c r="C53" s="72">
        <v>2676.0000000000014</v>
      </c>
      <c r="D53" s="72">
        <v>1510.0000000000007</v>
      </c>
      <c r="E53" s="72">
        <v>14</v>
      </c>
      <c r="F53" s="72">
        <v>60753.000000000029</v>
      </c>
      <c r="G53" s="72">
        <v>4337.0000000000018</v>
      </c>
      <c r="H53" s="72">
        <v>6840.0000000000027</v>
      </c>
      <c r="I53" s="72">
        <v>373.60000000000019</v>
      </c>
      <c r="J53" s="72">
        <v>362.30000000000013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6840.0000000000027</v>
      </c>
      <c r="Q53" s="72">
        <v>1694.0000000000007</v>
      </c>
      <c r="R53" s="72">
        <v>2643.0000000000014</v>
      </c>
      <c r="S53" s="72">
        <v>1.1958041958041956</v>
      </c>
      <c r="T53" s="249" t="s">
        <v>45</v>
      </c>
    </row>
    <row r="54" spans="1:20" x14ac:dyDescent="0.3">
      <c r="A54" s="249" t="s">
        <v>147</v>
      </c>
      <c r="B54" s="249" t="s">
        <v>48</v>
      </c>
      <c r="C54" s="72">
        <v>2170.5000000000009</v>
      </c>
      <c r="D54" s="72">
        <v>1405.0000000000007</v>
      </c>
      <c r="E54" s="72">
        <v>14</v>
      </c>
      <c r="F54" s="72">
        <v>67030.000000000029</v>
      </c>
      <c r="G54" s="72">
        <v>3711.0000000000018</v>
      </c>
      <c r="H54" s="72">
        <v>6774.0000000000027</v>
      </c>
      <c r="I54" s="72">
        <v>453.10000000000014</v>
      </c>
      <c r="J54" s="72">
        <v>366.2000000000001</v>
      </c>
      <c r="K54" s="72">
        <v>0</v>
      </c>
      <c r="L54" s="72">
        <v>0</v>
      </c>
      <c r="M54" s="72">
        <v>0</v>
      </c>
      <c r="N54" s="72">
        <v>0</v>
      </c>
      <c r="O54" s="72">
        <v>78.000000000000028</v>
      </c>
      <c r="P54" s="72">
        <v>6696.0000000000027</v>
      </c>
      <c r="Q54" s="72">
        <v>1963.0000000000009</v>
      </c>
      <c r="R54" s="72">
        <v>1748.0000000000007</v>
      </c>
      <c r="S54" s="72">
        <v>0.95664335664335653</v>
      </c>
      <c r="T54" s="249" t="s">
        <v>45</v>
      </c>
    </row>
    <row r="55" spans="1:20" x14ac:dyDescent="0.3">
      <c r="A55" s="249" t="s">
        <v>150</v>
      </c>
      <c r="B55" s="249" t="s">
        <v>42</v>
      </c>
      <c r="C55" s="72">
        <v>3432.9500000000003</v>
      </c>
      <c r="D55" s="72">
        <v>2794.9800000000014</v>
      </c>
      <c r="E55" s="72">
        <v>19</v>
      </c>
      <c r="F55" s="72">
        <v>118328.00000000006</v>
      </c>
      <c r="G55" s="72">
        <v>5263.0000000000027</v>
      </c>
      <c r="H55" s="72">
        <v>7885.0000000000036</v>
      </c>
      <c r="I55" s="72">
        <v>511.4000000000002</v>
      </c>
      <c r="J55" s="72">
        <v>375.2000000000001</v>
      </c>
      <c r="K55" s="72">
        <v>0</v>
      </c>
      <c r="L55" s="72">
        <v>0</v>
      </c>
      <c r="M55" s="72">
        <v>0</v>
      </c>
      <c r="N55" s="72">
        <v>0</v>
      </c>
      <c r="O55" s="72">
        <v>596.00000000000023</v>
      </c>
      <c r="P55" s="72">
        <v>7289.0000000000036</v>
      </c>
      <c r="Q55" s="72">
        <v>1868.0000000000009</v>
      </c>
      <c r="R55" s="72">
        <v>3395.0000000000014</v>
      </c>
      <c r="S55" s="72">
        <v>1.2666666666666666</v>
      </c>
      <c r="T55" s="249" t="s">
        <v>45</v>
      </c>
    </row>
    <row r="56" spans="1:20" x14ac:dyDescent="0.3">
      <c r="A56" s="249" t="s">
        <v>151</v>
      </c>
      <c r="B56" s="249" t="s">
        <v>42</v>
      </c>
      <c r="C56" s="72">
        <v>1874.7400000000009</v>
      </c>
      <c r="D56" s="72">
        <v>1829.9900000000009</v>
      </c>
      <c r="E56" s="72">
        <v>14</v>
      </c>
      <c r="F56" s="72">
        <v>35020.000000000015</v>
      </c>
      <c r="G56" s="72">
        <v>2291.0000000000009</v>
      </c>
      <c r="H56" s="72">
        <v>1581.0000000000007</v>
      </c>
      <c r="I56" s="72">
        <v>234.60000000000011</v>
      </c>
      <c r="J56" s="72">
        <v>155.70000000000005</v>
      </c>
      <c r="K56" s="72">
        <v>0</v>
      </c>
      <c r="L56" s="72">
        <v>0</v>
      </c>
      <c r="M56" s="72">
        <v>0</v>
      </c>
      <c r="N56" s="72">
        <v>0</v>
      </c>
      <c r="O56" s="72">
        <v>834.00000000000034</v>
      </c>
      <c r="P56" s="72">
        <v>747.00000000000034</v>
      </c>
      <c r="Q56" s="72">
        <v>652.00000000000034</v>
      </c>
      <c r="R56" s="72">
        <v>1639.0000000000007</v>
      </c>
      <c r="S56" s="72">
        <v>0.93333333333333324</v>
      </c>
      <c r="T56" s="249" t="s">
        <v>45</v>
      </c>
    </row>
    <row r="57" spans="1:20" x14ac:dyDescent="0.3">
      <c r="A57" s="249" t="s">
        <v>152</v>
      </c>
      <c r="B57" s="249" t="s">
        <v>42</v>
      </c>
      <c r="C57" s="72">
        <v>1862.7500000000009</v>
      </c>
      <c r="D57" s="72">
        <v>430.00000000000017</v>
      </c>
      <c r="E57" s="72">
        <v>4</v>
      </c>
      <c r="F57" s="72">
        <v>56664.000000000022</v>
      </c>
      <c r="G57" s="72">
        <v>3916.0000000000018</v>
      </c>
      <c r="H57" s="72">
        <v>11467.000000000005</v>
      </c>
      <c r="I57" s="72">
        <v>173.50000000000009</v>
      </c>
      <c r="J57" s="72">
        <v>333.60000000000019</v>
      </c>
      <c r="K57" s="72">
        <v>0</v>
      </c>
      <c r="L57" s="72">
        <v>0</v>
      </c>
      <c r="M57" s="72">
        <v>0</v>
      </c>
      <c r="N57" s="72">
        <v>0</v>
      </c>
      <c r="O57" s="72">
        <v>199.00000000000009</v>
      </c>
      <c r="P57" s="72">
        <v>11268.000000000005</v>
      </c>
      <c r="Q57" s="72">
        <v>1493.0000000000007</v>
      </c>
      <c r="R57" s="72">
        <v>2423.0000000000009</v>
      </c>
      <c r="S57" s="72">
        <v>0.26666666666666666</v>
      </c>
      <c r="T57" s="249" t="s">
        <v>45</v>
      </c>
    </row>
    <row r="58" spans="1:20" x14ac:dyDescent="0.3">
      <c r="A58" s="249" t="s">
        <v>156</v>
      </c>
      <c r="B58" s="249" t="s">
        <v>32</v>
      </c>
      <c r="C58" s="72">
        <v>2610.7400000000011</v>
      </c>
      <c r="D58" s="72">
        <v>0</v>
      </c>
      <c r="E58" s="72">
        <v>0</v>
      </c>
      <c r="F58" s="72">
        <v>24185.000000000011</v>
      </c>
      <c r="G58" s="72">
        <v>2166.0000000000009</v>
      </c>
      <c r="H58" s="72">
        <v>3414.0000000000014</v>
      </c>
      <c r="I58" s="72">
        <v>189.30000000000013</v>
      </c>
      <c r="J58" s="72">
        <v>234.37000000000012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3414.0000000000014</v>
      </c>
      <c r="Q58" s="72">
        <v>1395.0000000000007</v>
      </c>
      <c r="R58" s="72">
        <v>771.00000000000034</v>
      </c>
      <c r="S58" s="72">
        <v>0</v>
      </c>
      <c r="T58" s="249" t="s">
        <v>28</v>
      </c>
    </row>
    <row r="59" spans="1:20" x14ac:dyDescent="0.3">
      <c r="A59" s="249" t="s">
        <v>157</v>
      </c>
      <c r="B59" s="249" t="s">
        <v>32</v>
      </c>
      <c r="C59" s="72">
        <v>2282.7600000000011</v>
      </c>
      <c r="D59" s="72">
        <v>0</v>
      </c>
      <c r="E59" s="72">
        <v>0</v>
      </c>
      <c r="F59" s="72">
        <v>23066.000000000011</v>
      </c>
      <c r="G59" s="72">
        <v>2145.0000000000009</v>
      </c>
      <c r="H59" s="72">
        <v>5103.0000000000018</v>
      </c>
      <c r="I59" s="72">
        <v>276.00000000000011</v>
      </c>
      <c r="J59" s="72">
        <v>225.57000000000014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5103.0000000000018</v>
      </c>
      <c r="Q59" s="72">
        <v>1297.0000000000007</v>
      </c>
      <c r="R59" s="72">
        <v>848.00000000000034</v>
      </c>
      <c r="S59" s="72">
        <v>0</v>
      </c>
      <c r="T59" s="249" t="s">
        <v>28</v>
      </c>
    </row>
    <row r="60" spans="1:20" x14ac:dyDescent="0.3">
      <c r="A60" s="249" t="s">
        <v>158</v>
      </c>
      <c r="B60" s="249" t="s">
        <v>32</v>
      </c>
      <c r="C60" s="72">
        <v>2156.7500000000009</v>
      </c>
      <c r="D60" s="72">
        <v>0</v>
      </c>
      <c r="E60" s="72">
        <v>0</v>
      </c>
      <c r="F60" s="72">
        <v>21491.000000000011</v>
      </c>
      <c r="G60" s="72">
        <v>2019.0000000000009</v>
      </c>
      <c r="H60" s="72">
        <v>2604.0000000000014</v>
      </c>
      <c r="I60" s="72">
        <v>205.00000000000011</v>
      </c>
      <c r="J60" s="72">
        <v>162.49000000000009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2604.0000000000014</v>
      </c>
      <c r="Q60" s="72">
        <v>1437.0000000000007</v>
      </c>
      <c r="R60" s="72">
        <v>582.00000000000023</v>
      </c>
      <c r="S60" s="72">
        <v>0</v>
      </c>
      <c r="T60" s="249" t="s">
        <v>28</v>
      </c>
    </row>
    <row r="61" spans="1:20" x14ac:dyDescent="0.3">
      <c r="A61" s="249" t="s">
        <v>159</v>
      </c>
      <c r="B61" s="249" t="s">
        <v>32</v>
      </c>
      <c r="C61" s="72">
        <v>1565.0000000000007</v>
      </c>
      <c r="D61" s="72">
        <v>0</v>
      </c>
      <c r="E61" s="72">
        <v>0</v>
      </c>
      <c r="F61" s="72">
        <v>7784.0000000000036</v>
      </c>
      <c r="G61" s="72">
        <v>1158.0000000000005</v>
      </c>
      <c r="H61" s="72">
        <v>69.000000000000028</v>
      </c>
      <c r="I61" s="72">
        <v>47.700000000000017</v>
      </c>
      <c r="J61" s="72">
        <v>90.790000000000035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69.000000000000028</v>
      </c>
      <c r="Q61" s="72">
        <v>693.00000000000034</v>
      </c>
      <c r="R61" s="72">
        <v>465.00000000000023</v>
      </c>
      <c r="S61" s="72">
        <v>0</v>
      </c>
      <c r="T61" s="249" t="s">
        <v>28</v>
      </c>
    </row>
    <row r="62" spans="1:20" x14ac:dyDescent="0.3">
      <c r="A62" s="249" t="s">
        <v>161</v>
      </c>
      <c r="B62" s="249" t="s">
        <v>49</v>
      </c>
      <c r="C62" s="72">
        <v>4763.0600000000013</v>
      </c>
      <c r="D62" s="72">
        <v>3088.0000000000014</v>
      </c>
      <c r="E62" s="72">
        <v>28</v>
      </c>
      <c r="F62" s="72">
        <v>89671.000000000044</v>
      </c>
      <c r="G62" s="72">
        <v>4430.0000000000018</v>
      </c>
      <c r="H62" s="72">
        <v>8871.0000000000036</v>
      </c>
      <c r="I62" s="72">
        <v>519.20000000000016</v>
      </c>
      <c r="J62" s="72">
        <v>401.2000000000001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8871.0000000000036</v>
      </c>
      <c r="Q62" s="72">
        <v>1431.0000000000007</v>
      </c>
      <c r="R62" s="72">
        <v>2999.0000000000014</v>
      </c>
      <c r="S62" s="72">
        <v>0.93333333333333324</v>
      </c>
      <c r="T62" s="249" t="s">
        <v>45</v>
      </c>
    </row>
    <row r="63" spans="1:20" x14ac:dyDescent="0.3">
      <c r="A63" s="249" t="s">
        <v>163</v>
      </c>
      <c r="B63" s="249" t="s">
        <v>33</v>
      </c>
      <c r="C63" s="72">
        <v>1483.0000000000007</v>
      </c>
      <c r="D63" s="72">
        <v>0</v>
      </c>
      <c r="E63" s="72">
        <v>0</v>
      </c>
      <c r="F63" s="72">
        <v>14470.000000000007</v>
      </c>
      <c r="G63" s="72">
        <v>1355.0000000000007</v>
      </c>
      <c r="H63" s="72">
        <v>3084.0000000000014</v>
      </c>
      <c r="I63" s="72">
        <v>154.30000000000007</v>
      </c>
      <c r="J63" s="72">
        <v>124.79000000000005</v>
      </c>
      <c r="K63" s="72">
        <v>0</v>
      </c>
      <c r="L63" s="72">
        <v>0</v>
      </c>
      <c r="M63" s="72">
        <v>0</v>
      </c>
      <c r="N63" s="72">
        <v>0</v>
      </c>
      <c r="O63" s="72">
        <v>199.00000000000009</v>
      </c>
      <c r="P63" s="72">
        <v>2885.0000000000014</v>
      </c>
      <c r="Q63" s="72">
        <v>771.00000000000034</v>
      </c>
      <c r="R63" s="72">
        <v>584.00000000000023</v>
      </c>
      <c r="S63" s="72">
        <v>0</v>
      </c>
      <c r="T63" s="249" t="s">
        <v>28</v>
      </c>
    </row>
    <row r="64" spans="1:20" x14ac:dyDescent="0.3">
      <c r="A64" s="249" t="s">
        <v>164</v>
      </c>
      <c r="B64" s="249" t="s">
        <v>33</v>
      </c>
      <c r="C64" s="72">
        <v>2185.7800000000007</v>
      </c>
      <c r="D64" s="72">
        <v>0</v>
      </c>
      <c r="E64" s="72">
        <v>0</v>
      </c>
      <c r="F64" s="72">
        <v>32568.000000000015</v>
      </c>
      <c r="G64" s="72">
        <v>2564.0000000000014</v>
      </c>
      <c r="H64" s="72">
        <v>2336.0000000000009</v>
      </c>
      <c r="I64" s="72">
        <v>173.50000000000011</v>
      </c>
      <c r="J64" s="72">
        <v>227.57000000000014</v>
      </c>
      <c r="K64" s="72">
        <v>0</v>
      </c>
      <c r="L64" s="72">
        <v>0</v>
      </c>
      <c r="M64" s="72">
        <v>0</v>
      </c>
      <c r="N64" s="72">
        <v>0</v>
      </c>
      <c r="O64" s="72">
        <v>179.00000000000009</v>
      </c>
      <c r="P64" s="72">
        <v>2157.0000000000009</v>
      </c>
      <c r="Q64" s="72">
        <v>1098.0000000000005</v>
      </c>
      <c r="R64" s="72">
        <v>1466.0000000000007</v>
      </c>
      <c r="S64" s="72">
        <v>0</v>
      </c>
      <c r="T64" s="249" t="s">
        <v>28</v>
      </c>
    </row>
    <row r="65" spans="1:20" x14ac:dyDescent="0.3">
      <c r="A65" s="249" t="s">
        <v>165</v>
      </c>
      <c r="B65" s="249" t="s">
        <v>33</v>
      </c>
      <c r="C65" s="72">
        <v>1456.9900000000007</v>
      </c>
      <c r="D65" s="72">
        <v>0</v>
      </c>
      <c r="E65" s="72">
        <v>0</v>
      </c>
      <c r="F65" s="72">
        <v>24649.000000000011</v>
      </c>
      <c r="G65" s="72">
        <v>1611.0000000000007</v>
      </c>
      <c r="H65" s="72">
        <v>3935.0000000000018</v>
      </c>
      <c r="I65" s="72">
        <v>190.40000000000009</v>
      </c>
      <c r="J65" s="72">
        <v>142.67000000000004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3935.0000000000018</v>
      </c>
      <c r="Q65" s="72">
        <v>841.00000000000034</v>
      </c>
      <c r="R65" s="72">
        <v>770.00000000000034</v>
      </c>
      <c r="S65" s="72">
        <v>0</v>
      </c>
      <c r="T65" s="249" t="s">
        <v>28</v>
      </c>
    </row>
    <row r="66" spans="1:20" x14ac:dyDescent="0.3">
      <c r="A66" s="249" t="s">
        <v>167</v>
      </c>
      <c r="B66" s="249" t="s">
        <v>34</v>
      </c>
      <c r="C66" s="72">
        <v>333.00000000000017</v>
      </c>
      <c r="D66" s="72">
        <v>0</v>
      </c>
      <c r="E66" s="72">
        <v>0</v>
      </c>
      <c r="F66" s="72">
        <v>9298.0000000000036</v>
      </c>
      <c r="G66" s="72">
        <v>228.00000000000011</v>
      </c>
      <c r="H66" s="72">
        <v>149.00000000000006</v>
      </c>
      <c r="I66" s="72">
        <v>34.900000000000013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149.00000000000006</v>
      </c>
      <c r="Q66" s="72">
        <v>149.00000000000006</v>
      </c>
      <c r="R66" s="72">
        <v>79.000000000000028</v>
      </c>
      <c r="S66" s="72">
        <v>0</v>
      </c>
      <c r="T66" s="249" t="s">
        <v>28</v>
      </c>
    </row>
    <row r="67" spans="1:20" x14ac:dyDescent="0.3">
      <c r="A67" s="249" t="s">
        <v>239</v>
      </c>
      <c r="B67" s="249" t="s">
        <v>34</v>
      </c>
      <c r="C67" s="72">
        <v>771.99000000000035</v>
      </c>
      <c r="D67" s="72">
        <v>0</v>
      </c>
      <c r="E67" s="72">
        <v>0</v>
      </c>
      <c r="F67" s="72">
        <v>23945.000000000011</v>
      </c>
      <c r="G67" s="72">
        <v>1962.0000000000009</v>
      </c>
      <c r="H67" s="72">
        <v>2599.0000000000014</v>
      </c>
      <c r="I67" s="72">
        <v>191.50000000000009</v>
      </c>
      <c r="J67" s="72">
        <v>100.80000000000004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2599.0000000000014</v>
      </c>
      <c r="Q67" s="72">
        <v>1089.0000000000005</v>
      </c>
      <c r="R67" s="72">
        <v>873.00000000000034</v>
      </c>
      <c r="S67" s="72">
        <v>0</v>
      </c>
      <c r="T67" s="249" t="s">
        <v>28</v>
      </c>
    </row>
    <row r="68" spans="1:20" x14ac:dyDescent="0.3">
      <c r="A68" s="249" t="s">
        <v>240</v>
      </c>
      <c r="B68" s="249" t="s">
        <v>34</v>
      </c>
      <c r="C68" s="72">
        <v>837.00000000000034</v>
      </c>
      <c r="D68" s="72">
        <v>0</v>
      </c>
      <c r="E68" s="72">
        <v>0</v>
      </c>
      <c r="F68" s="72">
        <v>9497.0000000000036</v>
      </c>
      <c r="G68" s="72">
        <v>1052.0000000000005</v>
      </c>
      <c r="H68" s="72">
        <v>1227.0000000000005</v>
      </c>
      <c r="I68" s="72">
        <v>16.900000000000006</v>
      </c>
      <c r="J68" s="72">
        <v>5.0000000000000018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1227.0000000000005</v>
      </c>
      <c r="Q68" s="72">
        <v>268.00000000000011</v>
      </c>
      <c r="R68" s="72">
        <v>784.00000000000034</v>
      </c>
      <c r="S68" s="72">
        <v>0</v>
      </c>
      <c r="T68" s="249" t="s">
        <v>28</v>
      </c>
    </row>
    <row r="69" spans="1:20" x14ac:dyDescent="0.3">
      <c r="A69" s="249" t="s">
        <v>168</v>
      </c>
      <c r="B69" s="249" t="s">
        <v>34</v>
      </c>
      <c r="C69" s="72">
        <v>3668.2500000000018</v>
      </c>
      <c r="D69" s="72">
        <v>0</v>
      </c>
      <c r="E69" s="72">
        <v>0</v>
      </c>
      <c r="F69" s="72">
        <v>35489.000000000015</v>
      </c>
      <c r="G69" s="72">
        <v>4103.0000000000018</v>
      </c>
      <c r="H69" s="72">
        <v>6400.0000000000027</v>
      </c>
      <c r="I69" s="72">
        <v>226.50000000000014</v>
      </c>
      <c r="J69" s="72">
        <v>204.5800000000001</v>
      </c>
      <c r="K69" s="72">
        <v>0</v>
      </c>
      <c r="L69" s="72">
        <v>0</v>
      </c>
      <c r="M69" s="72">
        <v>0</v>
      </c>
      <c r="N69" s="72">
        <v>0</v>
      </c>
      <c r="O69" s="72">
        <v>199.00000000000009</v>
      </c>
      <c r="P69" s="72">
        <v>6201.0000000000027</v>
      </c>
      <c r="Q69" s="72">
        <v>1880.0000000000009</v>
      </c>
      <c r="R69" s="72">
        <v>2223.0000000000009</v>
      </c>
      <c r="S69" s="72">
        <v>0</v>
      </c>
      <c r="T69" s="249" t="s">
        <v>28</v>
      </c>
    </row>
    <row r="70" spans="1:20" x14ac:dyDescent="0.3">
      <c r="A70" s="249" t="s">
        <v>170</v>
      </c>
      <c r="B70" s="249" t="s">
        <v>35</v>
      </c>
      <c r="C70" s="72">
        <v>2187.7100000000009</v>
      </c>
      <c r="D70" s="72">
        <v>0</v>
      </c>
      <c r="E70" s="72">
        <v>0</v>
      </c>
      <c r="F70" s="72">
        <v>19992.000000000007</v>
      </c>
      <c r="G70" s="72">
        <v>1831.0000000000009</v>
      </c>
      <c r="H70" s="72">
        <v>4497.0000000000018</v>
      </c>
      <c r="I70" s="72">
        <v>13.900000000000006</v>
      </c>
      <c r="J70" s="72">
        <v>234.30000000000013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4497.0000000000018</v>
      </c>
      <c r="Q70" s="72">
        <v>483.00000000000023</v>
      </c>
      <c r="R70" s="72">
        <v>1348.0000000000007</v>
      </c>
      <c r="S70" s="72">
        <v>0</v>
      </c>
      <c r="T70" s="249" t="s">
        <v>28</v>
      </c>
    </row>
    <row r="71" spans="1:20" x14ac:dyDescent="0.3">
      <c r="A71" s="249" t="s">
        <v>171</v>
      </c>
      <c r="B71" s="249" t="s">
        <v>35</v>
      </c>
      <c r="C71" s="72">
        <v>2924.7100000000014</v>
      </c>
      <c r="D71" s="72">
        <v>0</v>
      </c>
      <c r="E71" s="72">
        <v>0</v>
      </c>
      <c r="F71" s="72">
        <v>10496.000000000005</v>
      </c>
      <c r="G71" s="72">
        <v>2010.0000000000009</v>
      </c>
      <c r="H71" s="72">
        <v>3653.0000000000018</v>
      </c>
      <c r="I71" s="72">
        <v>102.50000000000004</v>
      </c>
      <c r="J71" s="72">
        <v>313.09000000000009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3653.0000000000018</v>
      </c>
      <c r="Q71" s="72">
        <v>839.00000000000034</v>
      </c>
      <c r="R71" s="72">
        <v>1171.0000000000005</v>
      </c>
      <c r="S71" s="72">
        <v>0</v>
      </c>
      <c r="T71" s="249" t="s">
        <v>28</v>
      </c>
    </row>
    <row r="72" spans="1:20" x14ac:dyDescent="0.3">
      <c r="A72" s="249" t="s">
        <v>177</v>
      </c>
      <c r="B72" s="249" t="s">
        <v>50</v>
      </c>
      <c r="C72" s="72">
        <v>4039.010000000002</v>
      </c>
      <c r="D72" s="72">
        <v>1885.0000000000009</v>
      </c>
      <c r="E72" s="72">
        <v>17</v>
      </c>
      <c r="F72" s="72">
        <v>42690.000000000022</v>
      </c>
      <c r="G72" s="72">
        <v>3273.0000000000014</v>
      </c>
      <c r="H72" s="72">
        <v>11245.000000000005</v>
      </c>
      <c r="I72" s="72">
        <v>518.20000000000005</v>
      </c>
      <c r="J72" s="72">
        <v>580.40000000000009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11245.000000000005</v>
      </c>
      <c r="Q72" s="72">
        <v>1347.0000000000007</v>
      </c>
      <c r="R72" s="72">
        <v>1926.0000000000009</v>
      </c>
      <c r="S72" s="72">
        <v>0.95999999999999985</v>
      </c>
      <c r="T72" s="249" t="s">
        <v>45</v>
      </c>
    </row>
    <row r="73" spans="1:20" x14ac:dyDescent="0.3">
      <c r="A73" s="249" t="s">
        <v>178</v>
      </c>
      <c r="B73" s="249" t="s">
        <v>50</v>
      </c>
      <c r="C73" s="72">
        <v>4082.9700000000021</v>
      </c>
      <c r="D73" s="72">
        <v>1750.0000000000007</v>
      </c>
      <c r="E73" s="72">
        <v>18</v>
      </c>
      <c r="F73" s="72">
        <v>40133.000000000015</v>
      </c>
      <c r="G73" s="72">
        <v>3017.0000000000014</v>
      </c>
      <c r="H73" s="72">
        <v>10839.000000000005</v>
      </c>
      <c r="I73" s="72">
        <v>444.90000000000003</v>
      </c>
      <c r="J73" s="72">
        <v>306.7000000000001</v>
      </c>
      <c r="K73" s="72">
        <v>0</v>
      </c>
      <c r="L73" s="72">
        <v>0</v>
      </c>
      <c r="M73" s="72">
        <v>0</v>
      </c>
      <c r="N73" s="72">
        <v>0</v>
      </c>
      <c r="O73" s="72">
        <v>179.00000000000009</v>
      </c>
      <c r="P73" s="72">
        <v>10660.000000000005</v>
      </c>
      <c r="Q73" s="72">
        <v>1090.0000000000005</v>
      </c>
      <c r="R73" s="72">
        <v>1927.0000000000009</v>
      </c>
      <c r="S73" s="72">
        <v>1.016470588235294</v>
      </c>
      <c r="T73" s="249" t="s">
        <v>45</v>
      </c>
    </row>
    <row r="74" spans="1:20" x14ac:dyDescent="0.3">
      <c r="A74" s="249" t="s">
        <v>179</v>
      </c>
      <c r="B74" s="249" t="s">
        <v>50</v>
      </c>
      <c r="C74" s="72">
        <v>4566.7500000000018</v>
      </c>
      <c r="D74" s="72">
        <v>2205.0000000000009</v>
      </c>
      <c r="E74" s="72">
        <v>20</v>
      </c>
      <c r="F74" s="72">
        <v>41339.000000000022</v>
      </c>
      <c r="G74" s="72">
        <v>3021.0000000000014</v>
      </c>
      <c r="H74" s="72">
        <v>8097.0000000000036</v>
      </c>
      <c r="I74" s="72">
        <v>446.40000000000003</v>
      </c>
      <c r="J74" s="72">
        <v>310.10000000000008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8097.0000000000036</v>
      </c>
      <c r="Q74" s="72">
        <v>1239.0000000000005</v>
      </c>
      <c r="R74" s="72">
        <v>1782.0000000000007</v>
      </c>
      <c r="S74" s="72">
        <v>1.1294117647058819</v>
      </c>
      <c r="T74" s="249" t="s">
        <v>45</v>
      </c>
    </row>
    <row r="75" spans="1:20" x14ac:dyDescent="0.3">
      <c r="A75" s="249" t="s">
        <v>180</v>
      </c>
      <c r="B75" s="249" t="s">
        <v>50</v>
      </c>
      <c r="C75" s="72">
        <v>3483.9800000000014</v>
      </c>
      <c r="D75" s="72">
        <v>1195.0000000000005</v>
      </c>
      <c r="E75" s="72">
        <v>11</v>
      </c>
      <c r="F75" s="72">
        <v>23969.000000000011</v>
      </c>
      <c r="G75" s="72">
        <v>2348.0000000000009</v>
      </c>
      <c r="H75" s="72">
        <v>9815.0000000000036</v>
      </c>
      <c r="I75" s="72">
        <v>327.80000000000013</v>
      </c>
      <c r="J75" s="72">
        <v>319.7000000000001</v>
      </c>
      <c r="K75" s="72">
        <v>0</v>
      </c>
      <c r="L75" s="72">
        <v>0</v>
      </c>
      <c r="M75" s="72">
        <v>0</v>
      </c>
      <c r="N75" s="72">
        <v>0</v>
      </c>
      <c r="O75" s="72">
        <v>259.00000000000011</v>
      </c>
      <c r="P75" s="72">
        <v>9556.0000000000036</v>
      </c>
      <c r="Q75" s="72">
        <v>853.00000000000034</v>
      </c>
      <c r="R75" s="72">
        <v>1495.0000000000007</v>
      </c>
      <c r="S75" s="72">
        <v>0.77647058823529391</v>
      </c>
      <c r="T75" s="249" t="s">
        <v>45</v>
      </c>
    </row>
    <row r="76" spans="1:20" x14ac:dyDescent="0.3">
      <c r="A76" s="249" t="s">
        <v>181</v>
      </c>
      <c r="B76" s="249" t="s">
        <v>50</v>
      </c>
      <c r="C76" s="72">
        <v>4107.0000000000018</v>
      </c>
      <c r="D76" s="72">
        <v>1789.9900000000007</v>
      </c>
      <c r="E76" s="72">
        <v>18</v>
      </c>
      <c r="F76" s="72">
        <v>41637.000000000022</v>
      </c>
      <c r="G76" s="72">
        <v>3047.0000000000014</v>
      </c>
      <c r="H76" s="72">
        <v>12250.000000000005</v>
      </c>
      <c r="I76" s="72">
        <v>414.60000000000008</v>
      </c>
      <c r="J76" s="72">
        <v>343.16000000000014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12250.000000000005</v>
      </c>
      <c r="Q76" s="72">
        <v>1658.0000000000007</v>
      </c>
      <c r="R76" s="72">
        <v>1389.0000000000007</v>
      </c>
      <c r="S76" s="72">
        <v>1.016470588235294</v>
      </c>
      <c r="T76" s="249" t="s">
        <v>45</v>
      </c>
    </row>
    <row r="77" spans="1:20" x14ac:dyDescent="0.3">
      <c r="A77" s="249" t="s">
        <v>81</v>
      </c>
      <c r="B77" s="249" t="s">
        <v>27</v>
      </c>
      <c r="C77" s="72">
        <v>0</v>
      </c>
      <c r="D77" s="72">
        <v>0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249" t="s">
        <v>28</v>
      </c>
    </row>
    <row r="78" spans="1:20" x14ac:dyDescent="0.3">
      <c r="A78" s="249" t="s">
        <v>104</v>
      </c>
      <c r="B78" s="249" t="s">
        <v>30</v>
      </c>
      <c r="C78" s="72">
        <v>0</v>
      </c>
      <c r="D78" s="72">
        <v>0</v>
      </c>
      <c r="E78" s="72">
        <v>0</v>
      </c>
      <c r="F78" s="72">
        <v>0</v>
      </c>
      <c r="G78" s="72">
        <v>0</v>
      </c>
      <c r="H78" s="72">
        <v>0</v>
      </c>
      <c r="I78" s="72">
        <v>0</v>
      </c>
      <c r="J78" s="72">
        <v>0</v>
      </c>
      <c r="K78" s="72">
        <v>0</v>
      </c>
      <c r="L78" s="72">
        <v>0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249" t="s">
        <v>28</v>
      </c>
    </row>
    <row r="79" spans="1:20" x14ac:dyDescent="0.3">
      <c r="A79" s="249" t="s">
        <v>113</v>
      </c>
      <c r="B79" s="249" t="s">
        <v>44</v>
      </c>
      <c r="C79" s="72">
        <v>59.000000000000028</v>
      </c>
      <c r="D79" s="72">
        <v>0</v>
      </c>
      <c r="E79" s="72">
        <v>0</v>
      </c>
      <c r="F79" s="72">
        <v>2089.0500000000011</v>
      </c>
      <c r="G79" s="72">
        <v>84.55000000000004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84.55000000000004</v>
      </c>
      <c r="R79" s="72">
        <v>0</v>
      </c>
      <c r="S79" s="72">
        <v>0</v>
      </c>
      <c r="T79" s="249" t="s">
        <v>45</v>
      </c>
    </row>
    <row r="80" spans="1:20" x14ac:dyDescent="0.3">
      <c r="A80" s="249" t="s">
        <v>139</v>
      </c>
      <c r="B80" s="249" t="s">
        <v>31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249" t="s">
        <v>28</v>
      </c>
    </row>
    <row r="81" spans="1:20" x14ac:dyDescent="0.3">
      <c r="A81" s="249" t="s">
        <v>162</v>
      </c>
      <c r="B81" s="249" t="s">
        <v>49</v>
      </c>
      <c r="C81" s="72">
        <v>318.00000000000011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249" t="s">
        <v>45</v>
      </c>
    </row>
    <row r="82" spans="1:20" x14ac:dyDescent="0.3">
      <c r="A82" s="249" t="s">
        <v>182</v>
      </c>
      <c r="B82" s="249" t="s">
        <v>50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249" t="s">
        <v>45</v>
      </c>
    </row>
    <row r="83" spans="1:20" x14ac:dyDescent="0.3">
      <c r="A83" s="249" t="s">
        <v>85</v>
      </c>
      <c r="B83" s="249" t="s">
        <v>29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249" t="s">
        <v>28</v>
      </c>
    </row>
    <row r="84" spans="1:20" x14ac:dyDescent="0.3">
      <c r="A84" s="249" t="s">
        <v>88</v>
      </c>
      <c r="B84" s="249" t="s">
        <v>36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249" t="s">
        <v>202</v>
      </c>
    </row>
    <row r="85" spans="1:20" x14ac:dyDescent="0.3">
      <c r="A85" s="249" t="s">
        <v>92</v>
      </c>
      <c r="B85" s="249" t="s">
        <v>38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249" t="s">
        <v>202</v>
      </c>
    </row>
    <row r="86" spans="1:20" x14ac:dyDescent="0.3">
      <c r="A86" s="249" t="s">
        <v>108</v>
      </c>
      <c r="B86" s="249" t="s">
        <v>43</v>
      </c>
      <c r="C86" s="72">
        <v>0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0</v>
      </c>
      <c r="S86" s="72">
        <v>0</v>
      </c>
      <c r="T86" s="249" t="s">
        <v>202</v>
      </c>
    </row>
    <row r="87" spans="1:20" x14ac:dyDescent="0.3">
      <c r="A87" s="249" t="s">
        <v>117</v>
      </c>
      <c r="B87" s="249" t="s">
        <v>40</v>
      </c>
      <c r="C87" s="72">
        <v>0</v>
      </c>
      <c r="D87" s="72">
        <v>0</v>
      </c>
      <c r="E87" s="72">
        <v>0</v>
      </c>
      <c r="F87" s="72">
        <v>0</v>
      </c>
      <c r="G87" s="72">
        <v>0</v>
      </c>
      <c r="H87" s="72">
        <v>0</v>
      </c>
      <c r="I87" s="72">
        <v>0</v>
      </c>
      <c r="J87" s="72">
        <v>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249" t="s">
        <v>45</v>
      </c>
    </row>
    <row r="88" spans="1:20" x14ac:dyDescent="0.3">
      <c r="A88" s="249" t="s">
        <v>123</v>
      </c>
      <c r="B88" s="249" t="s">
        <v>46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0</v>
      </c>
      <c r="T88" s="249" t="s">
        <v>45</v>
      </c>
    </row>
    <row r="89" spans="1:20" x14ac:dyDescent="0.3">
      <c r="A89" s="249" t="s">
        <v>128</v>
      </c>
      <c r="B89" s="249" t="s">
        <v>47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249" t="s">
        <v>202</v>
      </c>
    </row>
    <row r="90" spans="1:20" x14ac:dyDescent="0.3">
      <c r="A90" s="249" t="s">
        <v>135</v>
      </c>
      <c r="B90" s="249" t="s">
        <v>41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249" t="s">
        <v>202</v>
      </c>
    </row>
    <row r="91" spans="1:20" x14ac:dyDescent="0.3">
      <c r="A91" s="249" t="s">
        <v>148</v>
      </c>
      <c r="B91" s="249" t="s">
        <v>48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249" t="s">
        <v>45</v>
      </c>
    </row>
    <row r="92" spans="1:20" x14ac:dyDescent="0.3">
      <c r="A92" s="249" t="s">
        <v>153</v>
      </c>
      <c r="B92" s="249" t="s">
        <v>42</v>
      </c>
      <c r="C92" s="72">
        <v>590.00000000000023</v>
      </c>
      <c r="D92" s="72">
        <v>1120.0000000000005</v>
      </c>
      <c r="E92" s="72">
        <v>7</v>
      </c>
      <c r="F92" s="72">
        <v>0</v>
      </c>
      <c r="G92" s="72">
        <v>69.000000000000028</v>
      </c>
      <c r="H92" s="72">
        <v>0</v>
      </c>
      <c r="I92" s="72">
        <v>16.900000000000006</v>
      </c>
      <c r="J92" s="72">
        <v>145.69000000000005</v>
      </c>
      <c r="K92" s="72">
        <v>0</v>
      </c>
      <c r="L92" s="72">
        <v>0</v>
      </c>
      <c r="M92" s="72">
        <v>0</v>
      </c>
      <c r="N92" s="72">
        <v>0</v>
      </c>
      <c r="O92" s="72">
        <v>0</v>
      </c>
      <c r="P92" s="72">
        <v>0</v>
      </c>
      <c r="Q92" s="72">
        <v>69.000000000000028</v>
      </c>
      <c r="R92" s="72">
        <v>0</v>
      </c>
      <c r="S92" s="72">
        <v>0</v>
      </c>
      <c r="T92" s="249" t="s">
        <v>45</v>
      </c>
    </row>
    <row r="93" spans="1:20" x14ac:dyDescent="0.3">
      <c r="A93" s="249" t="s">
        <v>160</v>
      </c>
      <c r="B93" s="249" t="s">
        <v>32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  <c r="Q93" s="72">
        <v>0</v>
      </c>
      <c r="R93" s="72">
        <v>0</v>
      </c>
      <c r="S93" s="72">
        <v>0</v>
      </c>
      <c r="T93" s="249" t="s">
        <v>28</v>
      </c>
    </row>
    <row r="94" spans="1:20" x14ac:dyDescent="0.3">
      <c r="A94" s="249" t="s">
        <v>166</v>
      </c>
      <c r="B94" s="249" t="s">
        <v>33</v>
      </c>
      <c r="C94" s="72">
        <v>108.00000000000004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19.990000000000006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249" t="s">
        <v>28</v>
      </c>
    </row>
    <row r="95" spans="1:20" x14ac:dyDescent="0.3">
      <c r="A95" s="249" t="s">
        <v>169</v>
      </c>
      <c r="B95" s="249" t="s">
        <v>34</v>
      </c>
      <c r="C95" s="72">
        <v>0</v>
      </c>
      <c r="D95" s="72">
        <v>0</v>
      </c>
      <c r="E95" s="72">
        <v>0</v>
      </c>
      <c r="F95" s="72">
        <v>3848.0000000000018</v>
      </c>
      <c r="G95" s="72">
        <v>288.00000000000011</v>
      </c>
      <c r="H95" s="72">
        <v>0</v>
      </c>
      <c r="I95" s="72">
        <v>86.800000000000054</v>
      </c>
      <c r="J95" s="72">
        <v>39.900000000000013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129.00000000000006</v>
      </c>
      <c r="R95" s="72">
        <v>159.00000000000006</v>
      </c>
      <c r="S95" s="72">
        <v>0</v>
      </c>
      <c r="T95" s="249" t="s">
        <v>28</v>
      </c>
    </row>
    <row r="96" spans="1:20" x14ac:dyDescent="0.3">
      <c r="A96" s="249" t="s">
        <v>172</v>
      </c>
      <c r="B96" s="249" t="s">
        <v>35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249" t="s">
        <v>28</v>
      </c>
    </row>
    <row r="97" spans="1:20" x14ac:dyDescent="0.3">
      <c r="A97" s="249" t="s">
        <v>173</v>
      </c>
      <c r="B97" s="249" t="s">
        <v>51</v>
      </c>
      <c r="C97" s="72">
        <v>351.00000000000017</v>
      </c>
      <c r="D97" s="72">
        <v>419.98000000000019</v>
      </c>
      <c r="E97" s="72">
        <v>4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249" t="s">
        <v>52</v>
      </c>
    </row>
    <row r="98" spans="1:20" x14ac:dyDescent="0.3">
      <c r="A98" s="249" t="s">
        <v>174</v>
      </c>
      <c r="B98" s="249" t="s">
        <v>51</v>
      </c>
      <c r="C98" s="72">
        <v>119.00000000000006</v>
      </c>
      <c r="D98" s="72">
        <v>500.00000000000023</v>
      </c>
      <c r="E98" s="72">
        <v>3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249" t="s">
        <v>52</v>
      </c>
    </row>
    <row r="99" spans="1:20" x14ac:dyDescent="0.3">
      <c r="A99" s="249" t="s">
        <v>175</v>
      </c>
      <c r="B99" s="249" t="s">
        <v>51</v>
      </c>
      <c r="C99" s="72">
        <v>0</v>
      </c>
      <c r="D99" s="72">
        <v>100.00000000000004</v>
      </c>
      <c r="E99" s="72">
        <v>1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249" t="s">
        <v>52</v>
      </c>
    </row>
    <row r="100" spans="1:20" x14ac:dyDescent="0.3">
      <c r="A100" s="249" t="s">
        <v>176</v>
      </c>
      <c r="B100" s="249" t="s">
        <v>51</v>
      </c>
      <c r="C100" s="72">
        <v>0</v>
      </c>
      <c r="D100" s="72">
        <v>149.99000000000007</v>
      </c>
      <c r="E100" s="72">
        <v>2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249" t="s">
        <v>52</v>
      </c>
    </row>
    <row r="101" spans="1:20" x14ac:dyDescent="0.3">
      <c r="A101" s="249" t="s">
        <v>101</v>
      </c>
      <c r="B101" s="249" t="s">
        <v>39</v>
      </c>
      <c r="C101" s="72">
        <v>59.000000000000028</v>
      </c>
      <c r="D101" s="72">
        <v>0</v>
      </c>
      <c r="E101" s="72">
        <v>0</v>
      </c>
      <c r="F101" s="72">
        <v>1499.0000000000007</v>
      </c>
      <c r="G101" s="72">
        <v>218.00000000000009</v>
      </c>
      <c r="H101" s="72">
        <v>209.00000000000009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209.00000000000009</v>
      </c>
      <c r="Q101" s="72">
        <v>69.000000000000028</v>
      </c>
      <c r="R101" s="72">
        <v>149.00000000000006</v>
      </c>
      <c r="S101" s="72">
        <v>0</v>
      </c>
      <c r="T101" s="249" t="s">
        <v>202</v>
      </c>
    </row>
    <row r="102" spans="1:20" x14ac:dyDescent="0.3">
      <c r="A102" s="249" t="s">
        <v>124</v>
      </c>
      <c r="B102" s="249" t="s">
        <v>46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249" t="s">
        <v>45</v>
      </c>
    </row>
    <row r="103" spans="1:20" x14ac:dyDescent="0.3">
      <c r="A103" s="249" t="s">
        <v>136</v>
      </c>
      <c r="B103" s="249" t="s">
        <v>41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v>0</v>
      </c>
      <c r="J103" s="72">
        <v>0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249" t="s">
        <v>202</v>
      </c>
    </row>
    <row r="104" spans="1:20" x14ac:dyDescent="0.3">
      <c r="A104" s="249" t="s">
        <v>154</v>
      </c>
      <c r="B104" s="249" t="s">
        <v>42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  <c r="Q104" s="72">
        <v>0</v>
      </c>
      <c r="R104" s="72">
        <v>0</v>
      </c>
      <c r="S104" s="72">
        <v>0</v>
      </c>
      <c r="T104" s="249" t="s">
        <v>45</v>
      </c>
    </row>
    <row r="105" spans="1:20" x14ac:dyDescent="0.3">
      <c r="A105" s="249" t="s">
        <v>149</v>
      </c>
      <c r="B105" s="249" t="s">
        <v>48</v>
      </c>
      <c r="C105" s="72">
        <v>395.00000000000017</v>
      </c>
      <c r="D105" s="72">
        <v>0</v>
      </c>
      <c r="E105" s="72">
        <v>0</v>
      </c>
      <c r="F105" s="72">
        <v>1999.0000000000009</v>
      </c>
      <c r="G105" s="72">
        <v>199.00000000000009</v>
      </c>
      <c r="H105" s="72">
        <v>219.00000000000009</v>
      </c>
      <c r="I105" s="72">
        <v>0</v>
      </c>
      <c r="J105" s="72">
        <v>0</v>
      </c>
      <c r="K105" s="72">
        <v>0</v>
      </c>
      <c r="L105" s="72">
        <v>0</v>
      </c>
      <c r="M105" s="72">
        <v>0</v>
      </c>
      <c r="N105" s="72">
        <v>0</v>
      </c>
      <c r="O105" s="72">
        <v>0</v>
      </c>
      <c r="P105" s="72">
        <v>219.00000000000009</v>
      </c>
      <c r="Q105" s="72">
        <v>0</v>
      </c>
      <c r="R105" s="72">
        <v>199.00000000000009</v>
      </c>
      <c r="S105" s="72">
        <v>0</v>
      </c>
      <c r="T105" s="249" t="s">
        <v>45</v>
      </c>
    </row>
    <row r="106" spans="1:20" x14ac:dyDescent="0.3">
      <c r="A106" s="249" t="s">
        <v>155</v>
      </c>
      <c r="B106" s="249" t="s">
        <v>42</v>
      </c>
      <c r="C106" s="72">
        <v>54.990000000000023</v>
      </c>
      <c r="D106" s="72">
        <v>0</v>
      </c>
      <c r="E106" s="72">
        <v>0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  <c r="Q106" s="72">
        <v>0</v>
      </c>
      <c r="R106" s="72">
        <v>0</v>
      </c>
      <c r="S106" s="72">
        <v>0</v>
      </c>
      <c r="T106" s="249" t="s">
        <v>45</v>
      </c>
    </row>
    <row r="107" spans="1:20" x14ac:dyDescent="0.3">
      <c r="A107" s="249" t="s">
        <v>183</v>
      </c>
      <c r="B107" s="249" t="s">
        <v>50</v>
      </c>
      <c r="C107" s="72">
        <v>451.00000000000023</v>
      </c>
      <c r="D107" s="72">
        <v>525.00000000000023</v>
      </c>
      <c r="E107" s="72">
        <v>4</v>
      </c>
      <c r="F107" s="72">
        <v>0</v>
      </c>
      <c r="G107" s="72">
        <v>0</v>
      </c>
      <c r="H107" s="72">
        <v>0</v>
      </c>
      <c r="I107" s="72">
        <v>0</v>
      </c>
      <c r="J107" s="72">
        <v>59.900000000000027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249" t="s">
        <v>45</v>
      </c>
    </row>
  </sheetData>
  <phoneticPr fontId="1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5F30-E78A-4C09-8A07-1B399F4F1A1B}">
  <sheetPr codeName="Planilha3"/>
  <dimension ref="B2:H20"/>
  <sheetViews>
    <sheetView showGridLines="0" topLeftCell="A7" workbookViewId="0">
      <selection activeCell="E10" sqref="E10"/>
    </sheetView>
  </sheetViews>
  <sheetFormatPr defaultRowHeight="14.4" x14ac:dyDescent="0.3"/>
  <cols>
    <col min="2" max="2" width="12.21875" bestFit="1" customWidth="1"/>
    <col min="3" max="4" width="4.77734375" customWidth="1"/>
    <col min="5" max="5" width="16.21875" bestFit="1" customWidth="1"/>
    <col min="6" max="7" width="4.77734375" customWidth="1"/>
    <col min="8" max="8" width="21" bestFit="1" customWidth="1"/>
  </cols>
  <sheetData>
    <row r="2" spans="2:8" ht="14.55" customHeight="1" x14ac:dyDescent="0.3">
      <c r="B2" s="230" t="s">
        <v>203</v>
      </c>
      <c r="C2" s="230"/>
      <c r="D2" s="230"/>
      <c r="E2" s="230"/>
      <c r="F2" s="230"/>
      <c r="G2" s="230"/>
      <c r="H2" s="230"/>
    </row>
    <row r="3" spans="2:8" ht="14.55" customHeight="1" x14ac:dyDescent="0.3">
      <c r="B3" s="230"/>
      <c r="C3" s="230"/>
      <c r="D3" s="230"/>
      <c r="E3" s="230"/>
      <c r="F3" s="230"/>
      <c r="G3" s="230"/>
      <c r="H3" s="230"/>
    </row>
    <row r="4" spans="2:8" ht="14.55" customHeight="1" x14ac:dyDescent="0.3">
      <c r="B4" s="230"/>
      <c r="C4" s="230"/>
      <c r="D4" s="230"/>
      <c r="E4" s="230"/>
      <c r="F4" s="230"/>
      <c r="G4" s="230"/>
      <c r="H4" s="230"/>
    </row>
    <row r="6" spans="2:8" x14ac:dyDescent="0.3">
      <c r="B6" s="80" t="s">
        <v>27</v>
      </c>
      <c r="E6" s="80" t="s">
        <v>204</v>
      </c>
      <c r="H6" s="80" t="s">
        <v>43</v>
      </c>
    </row>
    <row r="8" spans="2:8" x14ac:dyDescent="0.3">
      <c r="B8" s="80" t="s">
        <v>30</v>
      </c>
      <c r="E8" s="80" t="s">
        <v>38</v>
      </c>
      <c r="H8" s="80" t="s">
        <v>205</v>
      </c>
    </row>
    <row r="10" spans="2:8" x14ac:dyDescent="0.3">
      <c r="B10" s="80" t="s">
        <v>32</v>
      </c>
      <c r="E10" s="80" t="s">
        <v>39</v>
      </c>
      <c r="H10" s="80" t="s">
        <v>46</v>
      </c>
    </row>
    <row r="12" spans="2:8" x14ac:dyDescent="0.3">
      <c r="B12" s="80" t="s">
        <v>206</v>
      </c>
      <c r="E12" s="80" t="s">
        <v>40</v>
      </c>
      <c r="H12" s="80" t="s">
        <v>47</v>
      </c>
    </row>
    <row r="14" spans="2:8" x14ac:dyDescent="0.3">
      <c r="B14" s="80" t="s">
        <v>31</v>
      </c>
      <c r="E14" s="80" t="s">
        <v>41</v>
      </c>
      <c r="H14" s="80" t="s">
        <v>48</v>
      </c>
    </row>
    <row r="16" spans="2:8" x14ac:dyDescent="0.3">
      <c r="B16" s="80" t="s">
        <v>33</v>
      </c>
      <c r="E16" s="80" t="s">
        <v>42</v>
      </c>
      <c r="H16" s="80" t="s">
        <v>49</v>
      </c>
    </row>
    <row r="18" spans="2:8" x14ac:dyDescent="0.3">
      <c r="B18" s="80" t="s">
        <v>35</v>
      </c>
      <c r="H18" s="80" t="s">
        <v>50</v>
      </c>
    </row>
    <row r="20" spans="2:8" x14ac:dyDescent="0.3">
      <c r="B20" s="80" t="s">
        <v>207</v>
      </c>
    </row>
  </sheetData>
  <mergeCells count="1">
    <mergeCell ref="B2:H4"/>
  </mergeCells>
  <hyperlinks>
    <hyperlink ref="B6" location="ANCHIETA!A1" display="ANCHIETA!A1" xr:uid="{153ADEAC-BD44-43D1-9C41-E02168939FF5}"/>
    <hyperlink ref="B12" location="'BOM JESUS'!A1" display="BOM JESUS" xr:uid="{7F7E6512-38BE-4B50-8721-D16AAA74411A}"/>
    <hyperlink ref="B8" location="ICONHA!A1" display="ICONHA" xr:uid="{A0A614C5-68C9-4076-856E-34CA6E44F86C}"/>
    <hyperlink ref="B10" location="PIUMA!A1" display="PIUMA" xr:uid="{0B54D69F-E5C1-409E-B519-5D165DC536DC}"/>
    <hyperlink ref="B14" location="MIRACEMA!A1" display="MIRACEMA" xr:uid="{C7911EA5-3C95-4D6B-9DBD-24F8DF8DB70B}"/>
    <hyperlink ref="B16" location="QUISSAMA!A1" display="QUISSAMA!A1" xr:uid="{9C94C93A-F1A4-48BF-8ED1-5726C76F3F3F}"/>
    <hyperlink ref="B18" location="'SAO FIDELIS'!A1" display="SAO FIDELIS" xr:uid="{9E09FD9D-F5BE-44B2-8BE4-A315F8E21AE8}"/>
    <hyperlink ref="B20" location="'ST PADUA'!A1" display="ST PADUA" xr:uid="{CFA669C5-4A72-4FB6-9EB8-015DC69650E7}"/>
    <hyperlink ref="E6" location="'CENTRO VV'!A1" display="CENTRO VV" xr:uid="{0BDAC731-25C5-4D9A-B16C-EA873AA2F831}"/>
    <hyperlink ref="E8" location="'CENTRO VIX'!A1" display="CENTRO VIX" xr:uid="{094E06F1-76A9-4B58-AE68-D2C6CFF19F8F}"/>
    <hyperlink ref="E12" location="'JARDIM CAMBURI'!A1" display="JARDIM CAMBURI" xr:uid="{6FC76F31-9371-4639-9D5B-DB533E9A0641}"/>
    <hyperlink ref="E14" location="MASTERPLACE!A1" display="MASTERPLACE" xr:uid="{5BE2C8C1-4F1C-40E6-B7DB-157E3BBFC555}"/>
    <hyperlink ref="E16" location="'NORTE SUL'!A1" display="NORTE SUL" xr:uid="{9F16102E-7D3E-4057-84E6-B031E5B33DBE}"/>
    <hyperlink ref="H6" location="ITACIBA!A1" display="ITACIBA" xr:uid="{3E8E000F-2D24-457C-A15B-BB19A229F324}"/>
    <hyperlink ref="H12" location="'MARCILIO DE NORONHA'!A1" display="MARCILIO DE NORONHA" xr:uid="{54D799F4-655C-400A-B917-C5FE8175AE37}"/>
    <hyperlink ref="H14" location="MONTSERRAT!A1" display="MONTSERRAT" xr:uid="{1AD7DD12-F4D7-42C1-9443-0FF690F50A41}"/>
    <hyperlink ref="H8" location="JACARAIPE!A1" display="JACARAIPE" xr:uid="{94F60E27-11F7-4A0A-ACFD-3BDD1A6D2D8A}"/>
    <hyperlink ref="H16" location="'PORTO CANOA'!A1" display="PORTO CANOA" xr:uid="{6130DD85-C499-4CE5-AE57-2D4419905DD3}"/>
    <hyperlink ref="H18" location="'SERRA SEDE'!A1" display="SERRA SEDE" xr:uid="{DA01D229-D025-4D6B-B020-3930188B2822}"/>
    <hyperlink ref="H10" location="LARANJEIRAS!A1" display="LARANJEIRAS" xr:uid="{35229676-4BEA-4FD9-ADCA-9FB86336401B}"/>
    <hyperlink ref="E10" location="GLORIA!A1" display="GLÓRIA" xr:uid="{DAFBBA20-7FAA-4481-88EF-967CD97799AC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C2A3-DA86-49D3-ACF2-3514A21CF107}">
  <sheetPr codeName="Planilha4"/>
  <dimension ref="B1:X54"/>
  <sheetViews>
    <sheetView showGridLines="0" zoomScale="80" zoomScaleNormal="80" workbookViewId="0">
      <selection activeCell="I6" sqref="I6"/>
    </sheetView>
  </sheetViews>
  <sheetFormatPr defaultRowHeight="14.4" x14ac:dyDescent="0.3"/>
  <cols>
    <col min="1" max="1" width="2" customWidth="1"/>
    <col min="2" max="2" width="16" bestFit="1" customWidth="1"/>
    <col min="3" max="3" width="15.44140625" customWidth="1"/>
    <col min="4" max="4" width="16.5546875" customWidth="1"/>
    <col min="5" max="5" width="15.44140625" customWidth="1"/>
    <col min="6" max="6" width="13.5546875" bestFit="1" customWidth="1"/>
    <col min="7" max="7" width="20.21875" customWidth="1"/>
    <col min="8" max="8" width="14.21875" bestFit="1" customWidth="1"/>
    <col min="9" max="9" width="21.21875" customWidth="1"/>
    <col min="10" max="10" width="20.77734375" customWidth="1"/>
    <col min="11" max="11" width="15.44140625" customWidth="1"/>
    <col min="12" max="12" width="16.44140625" customWidth="1"/>
    <col min="13" max="13" width="15.44140625" customWidth="1"/>
    <col min="14" max="14" width="22.5546875" customWidth="1"/>
    <col min="15" max="15" width="23" customWidth="1"/>
    <col min="16" max="16" width="22.77734375" customWidth="1"/>
    <col min="17" max="18" width="13.21875" customWidth="1"/>
    <col min="19" max="20" width="1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79</v>
      </c>
      <c r="K7" s="179"/>
      <c r="M7" s="178" t="s">
        <v>27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237" t="s">
        <v>54</v>
      </c>
      <c r="L12" s="238"/>
      <c r="M12" s="238"/>
      <c r="N12" s="238"/>
      <c r="O12" s="238"/>
      <c r="P12" s="238"/>
      <c r="Q12" s="238"/>
      <c r="R12" s="238"/>
      <c r="S12" s="238"/>
      <c r="T12" s="239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244" t="s">
        <v>222</v>
      </c>
      <c r="L13" s="245"/>
      <c r="M13" s="246"/>
      <c r="N13" s="240" t="s">
        <v>223</v>
      </c>
      <c r="O13" s="240" t="s">
        <v>224</v>
      </c>
      <c r="P13" s="240" t="s">
        <v>225</v>
      </c>
      <c r="Q13" s="240" t="s">
        <v>226</v>
      </c>
      <c r="R13" s="240" t="s">
        <v>227</v>
      </c>
      <c r="S13" s="240" t="s">
        <v>228</v>
      </c>
      <c r="T13" s="242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103" t="s">
        <v>230</v>
      </c>
      <c r="L14" s="247" t="s">
        <v>231</v>
      </c>
      <c r="M14" s="248"/>
      <c r="N14" s="241"/>
      <c r="O14" s="241"/>
      <c r="P14" s="241"/>
      <c r="Q14" s="241"/>
      <c r="R14" s="241"/>
      <c r="S14" s="241"/>
      <c r="T14" s="243"/>
    </row>
    <row r="15" spans="2:24" x14ac:dyDescent="0.3">
      <c r="B15" s="44" t="s">
        <v>2</v>
      </c>
      <c r="C15" s="75">
        <f>_xlfn.XLOOKUP($J$7,REALIZADO[CONSULTOR],REALIZADO[META_MOVEL])</f>
        <v>2200</v>
      </c>
      <c r="D15" s="76">
        <f>_xlfn.XLOOKUP($J$7,PROJEÇÃO[CONSULTOR],PROJEÇÃO[PROJ_MOVEL])</f>
        <v>1128.9700000000005</v>
      </c>
      <c r="E15" s="48">
        <f>IFERROR(D15/C15,0)</f>
        <v>0.51316818181818202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11.289700000000005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11.289700000000005</v>
      </c>
      <c r="K15" s="90">
        <f>SUMIFS(REALIZADO[META_MOVEL],REALIZADO[PDV],ANCHIETA!$M$7)</f>
        <v>6600</v>
      </c>
      <c r="L15" s="91">
        <f>SUMIFS(PROJEÇÃO[PROJ_MOVEL],PROJEÇÃO[PDV],ANCHIETA!$M$7)</f>
        <v>5475.1800000000021</v>
      </c>
      <c r="M15" s="48">
        <f>IFERROR(L15/K15,0)</f>
        <v>0.82957272727272757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 t="shared" ref="P15:P23" si="2">J15+O15</f>
        <v>11.289700000000005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50.882100000000023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3">D16*F16</f>
        <v>0</v>
      </c>
      <c r="I16" s="64">
        <f t="shared" si="0"/>
        <v>0</v>
      </c>
      <c r="J16" s="64">
        <f t="shared" ref="J16:J23" si="4">H16+I16</f>
        <v>0</v>
      </c>
      <c r="K16" s="90">
        <f>SUMIFS(REALIZADO[META_FIXA],REALIZADO[PDV],ANCHIETA!$M$7)</f>
        <v>0</v>
      </c>
      <c r="L16" s="91">
        <f>SUMIFS(PROJEÇÃO[PROJ_FIXA],PROJEÇÃO[PDV],ANCHIETA!$M$7)</f>
        <v>0</v>
      </c>
      <c r="M16" s="49">
        <f>IFERROR(L16/K16,0)</f>
        <v>0</v>
      </c>
      <c r="N16" s="12">
        <f>IF($M$17&gt;=FATORES!$I$17,FATORES!$K$17,0)</f>
        <v>0</v>
      </c>
      <c r="O16" s="88">
        <f t="shared" si="1"/>
        <v>0</v>
      </c>
      <c r="P16" s="13">
        <f t="shared" si="2"/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38666.666700000002</v>
      </c>
      <c r="D17" s="76">
        <f>_xlfn.XLOOKUP($J$7,PROJEÇÃO[CONSULTOR],PROJEÇÃO[PROJ_APARELHO])</f>
        <v>12152.000000000005</v>
      </c>
      <c r="E17" s="49">
        <f>IFERROR(D17/C17,0)</f>
        <v>0.31427586179803818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3"/>
        <v>6.0760000000000032</v>
      </c>
      <c r="I17" s="64">
        <f t="shared" si="0"/>
        <v>0</v>
      </c>
      <c r="J17" s="64">
        <f t="shared" si="4"/>
        <v>6.0760000000000032</v>
      </c>
      <c r="K17" s="92">
        <f>SUMIFS(REALIZADO[META_SMARTPHONE],REALIZADO[PDV],ANCHIETA!$M$7)</f>
        <v>116000.0001</v>
      </c>
      <c r="L17" s="93">
        <f>SUMIFS(PROJEÇÃO[PROJ_APARELHO],PROJEÇÃO[PDV],ANCHIETA!$M$7)</f>
        <v>66570.000000000029</v>
      </c>
      <c r="M17" s="49">
        <f>IFERROR(L17/K17,0)</f>
        <v>0.57387930985010427</v>
      </c>
      <c r="N17" s="12">
        <f>IF($M$17&gt;=FATORES!$B$28,FATORES!$D$28,0)</f>
        <v>0</v>
      </c>
      <c r="O17" s="88">
        <f t="shared" si="1"/>
        <v>0</v>
      </c>
      <c r="P17" s="13">
        <f t="shared" si="2"/>
        <v>6.0760000000000032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4650</v>
      </c>
      <c r="D18" s="77">
        <f>_xlfn.XLOOKUP($J$7,PROJEÇÃO[CONSULTOR],PROJEÇÃO[PROJ_ELETRO_A])</f>
        <v>0</v>
      </c>
      <c r="E18" s="140">
        <f>IFERROR((D18+D19)/C18,0)</f>
        <v>0.7795698924731187</v>
      </c>
      <c r="F18" s="12">
        <f>VLOOKUP($E$18,FATORES!$B$16:$E$18,3)</f>
        <v>1E-3</v>
      </c>
      <c r="G18" s="12">
        <f>IFERROR(VLOOKUP($E$18,FATORES!$B$19:$E$20,3),0)</f>
        <v>0</v>
      </c>
      <c r="H18" s="64">
        <f t="shared" si="3"/>
        <v>0</v>
      </c>
      <c r="I18" s="64">
        <f t="shared" si="0"/>
        <v>0</v>
      </c>
      <c r="J18" s="64">
        <f t="shared" si="4"/>
        <v>0</v>
      </c>
      <c r="K18" s="231">
        <f>SUMIFS(REALIZADO[META_ACESSORIO],REALIZADO[PDV],ANCHIETA!$M$7)</f>
        <v>13950</v>
      </c>
      <c r="L18" s="94">
        <f>SUMIFS(PROJEÇÃO[PROJ_ELETRO_A],PROJEÇÃO[PDV],ANCHIETA!$M$7)</f>
        <v>0</v>
      </c>
      <c r="M18" s="114">
        <f>IFERROR((L18+L19)/K18,0)</f>
        <v>0.79225806451612946</v>
      </c>
      <c r="N18" s="12">
        <f>IF($M$18&gt;=FATORES!$B$21,FATORES!$D$21,0)</f>
        <v>0</v>
      </c>
      <c r="O18" s="88">
        <f t="shared" si="1"/>
        <v>0</v>
      </c>
      <c r="P18" s="13">
        <f t="shared" si="2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3625.0000000000018</v>
      </c>
      <c r="E19" s="140"/>
      <c r="F19" s="12">
        <f>VLOOKUP($E$18,FATORES!$B$16:$E$18,4)</f>
        <v>5.0000000000000001E-4</v>
      </c>
      <c r="G19" s="12">
        <f>IFERROR(VLOOKUP($E$18,FATORES!$B$19:$E$20,4),0)</f>
        <v>0</v>
      </c>
      <c r="H19" s="64">
        <f t="shared" si="3"/>
        <v>1.8125000000000009</v>
      </c>
      <c r="I19" s="64">
        <f t="shared" si="0"/>
        <v>0</v>
      </c>
      <c r="J19" s="64">
        <f t="shared" si="4"/>
        <v>1.8125000000000009</v>
      </c>
      <c r="K19" s="232"/>
      <c r="L19" s="95">
        <f>SUMIFS(PROJEÇÃO[PROJ_ELETRO_B],PROJEÇÃO[PDV],ANCHIETA!$M$7)</f>
        <v>11052.000000000005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2"/>
        <v>1.8125000000000009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2283.3332999999998</v>
      </c>
      <c r="D20" s="77">
        <f>_xlfn.XLOOKUP($J$7,PROJEÇÃO[CONSULTOR],PROJEÇÃO[PROJ_ESSEN_A])</f>
        <v>741.00000000000034</v>
      </c>
      <c r="E20" s="140">
        <f>IFERROR((D20+D21)/C20,0)</f>
        <v>1.037518263321435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3"/>
        <v>11.115000000000006</v>
      </c>
      <c r="I20" s="64">
        <f t="shared" si="0"/>
        <v>0</v>
      </c>
      <c r="J20" s="64">
        <f t="shared" si="4"/>
        <v>11.115000000000006</v>
      </c>
      <c r="K20" s="231">
        <f>SUMIFS(REALIZADO[META_ESSENCIAIS],REALIZADO[PDV],ANCHIETA!$M$7)</f>
        <v>6849.9998999999989</v>
      </c>
      <c r="L20" s="94">
        <f>SUMIFS(PROJEÇÃO[PROJ_ESSEN_A],PROJEÇÃO[PDV],ANCHIETA!$M$7)</f>
        <v>3375.0000000000018</v>
      </c>
      <c r="M20" s="114">
        <f>IFERROR((L20+L21)/K20,0)</f>
        <v>1.1186861477180468</v>
      </c>
      <c r="N20" s="12">
        <f>IF($M$20&gt;=FATORES!$B$11,FATORES!$D$11,0)</f>
        <v>1.4999999999999999E-2</v>
      </c>
      <c r="O20" s="88">
        <f t="shared" si="1"/>
        <v>0</v>
      </c>
      <c r="P20" s="13">
        <f t="shared" si="2"/>
        <v>11.115000000000006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1628.0000000000007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3"/>
        <v>16.280000000000008</v>
      </c>
      <c r="I21" s="64">
        <f t="shared" si="0"/>
        <v>0</v>
      </c>
      <c r="J21" s="64">
        <f t="shared" si="4"/>
        <v>16.280000000000008</v>
      </c>
      <c r="K21" s="232"/>
      <c r="L21" s="95">
        <f>SUMIFS(PROJEÇÃO[PROJ_ESSEN_B],PROJEÇÃO[PDV],ANCHIETA!$M$7)</f>
        <v>4288.0000000000018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2"/>
        <v>16.280000000000008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275</v>
      </c>
      <c r="D22" s="81">
        <f>_xlfn.XLOOKUP($J$7,PROJEÇÃO[CONSULTOR],PROJEÇÃO[PROJ_SEGURO])</f>
        <v>213.40000000000009</v>
      </c>
      <c r="E22" s="83">
        <f>IFERROR(D22/C22,0)</f>
        <v>0.77600000000000036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3"/>
        <v>2.1340000000000008</v>
      </c>
      <c r="I22" s="64">
        <f t="shared" si="0"/>
        <v>0</v>
      </c>
      <c r="J22" s="64">
        <f t="shared" si="4"/>
        <v>2.1340000000000008</v>
      </c>
      <c r="K22" s="96">
        <f>SUMIFS(REALIZADO[META_SEGUROS],REALIZADO[PDV],ANCHIETA!$M$7)</f>
        <v>825</v>
      </c>
      <c r="L22" s="97">
        <f>SUMIFS(PROJEÇÃO[PROJ_SEGURO],PROJEÇÃO[PDV],ANCHIETA!$M$7)</f>
        <v>786.40000000000032</v>
      </c>
      <c r="M22" s="49">
        <f>IFERROR(L22/K22,0)</f>
        <v>0.95321212121212162</v>
      </c>
      <c r="N22" s="12">
        <f>IF($M$22&gt;=FATORES!$O$9,FATORES!$Q$9,0)</f>
        <v>0</v>
      </c>
      <c r="O22" s="88">
        <f t="shared" si="1"/>
        <v>0</v>
      </c>
      <c r="P22" s="13">
        <f t="shared" si="2"/>
        <v>2.1340000000000008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283.33330000000001</v>
      </c>
      <c r="D23" s="57">
        <f>_xlfn.XLOOKUP($J$7,PROJEÇÃO[CONSULTOR],PROJEÇÃO[PROJ_SVA])</f>
        <v>217.49000000000009</v>
      </c>
      <c r="E23" s="82">
        <f>IFERROR(D23/C23,0)</f>
        <v>0.76761185501315976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3"/>
        <v>2.1749000000000009</v>
      </c>
      <c r="I23" s="64">
        <f t="shared" si="0"/>
        <v>0</v>
      </c>
      <c r="J23" s="16">
        <f t="shared" si="4"/>
        <v>2.1749000000000009</v>
      </c>
      <c r="K23" s="90">
        <f>SUMIFS(REALIZADO[META_SVA],REALIZADO[PDV],ANCHIETA!$M$7)</f>
        <v>849.99990000000003</v>
      </c>
      <c r="L23" s="91">
        <f>SUMIFS(PROJEÇÃO[PROJ_SVA],PROJEÇÃO[PDV],ANCHIETA!$M$7)</f>
        <v>818.46000000000026</v>
      </c>
      <c r="M23" s="50">
        <f>IFERROR(L23/K23,0)</f>
        <v>0.96289423092873339</v>
      </c>
      <c r="N23" s="15">
        <f>IF($M$23&gt;=FATORES!$O$17,FATORES!$Q$17,0)</f>
        <v>0</v>
      </c>
      <c r="O23" s="88">
        <f t="shared" si="1"/>
        <v>0</v>
      </c>
      <c r="P23" s="17">
        <f t="shared" si="2"/>
        <v>2.1749000000000009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98"/>
      <c r="L24" s="99"/>
      <c r="M24" s="99"/>
      <c r="N24" s="99"/>
      <c r="O24" s="99"/>
      <c r="P24" s="100">
        <f>SUM(P15:P23)</f>
        <v>50.882100000000023</v>
      </c>
      <c r="Q24" s="100">
        <f>SUM(Q15:Q23)</f>
        <v>0</v>
      </c>
      <c r="R24" s="100">
        <f>SUM(R15:R23)</f>
        <v>0</v>
      </c>
      <c r="S24" s="101" t="str">
        <f>IF($P$7="ARIEL",IF(MIN(E15,E17,E18,E19,E20,E22,E23)&gt;=100%,SUM(P24:R24)*S15,""),IF(MIN(E15:E23)&gt;=100%,SUM(P24:R24)*S15,""))</f>
        <v/>
      </c>
      <c r="T24" s="102"/>
    </row>
    <row r="25" spans="2:20" s="109" customFormat="1" x14ac:dyDescent="0.3">
      <c r="B25" s="104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6"/>
      <c r="Q25" s="106"/>
      <c r="R25" s="106"/>
      <c r="S25" s="107"/>
      <c r="T25" s="108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x14ac:dyDescent="0.3">
      <c r="B28" s="132" t="s">
        <v>215</v>
      </c>
      <c r="C28" s="233" t="s">
        <v>216</v>
      </c>
      <c r="D28" s="151"/>
      <c r="E28" s="234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x14ac:dyDescent="0.3">
      <c r="B29" s="155"/>
      <c r="C29" s="89" t="s">
        <v>230</v>
      </c>
      <c r="D29" s="235" t="s">
        <v>231</v>
      </c>
      <c r="E29" s="236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2200</v>
      </c>
      <c r="D30" s="76">
        <f>_xlfn.XLOOKUP($J$7,REALIZADO[CONSULTOR],REALIZADO[AT_MOVEL])</f>
        <v>118</v>
      </c>
      <c r="E30" s="48">
        <f>IFERROR(D30/C30,0)</f>
        <v>5.3636363636363635E-2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1.18</v>
      </c>
      <c r="I30" s="9">
        <f t="shared" ref="I30:I38" si="5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1.18</v>
      </c>
      <c r="K30" s="75">
        <f>SUMIFS(REALIZADO[META_MOVEL],REALIZADO[PDV],ANCHIETA!$M$7)</f>
        <v>6600</v>
      </c>
      <c r="L30" s="76">
        <f>SUMIFS(REALIZADO[AT_MOVEL],REALIZADO[PDV],ANCHIETA!$M$7)</f>
        <v>477.01</v>
      </c>
      <c r="M30" s="48">
        <f>IFERROR(L30/K30,0)</f>
        <v>7.2274242424242421E-2</v>
      </c>
      <c r="N30" s="8">
        <f>IF($M$30&gt;=FATORES!$I$9,FATORES!$K$9,0)</f>
        <v>0</v>
      </c>
      <c r="O30" s="88">
        <f t="shared" ref="O30:O38" si="6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1.18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3.9260000000000002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7">D31*F31</f>
        <v>0</v>
      </c>
      <c r="I31" s="64">
        <f t="shared" si="5"/>
        <v>0</v>
      </c>
      <c r="J31" s="64">
        <f t="shared" ref="J31:J38" si="8">H31+I31</f>
        <v>0</v>
      </c>
      <c r="K31" s="75">
        <f>SUMIFS(REALIZADO[META_FIXA],REALIZADO[PDV],ANCHIETA!$M$7)</f>
        <v>0</v>
      </c>
      <c r="L31" s="76">
        <f>SUMIFS(REALIZADO[AT_FIXA],REALIZADO[PDV],ANCHIETA!$M$7)</f>
        <v>0</v>
      </c>
      <c r="M31" s="49">
        <f t="shared" ref="M31:M32" si="9">IFERROR(L31/K31,0)</f>
        <v>0</v>
      </c>
      <c r="N31" s="12">
        <f>IF($M$31&gt;=FATORES!$I$17,FATORES!$K$17,0)</f>
        <v>0</v>
      </c>
      <c r="O31" s="88">
        <f t="shared" si="6"/>
        <v>0</v>
      </c>
      <c r="P31" s="13">
        <f t="shared" ref="P31:P38" si="10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38666.666700000002</v>
      </c>
      <c r="D32" s="76">
        <f>_xlfn.XLOOKUP($J$7,REALIZADO[CONSULTOR],REALIZADO[AT_SMARTPHONE])</f>
        <v>3098</v>
      </c>
      <c r="E32" s="49">
        <f>IFERROR(D32/C32,0)</f>
        <v>8.0120689586102856E-2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7"/>
        <v>1.5489999999999999</v>
      </c>
      <c r="I32" s="64">
        <f t="shared" si="5"/>
        <v>0</v>
      </c>
      <c r="J32" s="64">
        <f t="shared" si="8"/>
        <v>1.5489999999999999</v>
      </c>
      <c r="K32" s="52">
        <f>SUMIFS(REALIZADO[META_SMARTPHONE],REALIZADO[PDV],ANCHIETA!$M$7)</f>
        <v>116000.0001</v>
      </c>
      <c r="L32" s="77">
        <f>SUMIFS(REALIZADO[AT_SMARTPHONE],REALIZADO[PDV],ANCHIETA!$M$7)</f>
        <v>8844</v>
      </c>
      <c r="M32" s="49">
        <f t="shared" si="9"/>
        <v>7.6241379244619503E-2</v>
      </c>
      <c r="N32" s="12">
        <f>IF($M$32&gt;=FATORES!$B$28,FATORES!$D$28,0)</f>
        <v>0</v>
      </c>
      <c r="O32" s="88">
        <f t="shared" si="6"/>
        <v>0</v>
      </c>
      <c r="P32" s="13">
        <f t="shared" si="10"/>
        <v>1.5489999999999999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4650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7"/>
        <v>0</v>
      </c>
      <c r="I33" s="64">
        <f t="shared" si="5"/>
        <v>0</v>
      </c>
      <c r="J33" s="64">
        <f t="shared" si="8"/>
        <v>0</v>
      </c>
      <c r="K33" s="141">
        <f>SUMIFS(REALIZADO[META_ACESSORIO],REALIZADO[PDV],ANCHIETA!$M$7)</f>
        <v>13950</v>
      </c>
      <c r="L33" s="86">
        <f>SUMIFS(REALIZADO[AT_ACESSORIOS_A],REALIZADO[PDV],ANCHIETA!$M$7)</f>
        <v>0</v>
      </c>
      <c r="M33" s="114">
        <f>IFERROR((L33+L34)/K33,0)</f>
        <v>1.4265232974910395E-2</v>
      </c>
      <c r="N33" s="12">
        <f>IF($M$33&gt;=FATORES!$B$21,FATORES!$D$21,0)</f>
        <v>0</v>
      </c>
      <c r="O33" s="88">
        <f t="shared" si="6"/>
        <v>0</v>
      </c>
      <c r="P33" s="13">
        <f t="shared" si="10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7"/>
        <v>0</v>
      </c>
      <c r="I34" s="64">
        <f t="shared" si="5"/>
        <v>0</v>
      </c>
      <c r="J34" s="64">
        <f t="shared" si="8"/>
        <v>0</v>
      </c>
      <c r="K34" s="142"/>
      <c r="L34" s="87">
        <f>SUMIFS(REALIZADO[AT_ACESSORIOS_B],REALIZADO[PDV],ANCHIETA!$M$7)</f>
        <v>199</v>
      </c>
      <c r="M34" s="114"/>
      <c r="N34" s="12">
        <f>IF($M$33&gt;=FATORES!$B$21,FATORES!$E$21,0)</f>
        <v>0</v>
      </c>
      <c r="O34" s="88">
        <f t="shared" si="6"/>
        <v>0</v>
      </c>
      <c r="P34" s="13">
        <f t="shared" si="10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2283.3332999999998</v>
      </c>
      <c r="D35" s="77">
        <f>_xlfn.XLOOKUP($J$7,REALIZADO[CONSULTOR],REALIZADO[AT_ESSENCIAIS_A])</f>
        <v>158</v>
      </c>
      <c r="E35" s="140">
        <f>IFERROR((D35+D36)/C35,0)</f>
        <v>0.11255474616868244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7"/>
        <v>0.79</v>
      </c>
      <c r="I35" s="64">
        <f t="shared" si="5"/>
        <v>0</v>
      </c>
      <c r="J35" s="64">
        <f t="shared" si="8"/>
        <v>0.79</v>
      </c>
      <c r="K35" s="141">
        <f>SUMIFS(REALIZADO[META_ESSENCIAIS],REALIZADO[PDV],ANCHIETA!$M$7)</f>
        <v>6849.9998999999989</v>
      </c>
      <c r="L35" s="86">
        <f>SUMIFS(REALIZADO[AT_ESSENCIAIS_A],REALIZADO[PDV],ANCHIETA!$M$7)</f>
        <v>643</v>
      </c>
      <c r="M35" s="114">
        <f>IFERROR((L35+L36)/K35,0)</f>
        <v>0.14875912625925733</v>
      </c>
      <c r="N35" s="12">
        <f>IF($M$35&gt;=FATORES!$B$11,FATORES!$D$11,0)</f>
        <v>0</v>
      </c>
      <c r="O35" s="88">
        <f t="shared" si="6"/>
        <v>0</v>
      </c>
      <c r="P35" s="13">
        <f t="shared" si="10"/>
        <v>0.79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99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7"/>
        <v>0.19800000000000001</v>
      </c>
      <c r="I36" s="64">
        <f t="shared" si="5"/>
        <v>0</v>
      </c>
      <c r="J36" s="64">
        <f t="shared" si="8"/>
        <v>0.19800000000000001</v>
      </c>
      <c r="K36" s="142"/>
      <c r="L36" s="87">
        <f>SUMIFS(REALIZADO[AT_ESSENCIAIS_B],REALIZADO[PDV],ANCHIETA!$M$7)</f>
        <v>376</v>
      </c>
      <c r="M36" s="114"/>
      <c r="N36" s="12">
        <f>IF($M$35&gt;=FATORES!$B$11,FATORES!$E$11,0)</f>
        <v>0</v>
      </c>
      <c r="O36" s="88">
        <f t="shared" si="6"/>
        <v>0</v>
      </c>
      <c r="P36" s="13">
        <f t="shared" si="10"/>
        <v>0.19800000000000001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275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7"/>
        <v>0</v>
      </c>
      <c r="I37" s="64">
        <f t="shared" si="5"/>
        <v>0</v>
      </c>
      <c r="J37" s="64">
        <f t="shared" si="8"/>
        <v>0</v>
      </c>
      <c r="K37" s="56">
        <f>SUMIFS(REALIZADO[META_SEGUROS],REALIZADO[PDV],ANCHIETA!$M$7)</f>
        <v>825</v>
      </c>
      <c r="L37" s="78">
        <f>SUMIFS(REALIZADO[AT_SEGUROS],REALIZADO[PDV],ANCHIETA!$M$7)</f>
        <v>33.799999999999997</v>
      </c>
      <c r="M37" s="49">
        <f t="shared" ref="M37:M38" si="11">IFERROR(L37/K37,0)</f>
        <v>4.0969696969696968E-2</v>
      </c>
      <c r="N37" s="12">
        <f>IF($M$37&gt;=FATORES!$O$9,FATORES!$Q$9,0)</f>
        <v>0</v>
      </c>
      <c r="O37" s="88">
        <f t="shared" si="6"/>
        <v>0</v>
      </c>
      <c r="P37" s="13">
        <f t="shared" si="10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283.33330000000001</v>
      </c>
      <c r="D38" s="57">
        <f>_xlfn.XLOOKUP($J$7,REALIZADO[CONSULTOR],REALIZADO[AT_SVA])</f>
        <v>20.9</v>
      </c>
      <c r="E38" s="82">
        <f>IFERROR(D38/C38,0)</f>
        <v>7.3764714560554653E-2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7"/>
        <v>0.20899999999999999</v>
      </c>
      <c r="I38" s="64">
        <f t="shared" si="5"/>
        <v>0</v>
      </c>
      <c r="J38" s="16">
        <f t="shared" si="8"/>
        <v>0.20899999999999999</v>
      </c>
      <c r="K38" s="75">
        <f>SUMIFS(REALIZADO[META_SVA],REALIZADO[PDV],ANCHIETA!$M$7)</f>
        <v>849.99990000000003</v>
      </c>
      <c r="L38" s="76">
        <f>SUMIFS(REALIZADO[AT_SVA],REALIZADO[PDV],ANCHIETA!$M$7)</f>
        <v>119.39999999999999</v>
      </c>
      <c r="M38" s="50">
        <f t="shared" si="11"/>
        <v>0.14047060476124759</v>
      </c>
      <c r="N38" s="15">
        <f>IF($M$38&gt;=FATORES!$O$17,FATORES!$Q$17,0)</f>
        <v>0</v>
      </c>
      <c r="O38" s="88">
        <f t="shared" si="6"/>
        <v>0</v>
      </c>
      <c r="P38" s="17">
        <f t="shared" si="10"/>
        <v>0.20899999999999999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3.9260000000000002</v>
      </c>
      <c r="Q39" s="69">
        <f t="shared" ref="Q39:R39" si="12">SUM(Q30:Q38)</f>
        <v>0</v>
      </c>
      <c r="R39" s="69">
        <f t="shared" si="12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23.5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23.5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5000</v>
      </c>
      <c r="D45" s="53">
        <v>7500</v>
      </c>
      <c r="E45" s="48">
        <f>IFERROR(D45/C45,0)</f>
        <v>1.5</v>
      </c>
      <c r="F45" s="8">
        <f>VLOOKUP($E$45,FATORES!$I$4:$K$6,3)</f>
        <v>0.08</v>
      </c>
      <c r="G45" s="8">
        <f>IFERROR(VLOOKUP($E$45,FATORES!$I$7:$K$8,3),0)</f>
        <v>0.2</v>
      </c>
      <c r="H45" s="9">
        <f>D45*F45</f>
        <v>600</v>
      </c>
      <c r="I45" s="9">
        <f t="shared" ref="I45:I53" si="13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1500</v>
      </c>
      <c r="J45" s="9">
        <f>H45+I45</f>
        <v>2100</v>
      </c>
      <c r="K45" s="52">
        <f>SUMIFS(REALIZADO[META_MOVEL],REALIZADO[PDV],ANCHIETA!$M$7)</f>
        <v>6600</v>
      </c>
      <c r="L45" s="53">
        <v>7842.21</v>
      </c>
      <c r="M45" s="48">
        <f>IFERROR(L45/K45,0)</f>
        <v>1.1882136363636364</v>
      </c>
      <c r="N45" s="8">
        <f>IF($M$45&gt;=FATORES!$I$9,FATORES!$K$9,0)</f>
        <v>0.1</v>
      </c>
      <c r="O45" s="88">
        <f t="shared" ref="O45:O53" si="14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750</v>
      </c>
      <c r="P45" s="10">
        <f>J45+O45</f>
        <v>2850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3404.2028999999998</v>
      </c>
    </row>
    <row r="46" spans="2:20" x14ac:dyDescent="0.3">
      <c r="B46" s="45" t="s">
        <v>13</v>
      </c>
      <c r="C46" s="54">
        <f>_xlfn.XLOOKUP($J$7,REALIZADO[CONSULTOR],REALIZADO[META_FIXA])</f>
        <v>0</v>
      </c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5">D46*F46</f>
        <v>0</v>
      </c>
      <c r="I46" s="64">
        <f t="shared" si="13"/>
        <v>0</v>
      </c>
      <c r="J46" s="64">
        <f t="shared" ref="J46:J53" si="16">H46+I46</f>
        <v>0</v>
      </c>
      <c r="K46" s="54">
        <f>SUMIFS(REALIZADO[META_FIXA],REALIZADO[PDV],ANCHIETA!$M$7)</f>
        <v>0</v>
      </c>
      <c r="L46" s="55">
        <v>100</v>
      </c>
      <c r="M46" s="49">
        <f t="shared" ref="M46:M53" si="17">IFERROR(L46/K46,0)</f>
        <v>0</v>
      </c>
      <c r="N46" s="12">
        <f>IF($M$46&gt;=FATORES!$I$17,FATORES!$K$17,0)</f>
        <v>0</v>
      </c>
      <c r="O46" s="88">
        <f t="shared" si="14"/>
        <v>0</v>
      </c>
      <c r="P46" s="13">
        <f t="shared" ref="P46:P53" si="18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38666.666700000002</v>
      </c>
      <c r="D47" s="55">
        <v>46937</v>
      </c>
      <c r="E47" s="49">
        <f>IFERROR(D47/C47,0)</f>
        <v>1.2138879299880276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5"/>
        <v>70.405500000000004</v>
      </c>
      <c r="I47" s="64">
        <f t="shared" si="13"/>
        <v>93.873999999999995</v>
      </c>
      <c r="J47" s="64">
        <f t="shared" si="16"/>
        <v>164.27949999999998</v>
      </c>
      <c r="K47" s="54">
        <f>SUMIFS(REALIZADO[META_SMARTPHONE],REALIZADO[PDV],ANCHIETA!$M$7)</f>
        <v>116000.0001</v>
      </c>
      <c r="L47" s="55">
        <v>156456</v>
      </c>
      <c r="M47" s="49">
        <f t="shared" si="17"/>
        <v>1.3487586195269321</v>
      </c>
      <c r="N47" s="12">
        <f>IF($M$47&gt;=FATORES!$B$28,FATORES!$D$28,0)</f>
        <v>2.5000000000000001E-3</v>
      </c>
      <c r="O47" s="88">
        <f t="shared" si="14"/>
        <v>117.3425</v>
      </c>
      <c r="P47" s="13">
        <f t="shared" si="18"/>
        <v>281.62199999999996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4650</v>
      </c>
      <c r="D48" s="55"/>
      <c r="E48" s="114">
        <f>IFERROR((D48+D49)/C48,0)</f>
        <v>1.4737634408602152</v>
      </c>
      <c r="F48" s="12">
        <f>VLOOKUP($E$48,FATORES!$B$16:$E$18,3)</f>
        <v>3.0000000000000001E-3</v>
      </c>
      <c r="G48" s="12">
        <f>IFERROR(VLOOKUP($E$48,FATORES!$B$19:$E$20,3),0)</f>
        <v>1.2E-2</v>
      </c>
      <c r="H48" s="64">
        <f t="shared" si="15"/>
        <v>0</v>
      </c>
      <c r="I48" s="64">
        <f t="shared" si="13"/>
        <v>0</v>
      </c>
      <c r="J48" s="64">
        <f t="shared" si="16"/>
        <v>0</v>
      </c>
      <c r="K48" s="113">
        <f>SUMIFS(REALIZADO[META_ACESSORIO],REALIZADO[PDV],ANCHIETA!$M$7)</f>
        <v>13950</v>
      </c>
      <c r="L48" s="55">
        <f>SUMIFS(REALIZADO[AT_ACESSORIOS_A],REALIZADO[PDV],ANCHIETA!$M$7)</f>
        <v>0</v>
      </c>
      <c r="M48" s="114">
        <f>IFERROR((L48+L49)/K48,0)</f>
        <v>1.2959139784946236</v>
      </c>
      <c r="N48" s="12">
        <f>IF($M$48&gt;=FATORES!$B$21,FATORES!$D$21,0)</f>
        <v>5.0000000000000001E-3</v>
      </c>
      <c r="O48" s="88">
        <f t="shared" si="14"/>
        <v>0</v>
      </c>
      <c r="P48" s="13">
        <f t="shared" si="18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6853</v>
      </c>
      <c r="E49" s="114"/>
      <c r="F49" s="12">
        <f>VLOOKUP($E$48,FATORES!$B$16:$E$18,4)</f>
        <v>1.5E-3</v>
      </c>
      <c r="G49" s="12">
        <f>IFERROR(VLOOKUP($E$48,FATORES!$B$19:$E$20,4),0)</f>
        <v>6.0000000000000001E-3</v>
      </c>
      <c r="H49" s="64">
        <f t="shared" si="15"/>
        <v>10.279500000000001</v>
      </c>
      <c r="I49" s="64">
        <f t="shared" si="13"/>
        <v>41.118000000000002</v>
      </c>
      <c r="J49" s="64">
        <f t="shared" si="16"/>
        <v>51.397500000000001</v>
      </c>
      <c r="K49" s="113"/>
      <c r="L49" s="55">
        <v>18078</v>
      </c>
      <c r="M49" s="114"/>
      <c r="N49" s="12">
        <f>IF($M$48&gt;=FATORES!$B$21,FATORES!$E$21,0)</f>
        <v>2.5000000000000001E-3</v>
      </c>
      <c r="O49" s="88">
        <f t="shared" si="14"/>
        <v>0</v>
      </c>
      <c r="P49" s="13">
        <f t="shared" si="18"/>
        <v>51.397500000000001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f>_xlfn.XLOOKUP($J$7,REALIZADO[CONSULTOR],REALIZADO[META_ESSENCIAIS])</f>
        <v>2283.3332999999998</v>
      </c>
      <c r="D50" s="55">
        <v>881</v>
      </c>
      <c r="E50" s="114">
        <f>IFERROR((D50+D51)/C50,0)</f>
        <v>1.0948905269327085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5"/>
        <v>13.215</v>
      </c>
      <c r="I50" s="64">
        <f t="shared" si="13"/>
        <v>35.24</v>
      </c>
      <c r="J50" s="64">
        <f t="shared" si="16"/>
        <v>48.454999999999998</v>
      </c>
      <c r="K50" s="113">
        <f>SUMIFS(REALIZADO[META_ESSENCIAIS],REALIZADO[PDV],ANCHIETA!$M$7)</f>
        <v>6849.9998999999989</v>
      </c>
      <c r="L50" s="55">
        <v>3293</v>
      </c>
      <c r="M50" s="114">
        <f>IFERROR((L50+L51)/K50,0)</f>
        <v>1.0788321325376955</v>
      </c>
      <c r="N50" s="12">
        <f>IF($M$50&gt;=FATORES!$B$11,FATORES!D11,0)</f>
        <v>1.4999999999999999E-2</v>
      </c>
      <c r="O50" s="88">
        <f t="shared" si="14"/>
        <v>13.215</v>
      </c>
      <c r="P50" s="13">
        <f t="shared" si="18"/>
        <v>61.67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1619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5"/>
        <v>16.190000000000001</v>
      </c>
      <c r="I51" s="64">
        <f t="shared" si="13"/>
        <v>24.285</v>
      </c>
      <c r="J51" s="64">
        <f t="shared" si="16"/>
        <v>40.475000000000001</v>
      </c>
      <c r="K51" s="113"/>
      <c r="L51" s="55">
        <v>4097</v>
      </c>
      <c r="M51" s="114"/>
      <c r="N51" s="12">
        <f>IF($M$50&gt;=FATORES!$B$11,FATORES!$E$11,0)</f>
        <v>0.01</v>
      </c>
      <c r="O51" s="88">
        <f t="shared" si="14"/>
        <v>0</v>
      </c>
      <c r="P51" s="13">
        <f t="shared" si="18"/>
        <v>40.475000000000001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f>_xlfn.XLOOKUP($J$7,REALIZADO[CONSULTOR],REALIZADO[META_SEGUROS])</f>
        <v>275</v>
      </c>
      <c r="D52" s="55">
        <v>309.7</v>
      </c>
      <c r="E52" s="49">
        <f>IFERROR(D52/C52,0)</f>
        <v>1.1261818181818182</v>
      </c>
      <c r="F52" s="12">
        <f>VLOOKUP($E$52,FATORES!$O$4:$Q$6,3)</f>
        <v>0.05</v>
      </c>
      <c r="G52" s="12">
        <f>IFERROR(VLOOKUP($E$52,FATORES!$O$7:$Q$8,3),0)</f>
        <v>0.2</v>
      </c>
      <c r="H52" s="64">
        <f t="shared" si="15"/>
        <v>15.484999999999999</v>
      </c>
      <c r="I52" s="64">
        <f t="shared" si="13"/>
        <v>61.94</v>
      </c>
      <c r="J52" s="64">
        <f t="shared" si="16"/>
        <v>77.424999999999997</v>
      </c>
      <c r="K52" s="54">
        <f>SUMIFS(REALIZADO[META_SEGUROS],REALIZADO[PDV],ANCHIETA!$M$7)</f>
        <v>825</v>
      </c>
      <c r="L52" s="55">
        <v>1034.3</v>
      </c>
      <c r="M52" s="49">
        <f t="shared" si="17"/>
        <v>1.2536969696969695</v>
      </c>
      <c r="N52" s="12">
        <f>IF($M$52&gt;=FATORES!$O$9,FATORES!$Q$9,0)</f>
        <v>0.1</v>
      </c>
      <c r="O52" s="88">
        <f t="shared" si="14"/>
        <v>30.97</v>
      </c>
      <c r="P52" s="13">
        <f t="shared" si="18"/>
        <v>108.395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f>_xlfn.XLOOKUP($J$7,REALIZADO[CONSULTOR],REALIZADO[META_SVA])</f>
        <v>283.33330000000001</v>
      </c>
      <c r="D53" s="57">
        <v>354.78</v>
      </c>
      <c r="E53" s="50">
        <f>IFERROR(D53/C53,0)</f>
        <v>1.2521648531958649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5"/>
        <v>3.5477999999999996</v>
      </c>
      <c r="I53" s="64">
        <f t="shared" si="13"/>
        <v>3.5477999999999996</v>
      </c>
      <c r="J53" s="16">
        <f t="shared" si="16"/>
        <v>7.0955999999999992</v>
      </c>
      <c r="K53" s="56">
        <f>SUMIFS(REALIZADO[META_SVA],REALIZADO[PDV],ANCHIETA!$M$7)</f>
        <v>849.99990000000003</v>
      </c>
      <c r="L53" s="57">
        <v>1280.3399999999999</v>
      </c>
      <c r="M53" s="50">
        <f t="shared" si="17"/>
        <v>1.5062825301508858</v>
      </c>
      <c r="N53" s="15">
        <f>IF($M$53&gt;=FATORES!$O$17,FATORES!$Q$17,0)</f>
        <v>0.01</v>
      </c>
      <c r="O53" s="88">
        <f t="shared" si="14"/>
        <v>3.5477999999999996</v>
      </c>
      <c r="P53" s="17">
        <f t="shared" si="18"/>
        <v>10.6434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3404.2028999999998</v>
      </c>
      <c r="Q54" s="69">
        <f t="shared" ref="Q54:R54" si="19">SUM(Q45:Q53)</f>
        <v>0</v>
      </c>
      <c r="R54" s="69">
        <f t="shared" si="19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RAfXkuJf7hHlPkVeEJKCUC2uZYIVU3ou/FXeuJvTN6JKyc0tx0TiKmVPDTGb+j4F/xhkBeDpKkEZLMMJgcx4mA==" saltValue="TS1oAz899C8GKITmnq/x4g==" spinCount="100000" sheet="1" objects="1" scenarios="1"/>
  <protectedRanges>
    <protectedRange sqref="J7:K7" name="Intervalo2"/>
    <protectedRange sqref="B8:H10 J7 C45:D53 K45:L53" name="Intervalo1"/>
  </protectedRanges>
  <mergeCells count="96">
    <mergeCell ref="C50:C51"/>
    <mergeCell ref="E50:E51"/>
    <mergeCell ref="K50:K51"/>
    <mergeCell ref="M50:M51"/>
    <mergeCell ref="R43:R44"/>
    <mergeCell ref="D44:E44"/>
    <mergeCell ref="L44:M44"/>
    <mergeCell ref="J43:J44"/>
    <mergeCell ref="K43:M43"/>
    <mergeCell ref="N43:N44"/>
    <mergeCell ref="O43:O44"/>
    <mergeCell ref="P43:P44"/>
    <mergeCell ref="Q43:Q44"/>
    <mergeCell ref="C43:E43"/>
    <mergeCell ref="F43:F44"/>
    <mergeCell ref="G43:G44"/>
    <mergeCell ref="B6:H6"/>
    <mergeCell ref="B2:T4"/>
    <mergeCell ref="C48:C49"/>
    <mergeCell ref="E48:E49"/>
    <mergeCell ref="K48:K49"/>
    <mergeCell ref="M48:M49"/>
    <mergeCell ref="S43:S44"/>
    <mergeCell ref="T43:T44"/>
    <mergeCell ref="S45:S53"/>
    <mergeCell ref="T45:T53"/>
    <mergeCell ref="B43:B44"/>
    <mergeCell ref="H43:H44"/>
    <mergeCell ref="I43:I44"/>
    <mergeCell ref="B42:J42"/>
    <mergeCell ref="K42:O42"/>
    <mergeCell ref="B12:J12"/>
    <mergeCell ref="B13:B14"/>
    <mergeCell ref="C13:E13"/>
    <mergeCell ref="F13:F14"/>
    <mergeCell ref="G13:G14"/>
    <mergeCell ref="H13:H14"/>
    <mergeCell ref="D14:E14"/>
    <mergeCell ref="I13:I14"/>
    <mergeCell ref="J13:J14"/>
    <mergeCell ref="K13:M13"/>
    <mergeCell ref="N13:N14"/>
    <mergeCell ref="O13:O14"/>
    <mergeCell ref="L14:M14"/>
    <mergeCell ref="K12:T12"/>
    <mergeCell ref="P13:P14"/>
    <mergeCell ref="Q13:Q14"/>
    <mergeCell ref="R13:R14"/>
    <mergeCell ref="S13:S14"/>
    <mergeCell ref="T13:T14"/>
    <mergeCell ref="D29:E29"/>
    <mergeCell ref="L29:M29"/>
    <mergeCell ref="K27:T27"/>
    <mergeCell ref="S15:S23"/>
    <mergeCell ref="T15:T23"/>
    <mergeCell ref="E18:E19"/>
    <mergeCell ref="M18:M19"/>
    <mergeCell ref="E20:E21"/>
    <mergeCell ref="M20:M21"/>
    <mergeCell ref="I28:I29"/>
    <mergeCell ref="J28:J29"/>
    <mergeCell ref="K28:M28"/>
    <mergeCell ref="N28:N29"/>
    <mergeCell ref="O28:O29"/>
    <mergeCell ref="B41:T41"/>
    <mergeCell ref="B11:T11"/>
    <mergeCell ref="M6:N6"/>
    <mergeCell ref="M7:N7"/>
    <mergeCell ref="J6:K6"/>
    <mergeCell ref="J7:K7"/>
    <mergeCell ref="S30:S38"/>
    <mergeCell ref="T30:T38"/>
    <mergeCell ref="E33:E34"/>
    <mergeCell ref="M33:M34"/>
    <mergeCell ref="E35:E36"/>
    <mergeCell ref="M35:M36"/>
    <mergeCell ref="P28:P29"/>
    <mergeCell ref="Q28:Q29"/>
    <mergeCell ref="R28:R29"/>
    <mergeCell ref="S28:S29"/>
    <mergeCell ref="K35:K36"/>
    <mergeCell ref="C35:C36"/>
    <mergeCell ref="C18:C19"/>
    <mergeCell ref="C20:C21"/>
    <mergeCell ref="K18:K19"/>
    <mergeCell ref="K20:K21"/>
    <mergeCell ref="C33:C34"/>
    <mergeCell ref="K33:K34"/>
    <mergeCell ref="B26:T26"/>
    <mergeCell ref="T28:T29"/>
    <mergeCell ref="B27:J27"/>
    <mergeCell ref="B28:B29"/>
    <mergeCell ref="C28:E28"/>
    <mergeCell ref="F28:F29"/>
    <mergeCell ref="G28:G29"/>
    <mergeCell ref="H28:H29"/>
  </mergeCells>
  <conditionalFormatting sqref="E15:E18 E20 E22:E23">
    <cfRule type="cellIs" dxfId="775" priority="31" operator="between">
      <formula>0.7</formula>
      <formula>1</formula>
    </cfRule>
    <cfRule type="cellIs" dxfId="774" priority="32" operator="greaterThanOrEqual">
      <formula>1</formula>
    </cfRule>
    <cfRule type="cellIs" dxfId="773" priority="33" operator="lessThan">
      <formula>0.7</formula>
    </cfRule>
  </conditionalFormatting>
  <conditionalFormatting sqref="E30:E33 E35 E37:E38">
    <cfRule type="cellIs" dxfId="772" priority="19" operator="between">
      <formula>0.7</formula>
      <formula>1</formula>
    </cfRule>
    <cfRule type="cellIs" dxfId="771" priority="20" operator="greaterThanOrEqual">
      <formula>1</formula>
    </cfRule>
    <cfRule type="cellIs" dxfId="770" priority="21" operator="lessThan">
      <formula>0.7</formula>
    </cfRule>
  </conditionalFormatting>
  <conditionalFormatting sqref="E45:E48 E50 E52:E53">
    <cfRule type="cellIs" dxfId="769" priority="55" operator="between">
      <formula>0.7</formula>
      <formula>1</formula>
    </cfRule>
    <cfRule type="cellIs" dxfId="768" priority="56" operator="greaterThanOrEqual">
      <formula>1</formula>
    </cfRule>
    <cfRule type="cellIs" dxfId="767" priority="57" operator="lessThan">
      <formula>0.7</formula>
    </cfRule>
  </conditionalFormatting>
  <conditionalFormatting sqref="M15:M18">
    <cfRule type="cellIs" dxfId="766" priority="25" operator="between">
      <formula>0.7</formula>
      <formula>1</formula>
    </cfRule>
    <cfRule type="cellIs" dxfId="765" priority="26" operator="greaterThanOrEqual">
      <formula>1</formula>
    </cfRule>
    <cfRule type="cellIs" dxfId="764" priority="27" operator="lessThan">
      <formula>0.7</formula>
    </cfRule>
  </conditionalFormatting>
  <conditionalFormatting sqref="M20">
    <cfRule type="cellIs" dxfId="763" priority="22" operator="between">
      <formula>0.7</formula>
      <formula>1</formula>
    </cfRule>
    <cfRule type="cellIs" dxfId="762" priority="23" operator="greaterThanOrEqual">
      <formula>1</formula>
    </cfRule>
    <cfRule type="cellIs" dxfId="761" priority="24" operator="lessThan">
      <formula>0.7</formula>
    </cfRule>
  </conditionalFormatting>
  <conditionalFormatting sqref="M22:M23">
    <cfRule type="cellIs" dxfId="760" priority="28" operator="between">
      <formula>0.7</formula>
      <formula>1</formula>
    </cfRule>
    <cfRule type="cellIs" dxfId="759" priority="29" operator="greaterThanOrEqual">
      <formula>1</formula>
    </cfRule>
    <cfRule type="cellIs" dxfId="758" priority="30" operator="lessThan">
      <formula>0.7</formula>
    </cfRule>
  </conditionalFormatting>
  <conditionalFormatting sqref="M30:M33">
    <cfRule type="cellIs" dxfId="757" priority="13" operator="between">
      <formula>0.7</formula>
      <formula>1</formula>
    </cfRule>
    <cfRule type="cellIs" dxfId="756" priority="14" operator="greaterThanOrEqual">
      <formula>1</formula>
    </cfRule>
    <cfRule type="cellIs" dxfId="755" priority="15" operator="lessThan">
      <formula>0.7</formula>
    </cfRule>
  </conditionalFormatting>
  <conditionalFormatting sqref="M35">
    <cfRule type="cellIs" dxfId="754" priority="10" operator="between">
      <formula>0.7</formula>
      <formula>1</formula>
    </cfRule>
    <cfRule type="cellIs" dxfId="753" priority="11" operator="greaterThanOrEqual">
      <formula>1</formula>
    </cfRule>
    <cfRule type="cellIs" dxfId="752" priority="12" operator="lessThan">
      <formula>0.7</formula>
    </cfRule>
  </conditionalFormatting>
  <conditionalFormatting sqref="M37:M38">
    <cfRule type="cellIs" dxfId="751" priority="16" operator="between">
      <formula>0.7</formula>
      <formula>1</formula>
    </cfRule>
    <cfRule type="cellIs" dxfId="750" priority="17" operator="greaterThanOrEqual">
      <formula>1</formula>
    </cfRule>
    <cfRule type="cellIs" dxfId="749" priority="18" operator="lessThan">
      <formula>0.7</formula>
    </cfRule>
  </conditionalFormatting>
  <conditionalFormatting sqref="M45:M48">
    <cfRule type="cellIs" dxfId="748" priority="49" operator="between">
      <formula>0.7</formula>
      <formula>1</formula>
    </cfRule>
    <cfRule type="cellIs" dxfId="747" priority="50" operator="greaterThanOrEqual">
      <formula>1</formula>
    </cfRule>
    <cfRule type="cellIs" dxfId="746" priority="51" operator="lessThan">
      <formula>0.7</formula>
    </cfRule>
  </conditionalFormatting>
  <conditionalFormatting sqref="M50">
    <cfRule type="cellIs" dxfId="745" priority="46" operator="between">
      <formula>0.7</formula>
      <formula>1</formula>
    </cfRule>
    <cfRule type="cellIs" dxfId="744" priority="47" operator="greaterThanOrEqual">
      <formula>1</formula>
    </cfRule>
    <cfRule type="cellIs" dxfId="743" priority="48" operator="lessThan">
      <formula>0.7</formula>
    </cfRule>
  </conditionalFormatting>
  <conditionalFormatting sqref="M52:M53">
    <cfRule type="cellIs" dxfId="742" priority="52" operator="between">
      <formula>0.7</formula>
      <formula>1</formula>
    </cfRule>
    <cfRule type="cellIs" dxfId="741" priority="53" operator="greaterThanOrEqual">
      <formula>1</formula>
    </cfRule>
    <cfRule type="cellIs" dxfId="740" priority="54" operator="lessThan">
      <formula>0.7</formula>
    </cfRule>
  </conditionalFormatting>
  <dataValidations count="1">
    <dataValidation type="list" allowBlank="1" showInputMessage="1" showErrorMessage="1" sqref="B8:H8" xr:uid="{D24EFDD9-AA18-452D-BBD0-619B22EDE547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6DFB8A-13BA-469E-8B5F-31EEC71BC41A}">
          <x14:formula1>
            <xm:f>HC!$A$2:$A$5</xm:f>
          </x14:formula1>
          <xm:sqref>J7:K7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8F56-A6EC-45CA-B4B0-EBB373CBD5C3}">
  <dimension ref="B1:X54"/>
  <sheetViews>
    <sheetView workbookViewId="0">
      <selection activeCell="J7" sqref="J7:K7"/>
    </sheetView>
  </sheetViews>
  <sheetFormatPr defaultRowHeight="14.4" x14ac:dyDescent="0.3"/>
  <cols>
    <col min="1" max="1" width="2" customWidth="1"/>
    <col min="2" max="4" width="16.44140625" customWidth="1"/>
    <col min="5" max="5" width="13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44140625" customWidth="1"/>
    <col min="13" max="13" width="13.77734375" customWidth="1"/>
    <col min="14" max="14" width="20.5546875" customWidth="1"/>
    <col min="15" max="15" width="21" customWidth="1"/>
    <col min="16" max="16" width="15.21875" customWidth="1"/>
    <col min="17" max="20" width="14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89</v>
      </c>
      <c r="K7" s="179"/>
      <c r="M7" s="178" t="s">
        <v>38</v>
      </c>
      <c r="N7" s="179"/>
      <c r="P7" s="74" t="s">
        <v>37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2066.6667000000002</v>
      </c>
      <c r="D15" s="76">
        <f>_xlfn.XLOOKUP($J$7,PROJEÇÃO[CONSULTOR],PROJEÇÃO[PROJ_MOVEL])</f>
        <v>1696.0000000000007</v>
      </c>
      <c r="E15" s="48">
        <f>IFERROR(D15/C15,0)</f>
        <v>0.82064514805411071</v>
      </c>
      <c r="F15" s="8">
        <f>VLOOKUP($E$15,FATORES!$I$4:$K$6,3)</f>
        <v>0.05</v>
      </c>
      <c r="G15" s="8">
        <f>IFERROR(VLOOKUP($E$15,FATORES!$I$7:$K$8,3),0)</f>
        <v>0</v>
      </c>
      <c r="H15" s="9">
        <f>D15*F15</f>
        <v>84.80000000000004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84.80000000000004</v>
      </c>
      <c r="K15" s="75">
        <f>SUMIFS(REALIZADO[META_MOVEL],REALIZADO[PDV],'CENTRO VIX'!$M$7)</f>
        <v>6200.0001000000011</v>
      </c>
      <c r="L15" s="76">
        <f>SUMIFS(PROJEÇÃO[PROJ_MOVEL],PROJEÇÃO[PDV],'CENTRO VIX'!$M$7)</f>
        <v>3894.0100000000011</v>
      </c>
      <c r="M15" s="48">
        <f>IFERROR(L15/K15,0)</f>
        <v>0.62806611890215946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84.80000000000004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225.77140000000014</v>
      </c>
    </row>
    <row r="16" spans="2:24" x14ac:dyDescent="0.3">
      <c r="B16" s="45" t="s">
        <v>13</v>
      </c>
      <c r="C16" s="75">
        <f>_xlfn.XLOOKUP($J$7,REALIZADO[CONSULTOR],REALIZADO[META_FIXA])</f>
        <v>1266.6667</v>
      </c>
      <c r="D16" s="76">
        <f>_xlfn.XLOOKUP($J$7,PROJEÇÃO[CONSULTOR],PROJEÇÃO[PROJ_FIXA])</f>
        <v>1314.9000000000008</v>
      </c>
      <c r="E16" s="49">
        <f>IFERROR(D16/C16,0)</f>
        <v>1.0380789200505554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105.19200000000006</v>
      </c>
      <c r="I16" s="64">
        <f t="shared" si="0"/>
        <v>0</v>
      </c>
      <c r="J16" s="64">
        <f t="shared" ref="J16:J23" si="3">H16+I16</f>
        <v>105.19200000000006</v>
      </c>
      <c r="K16" s="75">
        <f>SUMIFS(REALIZADO[META_FIXA],REALIZADO[PDV],'CENTRO VIX'!$M$7)</f>
        <v>3800.0001000000002</v>
      </c>
      <c r="L16" s="76">
        <f>SUMIFS(PROJEÇÃO[PROJ_FIXA],PROJEÇÃO[PDV],'CENTRO VIX'!$M$7)</f>
        <v>3084.8900000000017</v>
      </c>
      <c r="M16" s="49">
        <f t="shared" ref="M16:M17" si="4">IFERROR(L16/K16,0)</f>
        <v>0.81181313653123366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105.19200000000006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23000</v>
      </c>
      <c r="D17" s="76">
        <f>_xlfn.XLOOKUP($J$7,PROJEÇÃO[CONSULTOR],PROJEÇÃO[PROJ_APARELHO])</f>
        <v>16353.000000000007</v>
      </c>
      <c r="E17" s="49">
        <f>IFERROR(D17/C17,0)</f>
        <v>0.7110000000000003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8.1765000000000043</v>
      </c>
      <c r="I17" s="64">
        <f t="shared" si="0"/>
        <v>0</v>
      </c>
      <c r="J17" s="64">
        <f t="shared" si="3"/>
        <v>8.1765000000000043</v>
      </c>
      <c r="K17" s="52">
        <f>SUMIFS(REALIZADO[META_SMARTPHONE],REALIZADO[PDV],'CENTRO VIX'!$M$7)</f>
        <v>69000</v>
      </c>
      <c r="L17" s="77">
        <f>SUMIFS(PROJEÇÃO[PROJ_APARELHO],PROJEÇÃO[PDV],'CENTRO VIX'!$M$7)</f>
        <v>56492.000000000022</v>
      </c>
      <c r="M17" s="49">
        <f t="shared" si="4"/>
        <v>0.81872463768115977</v>
      </c>
      <c r="N17" s="12">
        <f>IF($M$17&gt;=FATORES!$B$28,FATORES!$D$28,0)</f>
        <v>0</v>
      </c>
      <c r="O17" s="88">
        <f t="shared" si="1"/>
        <v>0</v>
      </c>
      <c r="P17" s="13">
        <f t="shared" si="5"/>
        <v>8.1765000000000043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2966.6667000000002</v>
      </c>
      <c r="D18" s="77">
        <f>_xlfn.XLOOKUP($J$7,PROJEÇÃO[CONSULTOR],PROJEÇÃO[PROJ_ELETRO_A])</f>
        <v>209.00000000000009</v>
      </c>
      <c r="E18" s="140">
        <f>IFERROR((D18+D19)/C18,0)</f>
        <v>0.99876403372175282</v>
      </c>
      <c r="F18" s="12">
        <f>VLOOKUP($E$18,FATORES!$B$16:$E$18,3)</f>
        <v>3.0000000000000001E-3</v>
      </c>
      <c r="G18" s="12">
        <f>IFERROR(VLOOKUP($E$18,FATORES!$B$19:$E$20,3),0)</f>
        <v>0</v>
      </c>
      <c r="H18" s="64">
        <f t="shared" si="2"/>
        <v>0.62700000000000022</v>
      </c>
      <c r="I18" s="64">
        <f t="shared" si="0"/>
        <v>0</v>
      </c>
      <c r="J18" s="64">
        <f t="shared" si="3"/>
        <v>0.62700000000000022</v>
      </c>
      <c r="K18" s="141">
        <f>SUMIFS(REALIZADO[META_ACESSORIO],REALIZADO[PDV],'CENTRO VIX'!$M$7)</f>
        <v>8900.0001000000011</v>
      </c>
      <c r="L18" s="86">
        <f>SUMIFS(PROJEÇÃO[PROJ_ELETRO_A],PROJEÇÃO[PDV],'CENTRO VIX'!$M$7)</f>
        <v>209.00000000000009</v>
      </c>
      <c r="M18" s="114">
        <f>IFERROR((L18+L19)/K18,0)</f>
        <v>0.61685392565332675</v>
      </c>
      <c r="N18" s="12">
        <f>IF($M$18&gt;=FATORES!$B$21,FATORES!$D$21,0)</f>
        <v>0</v>
      </c>
      <c r="O18" s="88">
        <f t="shared" si="1"/>
        <v>0</v>
      </c>
      <c r="P18" s="13">
        <f t="shared" si="5"/>
        <v>0.62700000000000022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2754.0000000000014</v>
      </c>
      <c r="E19" s="140"/>
      <c r="F19" s="12">
        <f>VLOOKUP($E$18,FATORES!$B$16:$E$18,4)</f>
        <v>1.5E-3</v>
      </c>
      <c r="G19" s="12">
        <f>IFERROR(VLOOKUP($E$18,FATORES!$B$19:$E$20,4),0)</f>
        <v>0</v>
      </c>
      <c r="H19" s="64">
        <f t="shared" si="2"/>
        <v>4.131000000000002</v>
      </c>
      <c r="I19" s="64">
        <f t="shared" si="0"/>
        <v>0</v>
      </c>
      <c r="J19" s="64">
        <f t="shared" si="3"/>
        <v>4.131000000000002</v>
      </c>
      <c r="K19" s="142"/>
      <c r="L19" s="87">
        <f>SUMIFS(PROJEÇÃO[PROJ_ELETRO_B],PROJEÇÃO[PDV],'CENTRO VIX'!$M$7)</f>
        <v>5281.0000000000018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5"/>
        <v>4.131000000000002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1666.6667</v>
      </c>
      <c r="D20" s="77">
        <f>_xlfn.XLOOKUP($J$7,PROJEÇÃO[CONSULTOR],PROJEÇÃO[PROJ_ESSEN_A])</f>
        <v>543.00000000000023</v>
      </c>
      <c r="E20" s="140">
        <f>IFERROR((D20+D21)/C20,0)</f>
        <v>0.98519998029600075</v>
      </c>
      <c r="F20" s="12">
        <f>VLOOKUP($E$20,FATORES!$B$6:$E$8,3)</f>
        <v>1.4999999999999999E-2</v>
      </c>
      <c r="G20" s="12">
        <f>IFERROR(VLOOKUP($E$20,FATORES!$B$9:$E$10,3),0)</f>
        <v>0</v>
      </c>
      <c r="H20" s="64">
        <f t="shared" si="2"/>
        <v>8.1450000000000031</v>
      </c>
      <c r="I20" s="64">
        <f t="shared" si="0"/>
        <v>0</v>
      </c>
      <c r="J20" s="64">
        <f t="shared" si="3"/>
        <v>8.1450000000000031</v>
      </c>
      <c r="K20" s="141">
        <f>SUMIFS(REALIZADO[META_ESSENCIAIS],REALIZADO[PDV],'CENTRO VIX'!$M$7)</f>
        <v>5000.0001000000002</v>
      </c>
      <c r="L20" s="86">
        <f>SUMIFS(PROJEÇÃO[PROJ_ESSEN_A],PROJEÇÃO[PDV],'CENTRO VIX'!$M$7)</f>
        <v>1821.0000000000007</v>
      </c>
      <c r="M20" s="114">
        <f>IFERROR((L20+L21)/K20,0)</f>
        <v>0.8199999836000007</v>
      </c>
      <c r="N20" s="12">
        <f>IF($M$20&gt;=FATORES!$B$11,FATORES!$D$11,0)</f>
        <v>0</v>
      </c>
      <c r="O20" s="88">
        <f t="shared" si="1"/>
        <v>0</v>
      </c>
      <c r="P20" s="13">
        <f t="shared" si="5"/>
        <v>8.1450000000000031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1099.0000000000005</v>
      </c>
      <c r="E21" s="140"/>
      <c r="F21" s="12">
        <f>VLOOKUP($E$20,FATORES!$B$6:$E$8,4)</f>
        <v>0.01</v>
      </c>
      <c r="G21" s="12">
        <f>IFERROR(VLOOKUP($E$20,FATORES!$B$9:$E$10,4),0)</f>
        <v>0</v>
      </c>
      <c r="H21" s="64">
        <f t="shared" si="2"/>
        <v>10.990000000000006</v>
      </c>
      <c r="I21" s="64">
        <f t="shared" si="0"/>
        <v>0</v>
      </c>
      <c r="J21" s="64">
        <f t="shared" si="3"/>
        <v>10.990000000000006</v>
      </c>
      <c r="K21" s="142"/>
      <c r="L21" s="87">
        <f>SUMIFS(PROJEÇÃO[PROJ_ESSEN_B],PROJEÇÃO[PDV],'CENTRO VIX'!$M$7)</f>
        <v>2279.0000000000009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10.990000000000006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230</v>
      </c>
      <c r="D22" s="81">
        <f>_xlfn.XLOOKUP($J$7,PROJEÇÃO[CONSULTOR],PROJEÇÃO[PROJ_SEGURO])</f>
        <v>121.70000000000006</v>
      </c>
      <c r="E22" s="83">
        <f>IFERROR(D22/C22,0)</f>
        <v>0.5291304347826089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1.2170000000000005</v>
      </c>
      <c r="I22" s="64">
        <f t="shared" si="0"/>
        <v>0</v>
      </c>
      <c r="J22" s="64">
        <f t="shared" si="3"/>
        <v>1.2170000000000005</v>
      </c>
      <c r="K22" s="56">
        <f>SUMIFS(REALIZADO[META_SEGUROS],REALIZADO[PDV],'CENTRO VIX'!$M$7)</f>
        <v>690</v>
      </c>
      <c r="L22" s="78">
        <f>SUMIFS(PROJEÇÃO[PROJ_SEGURO],PROJEÇÃO[PDV],'CENTRO VIX'!$M$7)</f>
        <v>465.90000000000026</v>
      </c>
      <c r="M22" s="49">
        <f t="shared" ref="M22:M23" si="6">IFERROR(L22/K22,0)</f>
        <v>0.67521739130434821</v>
      </c>
      <c r="N22" s="12">
        <f>IF($M$22&gt;=FATORES!$O$9,FATORES!$Q$9,0)</f>
        <v>0</v>
      </c>
      <c r="O22" s="88">
        <f t="shared" si="1"/>
        <v>0</v>
      </c>
      <c r="P22" s="13">
        <f t="shared" si="5"/>
        <v>1.2170000000000005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200</v>
      </c>
      <c r="D23" s="57">
        <f>_xlfn.XLOOKUP($J$7,PROJEÇÃO[CONSULTOR],PROJEÇÃO[PROJ_SVA])</f>
        <v>249.29000000000013</v>
      </c>
      <c r="E23" s="82">
        <f>IFERROR(D23/C23,0)</f>
        <v>1.2464500000000007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2.4929000000000014</v>
      </c>
      <c r="I23" s="64">
        <f t="shared" si="0"/>
        <v>0</v>
      </c>
      <c r="J23" s="16">
        <f t="shared" si="3"/>
        <v>2.4929000000000014</v>
      </c>
      <c r="K23" s="75">
        <f>SUMIFS(REALIZADO[META_SVA],REALIZADO[PDV],'CENTRO VIX'!$M$7)</f>
        <v>600</v>
      </c>
      <c r="L23" s="76">
        <f>SUMIFS(PROJEÇÃO[PROJ_SVA],PROJEÇÃO[PDV],'CENTRO VIX'!$M$7)</f>
        <v>454.59000000000026</v>
      </c>
      <c r="M23" s="50">
        <f t="shared" si="6"/>
        <v>0.75765000000000038</v>
      </c>
      <c r="N23" s="15">
        <f>IF($M$23&gt;=FATORES!$O$17,FATORES!$Q$17,0)</f>
        <v>0</v>
      </c>
      <c r="O23" s="88">
        <f t="shared" si="1"/>
        <v>0</v>
      </c>
      <c r="P23" s="17">
        <f t="shared" si="5"/>
        <v>2.4929000000000014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225.77140000000014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2066.6667000000002</v>
      </c>
      <c r="D30" s="76">
        <f>_xlfn.XLOOKUP($J$7,REALIZADO[CONSULTOR],REALIZADO[AT_MOVEL])</f>
        <v>309</v>
      </c>
      <c r="E30" s="48">
        <f>IFERROR(D30/C30,0)</f>
        <v>0.14951612662070762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3.09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3.09</v>
      </c>
      <c r="K30" s="75">
        <f>SUMIFS(REALIZADO[META_MOVEL],REALIZADO[PDV],'CENTRO VIX'!$M$7)</f>
        <v>6200.0001000000011</v>
      </c>
      <c r="L30" s="76">
        <f>SUMIFS(REALIZADO[AT_MOVEL],REALIZADO[PDV],'CENTRO VIX'!$M$7)</f>
        <v>527</v>
      </c>
      <c r="M30" s="48">
        <f>IFERROR(L30/K30,0)</f>
        <v>8.4999998629032264E-2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3.09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6.1619999999999999</v>
      </c>
    </row>
    <row r="31" spans="2:20" x14ac:dyDescent="0.3">
      <c r="B31" s="45" t="s">
        <v>13</v>
      </c>
      <c r="C31" s="75">
        <f>_xlfn.XLOOKUP($J$7,REALIZADO[CONSULTOR],REALIZADO[META_FIXA])</f>
        <v>1266.6667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SUMIFS(REALIZADO[META_FIXA],REALIZADO[PDV],'CENTRO VIX'!$M$7)</f>
        <v>3800.0001000000002</v>
      </c>
      <c r="L31" s="76">
        <f>SUMIFS(REALIZADO[AT_FIXA],REALIZADO[PDV],'CENTRO VIX'!$M$7)</f>
        <v>85</v>
      </c>
      <c r="M31" s="49">
        <f t="shared" ref="M31:M32" si="12">IFERROR(L31/K31,0)</f>
        <v>2.2368420463988934E-2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23000</v>
      </c>
      <c r="D32" s="76">
        <f>_xlfn.XLOOKUP($J$7,REALIZADO[CONSULTOR],REALIZADO[AT_SMARTPHONE])</f>
        <v>3528</v>
      </c>
      <c r="E32" s="49">
        <f>IFERROR(D32/C32,0)</f>
        <v>0.15339130434782608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1.764</v>
      </c>
      <c r="I32" s="64">
        <f t="shared" si="8"/>
        <v>0</v>
      </c>
      <c r="J32" s="64">
        <f t="shared" si="11"/>
        <v>1.764</v>
      </c>
      <c r="K32" s="52">
        <f>SUMIFS(REALIZADO[META_SMARTPHONE],REALIZADO[PDV],'CENTRO VIX'!$M$7)</f>
        <v>69000</v>
      </c>
      <c r="L32" s="77">
        <f>SUMIFS(REALIZADO[AT_SMARTPHONE],REALIZADO[PDV],'CENTRO VIX'!$M$7)</f>
        <v>5227</v>
      </c>
      <c r="M32" s="49">
        <f t="shared" si="12"/>
        <v>7.5753623188405797E-2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1.764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2966.6667000000002</v>
      </c>
      <c r="D33" s="77">
        <f>_xlfn.XLOOKUP($J$7,REALIZADO[CONSULTOR],REALIZADO[AT_ACESSORIOS_A])</f>
        <v>209</v>
      </c>
      <c r="E33" s="140">
        <f>IFERROR((D33+D34)/C33,0)</f>
        <v>0.34617977139123851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0.20899999999999999</v>
      </c>
      <c r="I33" s="64">
        <f t="shared" si="8"/>
        <v>0</v>
      </c>
      <c r="J33" s="64">
        <f t="shared" si="11"/>
        <v>0.20899999999999999</v>
      </c>
      <c r="K33" s="141">
        <f>SUMIFS(REALIZADO[META_ACESSORIO],REALIZADO[PDV],'CENTRO VIX'!$M$7)</f>
        <v>8900.0001000000011</v>
      </c>
      <c r="L33" s="86">
        <f>SUMIFS(REALIZADO[AT_ACESSORIOS_A],REALIZADO[PDV],'CENTRO VIX'!$M$7)</f>
        <v>209</v>
      </c>
      <c r="M33" s="114">
        <f>IFERROR((L33+L34)/K33,0)</f>
        <v>0.11539325713041283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0.20899999999999999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818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0.40900000000000003</v>
      </c>
      <c r="I34" s="64">
        <f t="shared" si="8"/>
        <v>0</v>
      </c>
      <c r="J34" s="64">
        <f t="shared" si="11"/>
        <v>0.40900000000000003</v>
      </c>
      <c r="K34" s="142"/>
      <c r="L34" s="87">
        <f>SUMIFS(REALIZADO[AT_ACESSORIOS_B],REALIZADO[PDV],'CENTRO VIX'!$M$7)</f>
        <v>818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0.40900000000000003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1666.6667</v>
      </c>
      <c r="D35" s="77">
        <f>_xlfn.XLOOKUP($J$7,REALIZADO[CONSULTOR],REALIZADO[AT_ESSENCIAIS_A])</f>
        <v>138</v>
      </c>
      <c r="E35" s="140">
        <f>IFERROR((D35+D36)/C35,0)</f>
        <v>8.2799998344000036E-2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0.69000000000000006</v>
      </c>
      <c r="I35" s="64">
        <f t="shared" si="8"/>
        <v>0</v>
      </c>
      <c r="J35" s="64">
        <f t="shared" si="11"/>
        <v>0.69000000000000006</v>
      </c>
      <c r="K35" s="141">
        <f>SUMIFS(REALIZADO[META_ESSENCIAIS],REALIZADO[PDV],'CENTRO VIX'!$M$7)</f>
        <v>5000.0001000000002</v>
      </c>
      <c r="L35" s="86">
        <f>SUMIFS(REALIZADO[AT_ESSENCIAIS_A],REALIZADO[PDV],'CENTRO VIX'!$M$7)</f>
        <v>257</v>
      </c>
      <c r="M35" s="114">
        <f>IFERROR((L35+L36)/K35,0)</f>
        <v>6.7199998656000029E-2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0.69000000000000006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SUMIFS(REALIZADO[AT_ESSENCIAIS_B],REALIZADO[PDV],'CENTRO VIX'!$M$7)</f>
        <v>79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230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SUMIFS(REALIZADO[META_SEGUROS],REALIZADO[PDV],'CENTRO VIX'!$M$7)</f>
        <v>690</v>
      </c>
      <c r="L37" s="78">
        <f>SUMIFS(REALIZADO[AT_SEGUROS],REALIZADO[PDV],'CENTRO VIX'!$M$7)</f>
        <v>0</v>
      </c>
      <c r="M37" s="49">
        <f t="shared" ref="M37:M38" si="14">IFERROR(L37/K37,0)</f>
        <v>0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200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SUMIFS(REALIZADO[META_SVA],REALIZADO[PDV],'CENTRO VIX'!$M$7)</f>
        <v>600</v>
      </c>
      <c r="L38" s="76">
        <f>SUMIFS(REALIZADO[AT_SVA],REALIZADO[PDV],'CENTRO VIX'!$M$7)</f>
        <v>0</v>
      </c>
      <c r="M38" s="50">
        <f t="shared" si="14"/>
        <v>0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6.1619999999999999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f>_xlfn.XLOOKUP($J$7,REALIZADO[CONSULTOR],REALIZADO[META_MOVEL])</f>
        <v>2066.6667000000002</v>
      </c>
      <c r="D45" s="53">
        <v>2756</v>
      </c>
      <c r="E45" s="48">
        <f>IFERROR(D45/C45,0)</f>
        <v>1.3335483655879294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220.48000000000002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413.4</v>
      </c>
      <c r="J45" s="9">
        <f>H45+I45</f>
        <v>633.88</v>
      </c>
      <c r="K45" s="52">
        <v>0</v>
      </c>
      <c r="L45" s="53">
        <v>0</v>
      </c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633.88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1360.7391</v>
      </c>
    </row>
    <row r="46" spans="2:20" x14ac:dyDescent="0.3">
      <c r="B46" s="45" t="s">
        <v>13</v>
      </c>
      <c r="C46" s="54">
        <f>_xlfn.XLOOKUP($J$7,REALIZADO[CONSULTOR],REALIZADO[META_FIXA])</f>
        <v>1266.6667</v>
      </c>
      <c r="D46" s="55">
        <v>1734</v>
      </c>
      <c r="E46" s="49">
        <f>IFERROR(D46/C46,0)</f>
        <v>1.3689473323961228</v>
      </c>
      <c r="F46" s="12">
        <f>VLOOKUP($E$46,FATORES!$I$12:$K$14,3)</f>
        <v>0.08</v>
      </c>
      <c r="G46" s="12">
        <f>IFERROR(VLOOKUP($E$46,FATORES!$I$15:$K$16,3),0)</f>
        <v>0.15</v>
      </c>
      <c r="H46" s="64">
        <f t="shared" ref="H46:H53" si="18">D46*F46</f>
        <v>138.72</v>
      </c>
      <c r="I46" s="64">
        <f t="shared" si="16"/>
        <v>260.09999999999997</v>
      </c>
      <c r="J46" s="64">
        <f t="shared" ref="J46:J53" si="19">H46+I46</f>
        <v>398.81999999999994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398.81999999999994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23000</v>
      </c>
      <c r="D47" s="55">
        <v>30667</v>
      </c>
      <c r="E47" s="49">
        <f>IFERROR(D47/C47,0)</f>
        <v>1.3333478260869565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46.000500000000002</v>
      </c>
      <c r="I47" s="64">
        <f t="shared" si="16"/>
        <v>61.334000000000003</v>
      </c>
      <c r="J47" s="64">
        <f t="shared" si="19"/>
        <v>107.33450000000001</v>
      </c>
      <c r="K47" s="54">
        <v>0</v>
      </c>
      <c r="L47" s="55">
        <v>0</v>
      </c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107.33450000000001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2966.6667000000002</v>
      </c>
      <c r="D48" s="55">
        <f>_xlfn.XLOOKUP($J$7,REALIZADO[CONSULTOR],REALIZADO[AT_ACESSORIOS_A])</f>
        <v>209</v>
      </c>
      <c r="E48" s="114">
        <f>IFERROR((D48+D49)/C48,0)</f>
        <v>1.4039325684951396</v>
      </c>
      <c r="F48" s="12">
        <f>VLOOKUP($E$48,FATORES!$B$16:$E$18,3)</f>
        <v>3.0000000000000001E-3</v>
      </c>
      <c r="G48" s="12">
        <f>IFERROR(VLOOKUP($E$48,FATORES!$B$19:$E$20,3),0)</f>
        <v>1.2E-2</v>
      </c>
      <c r="H48" s="64">
        <f t="shared" si="18"/>
        <v>0.627</v>
      </c>
      <c r="I48" s="64">
        <f t="shared" si="16"/>
        <v>2.508</v>
      </c>
      <c r="J48" s="64">
        <f t="shared" si="19"/>
        <v>3.1349999999999998</v>
      </c>
      <c r="K48" s="113">
        <v>0</v>
      </c>
      <c r="L48" s="55">
        <v>0</v>
      </c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3.1349999999999998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3956</v>
      </c>
      <c r="E49" s="114"/>
      <c r="F49" s="12">
        <f>VLOOKUP($E$48,FATORES!$B$16:$E$18,4)</f>
        <v>1.5E-3</v>
      </c>
      <c r="G49" s="12">
        <f>IFERROR(VLOOKUP($E$48,FATORES!$B$19:$E$20,4),0)</f>
        <v>6.0000000000000001E-3</v>
      </c>
      <c r="H49" s="64">
        <f t="shared" si="18"/>
        <v>5.9340000000000002</v>
      </c>
      <c r="I49" s="64">
        <f t="shared" si="16"/>
        <v>23.736000000000001</v>
      </c>
      <c r="J49" s="64">
        <f t="shared" si="19"/>
        <v>29.67</v>
      </c>
      <c r="K49" s="113"/>
      <c r="L49" s="55">
        <v>0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29.67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f>_xlfn.XLOOKUP($J$7,REALIZADO[CONSULTOR],REALIZADO[META_ESSENCIAIS])</f>
        <v>1666.6667</v>
      </c>
      <c r="D50" s="55">
        <v>1923</v>
      </c>
      <c r="E50" s="114">
        <f>IFERROR((D50+D51)/C50,0)</f>
        <v>1.1537999769240004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28.844999999999999</v>
      </c>
      <c r="I50" s="64">
        <f t="shared" si="16"/>
        <v>76.92</v>
      </c>
      <c r="J50" s="64">
        <f t="shared" si="19"/>
        <v>105.765</v>
      </c>
      <c r="K50" s="113">
        <v>0</v>
      </c>
      <c r="L50" s="55">
        <v>0</v>
      </c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105.765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f>_xlfn.XLOOKUP($J$7,REALIZADO[CONSULTOR],REALIZADO[AT_ESSENCIAIS_B])</f>
        <v>0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v>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f>_xlfn.XLOOKUP($J$7,REALIZADO[CONSULTOR],REALIZADO[META_SEGUROS])</f>
        <v>230</v>
      </c>
      <c r="D52" s="55">
        <v>307</v>
      </c>
      <c r="E52" s="49">
        <f>IFERROR(D52/C52,0)</f>
        <v>1.3347826086956522</v>
      </c>
      <c r="F52" s="12">
        <f>VLOOKUP($E$52,FATORES!$O$4:$Q$6,3)</f>
        <v>0.05</v>
      </c>
      <c r="G52" s="12">
        <f>IFERROR(VLOOKUP($E$52,FATORES!$O$7:$Q$8,3),0)</f>
        <v>0.2</v>
      </c>
      <c r="H52" s="64">
        <f t="shared" si="18"/>
        <v>15.350000000000001</v>
      </c>
      <c r="I52" s="64">
        <f t="shared" si="16"/>
        <v>61.400000000000006</v>
      </c>
      <c r="J52" s="64">
        <f t="shared" si="19"/>
        <v>76.75</v>
      </c>
      <c r="K52" s="54">
        <v>0</v>
      </c>
      <c r="L52" s="55">
        <v>0</v>
      </c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76.75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f>_xlfn.XLOOKUP($J$7,REALIZADO[CONSULTOR],REALIZADO[META_SVA])</f>
        <v>200</v>
      </c>
      <c r="D53" s="57">
        <v>269.23</v>
      </c>
      <c r="E53" s="50">
        <f>IFERROR(D53/C53,0)</f>
        <v>1.3461500000000002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2.6923000000000004</v>
      </c>
      <c r="I53" s="64">
        <f t="shared" si="16"/>
        <v>2.6923000000000004</v>
      </c>
      <c r="J53" s="16">
        <f t="shared" si="19"/>
        <v>5.3846000000000007</v>
      </c>
      <c r="K53" s="56">
        <v>0</v>
      </c>
      <c r="L53" s="57"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5.3846000000000007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1360.7391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F/g/7a54Xf52rPMnIlhufME618Ywk6RTvD/cM7Ie2IkJoC7vPlAbnoQXKoT56bcTCYMPQtn3HPmFE4NKVj2v/g==" saltValue="W/7gzmsm70RGAU/cX1vB0g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739" priority="22" operator="between">
      <formula>0.7</formula>
      <formula>1</formula>
    </cfRule>
    <cfRule type="cellIs" dxfId="738" priority="23" operator="greaterThanOrEqual">
      <formula>1</formula>
    </cfRule>
    <cfRule type="cellIs" dxfId="737" priority="24" operator="lessThan">
      <formula>0.7</formula>
    </cfRule>
  </conditionalFormatting>
  <conditionalFormatting sqref="E30:E33 E35 E37:E38">
    <cfRule type="cellIs" dxfId="736" priority="10" operator="between">
      <formula>0.7</formula>
      <formula>1</formula>
    </cfRule>
    <cfRule type="cellIs" dxfId="735" priority="11" operator="greaterThanOrEqual">
      <formula>1</formula>
    </cfRule>
    <cfRule type="cellIs" dxfId="734" priority="12" operator="lessThan">
      <formula>0.7</formula>
    </cfRule>
  </conditionalFormatting>
  <conditionalFormatting sqref="E45:E48 E50 E52:E53">
    <cfRule type="cellIs" dxfId="733" priority="34" operator="between">
      <formula>0.7</formula>
      <formula>1</formula>
    </cfRule>
    <cfRule type="cellIs" dxfId="732" priority="35" operator="greaterThanOrEqual">
      <formula>1</formula>
    </cfRule>
    <cfRule type="cellIs" dxfId="731" priority="36" operator="lessThan">
      <formula>0.7</formula>
    </cfRule>
  </conditionalFormatting>
  <conditionalFormatting sqref="M15:M18">
    <cfRule type="cellIs" dxfId="730" priority="16" operator="between">
      <formula>0.7</formula>
      <formula>1</formula>
    </cfRule>
    <cfRule type="cellIs" dxfId="729" priority="17" operator="greaterThanOrEqual">
      <formula>1</formula>
    </cfRule>
    <cfRule type="cellIs" dxfId="728" priority="18" operator="lessThan">
      <formula>0.7</formula>
    </cfRule>
  </conditionalFormatting>
  <conditionalFormatting sqref="M20">
    <cfRule type="cellIs" dxfId="727" priority="13" operator="between">
      <formula>0.7</formula>
      <formula>1</formula>
    </cfRule>
    <cfRule type="cellIs" dxfId="726" priority="14" operator="greaterThanOrEqual">
      <formula>1</formula>
    </cfRule>
    <cfRule type="cellIs" dxfId="725" priority="15" operator="lessThan">
      <formula>0.7</formula>
    </cfRule>
  </conditionalFormatting>
  <conditionalFormatting sqref="M22:M23">
    <cfRule type="cellIs" dxfId="724" priority="19" operator="between">
      <formula>0.7</formula>
      <formula>1</formula>
    </cfRule>
    <cfRule type="cellIs" dxfId="723" priority="20" operator="greaterThanOrEqual">
      <formula>1</formula>
    </cfRule>
    <cfRule type="cellIs" dxfId="722" priority="21" operator="lessThan">
      <formula>0.7</formula>
    </cfRule>
  </conditionalFormatting>
  <conditionalFormatting sqref="M30:M33">
    <cfRule type="cellIs" dxfId="721" priority="4" operator="between">
      <formula>0.7</formula>
      <formula>1</formula>
    </cfRule>
    <cfRule type="cellIs" dxfId="720" priority="5" operator="greaterThanOrEqual">
      <formula>1</formula>
    </cfRule>
    <cfRule type="cellIs" dxfId="719" priority="6" operator="lessThan">
      <formula>0.7</formula>
    </cfRule>
  </conditionalFormatting>
  <conditionalFormatting sqref="M35">
    <cfRule type="cellIs" dxfId="718" priority="1" operator="between">
      <formula>0.7</formula>
      <formula>1</formula>
    </cfRule>
    <cfRule type="cellIs" dxfId="717" priority="2" operator="greaterThanOrEqual">
      <formula>1</formula>
    </cfRule>
    <cfRule type="cellIs" dxfId="716" priority="3" operator="lessThan">
      <formula>0.7</formula>
    </cfRule>
  </conditionalFormatting>
  <conditionalFormatting sqref="M37:M38">
    <cfRule type="cellIs" dxfId="715" priority="7" operator="between">
      <formula>0.7</formula>
      <formula>1</formula>
    </cfRule>
    <cfRule type="cellIs" dxfId="714" priority="8" operator="greaterThanOrEqual">
      <formula>1</formula>
    </cfRule>
    <cfRule type="cellIs" dxfId="713" priority="9" operator="lessThan">
      <formula>0.7</formula>
    </cfRule>
  </conditionalFormatting>
  <conditionalFormatting sqref="M45:M48">
    <cfRule type="cellIs" dxfId="712" priority="28" operator="between">
      <formula>0.7</formula>
      <formula>1</formula>
    </cfRule>
    <cfRule type="cellIs" dxfId="711" priority="29" operator="greaterThanOrEqual">
      <formula>1</formula>
    </cfRule>
    <cfRule type="cellIs" dxfId="710" priority="30" operator="lessThan">
      <formula>0.7</formula>
    </cfRule>
  </conditionalFormatting>
  <conditionalFormatting sqref="M50">
    <cfRule type="cellIs" dxfId="709" priority="25" operator="between">
      <formula>0.7</formula>
      <formula>1</formula>
    </cfRule>
    <cfRule type="cellIs" dxfId="708" priority="26" operator="greaterThanOrEqual">
      <formula>1</formula>
    </cfRule>
    <cfRule type="cellIs" dxfId="707" priority="27" operator="lessThan">
      <formula>0.7</formula>
    </cfRule>
  </conditionalFormatting>
  <conditionalFormatting sqref="M52:M53">
    <cfRule type="cellIs" dxfId="706" priority="31" operator="between">
      <formula>0.7</formula>
      <formula>1</formula>
    </cfRule>
    <cfRule type="cellIs" dxfId="705" priority="32" operator="greaterThanOrEqual">
      <formula>1</formula>
    </cfRule>
    <cfRule type="cellIs" dxfId="704" priority="33" operator="lessThan">
      <formula>0.7</formula>
    </cfRule>
  </conditionalFormatting>
  <dataValidations count="1">
    <dataValidation type="list" allowBlank="1" showInputMessage="1" showErrorMessage="1" sqref="B8:H8" xr:uid="{E8AEE3DA-6641-4576-BE5B-178727FBBAAA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88E517-84F7-48D4-90F7-275E3E605C7F}">
          <x14:formula1>
            <xm:f>HC!$G$2:$G$5</xm:f>
          </x14:formula1>
          <xm:sqref>J7:K7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25E0-2BD4-4187-8660-2A5B34769748}">
  <dimension ref="B1:X54"/>
  <sheetViews>
    <sheetView topLeftCell="C1"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4" width="15.21875" customWidth="1"/>
    <col min="5" max="5" width="13.44140625" bestFit="1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44140625" customWidth="1"/>
    <col min="13" max="13" width="9.77734375" customWidth="1"/>
    <col min="14" max="14" width="20.5546875" customWidth="1"/>
    <col min="15" max="15" width="21" customWidth="1"/>
    <col min="16" max="16" width="15.21875" customWidth="1"/>
    <col min="17" max="19" width="14.44140625" customWidth="1"/>
    <col min="20" max="20" width="17.777343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159</v>
      </c>
      <c r="K7" s="179"/>
      <c r="M7" s="178" t="s">
        <v>32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2562.5</v>
      </c>
      <c r="D15" s="76">
        <f>_xlfn.XLOOKUP($J$7,PROJEÇÃO[CONSULTOR],PROJEÇÃO[PROJ_MOVEL])</f>
        <v>1565.0000000000007</v>
      </c>
      <c r="E15" s="48">
        <f>IFERROR(D15/C15,0)</f>
        <v>0.61073170731707349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15.650000000000007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15.650000000000007</v>
      </c>
      <c r="K15" s="75">
        <f>SUMIFS(REALIZADO[META_MOVEL],REALIZADO[PDV],PIUMA!$M$7)</f>
        <v>10250</v>
      </c>
      <c r="L15" s="76">
        <f>SUMIFS(PROJEÇÃO[PROJ_MOVEL],PROJEÇÃO[PDV],PIUMA!$M$7)</f>
        <v>8615.2500000000036</v>
      </c>
      <c r="M15" s="48">
        <f>IFERROR(L15/K15,0)</f>
        <v>0.84051219512195152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15.650000000000007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25.356400000000015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SUMIFS(REALIZADO[META_FIXA],REALIZADO[PDV],PIUMA!$M$7)</f>
        <v>0</v>
      </c>
      <c r="L16" s="76">
        <f>SUMIFS(PROJEÇÃO[PROJ_FIXA],PROJEÇÃO[PDV],PIUMA!$M$7)</f>
        <v>0</v>
      </c>
      <c r="M16" s="49">
        <f t="shared" ref="M16:M17" si="4">IFERROR(L16/K16,0)</f>
        <v>0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41500</v>
      </c>
      <c r="D17" s="76">
        <f>_xlfn.XLOOKUP($J$7,PROJEÇÃO[CONSULTOR],PROJEÇÃO[PROJ_APARELHO])</f>
        <v>7784.0000000000036</v>
      </c>
      <c r="E17" s="49">
        <f>IFERROR(D17/C17,0)</f>
        <v>0.18756626506024104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3.8920000000000017</v>
      </c>
      <c r="I17" s="64">
        <f t="shared" si="0"/>
        <v>0</v>
      </c>
      <c r="J17" s="64">
        <f t="shared" si="3"/>
        <v>3.8920000000000017</v>
      </c>
      <c r="K17" s="52">
        <f>SUMIFS(REALIZADO[META_SMARTPHONE],REALIZADO[PDV],PIUMA!$M$7)</f>
        <v>166000</v>
      </c>
      <c r="L17" s="77">
        <f>SUMIFS(PROJEÇÃO[PROJ_APARELHO],PROJEÇÃO[PDV],PIUMA!$M$7)</f>
        <v>76526.000000000029</v>
      </c>
      <c r="M17" s="49">
        <f t="shared" si="4"/>
        <v>0.46100000000000019</v>
      </c>
      <c r="N17" s="12">
        <f>IF($M$17&gt;=FATORES!$B$28,FATORES!$D$28,0)</f>
        <v>0</v>
      </c>
      <c r="O17" s="88">
        <f t="shared" si="1"/>
        <v>0</v>
      </c>
      <c r="P17" s="13">
        <f t="shared" si="5"/>
        <v>3.8920000000000017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3487.5</v>
      </c>
      <c r="D18" s="77">
        <f>_xlfn.XLOOKUP($J$7,PROJEÇÃO[CONSULTOR],PROJEÇÃO[PROJ_ELETRO_A])</f>
        <v>0</v>
      </c>
      <c r="E18" s="140">
        <f>IFERROR((D18+D19)/C18,0)</f>
        <v>1.9784946236559148E-2</v>
      </c>
      <c r="F18" s="12">
        <f>VLOOKUP($E$18,FATORES!$B$16:$E$18,3)</f>
        <v>1E-3</v>
      </c>
      <c r="G18" s="12">
        <f>IFERROR(VLOOKUP($E$18,FATORES!$B$19:$E$20,3),0)</f>
        <v>0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SUMIFS(REALIZADO[META_ACESSORIO],REALIZADO[PDV],PIUMA!$M$7)</f>
        <v>13950</v>
      </c>
      <c r="L18" s="86">
        <f>SUMIFS(PROJEÇÃO[PROJ_ELETRO_A],PROJEÇÃO[PDV],PIUMA!$M$7)</f>
        <v>0</v>
      </c>
      <c r="M18" s="114">
        <f>IFERROR((L18+L19)/K18,0)</f>
        <v>0.80215053763440902</v>
      </c>
      <c r="N18" s="12">
        <f>IF($M$18&gt;=FATORES!$B$21,FATORES!$D$21,0)</f>
        <v>0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69.000000000000028</v>
      </c>
      <c r="E19" s="140"/>
      <c r="F19" s="12">
        <f>VLOOKUP($E$18,FATORES!$B$16:$E$18,4)</f>
        <v>5.0000000000000001E-4</v>
      </c>
      <c r="G19" s="12">
        <f>IFERROR(VLOOKUP($E$18,FATORES!$B$19:$E$20,4),0)</f>
        <v>0</v>
      </c>
      <c r="H19" s="64">
        <f t="shared" si="2"/>
        <v>3.4500000000000017E-2</v>
      </c>
      <c r="I19" s="64">
        <f t="shared" si="0"/>
        <v>0</v>
      </c>
      <c r="J19" s="64">
        <f t="shared" si="3"/>
        <v>3.4500000000000017E-2</v>
      </c>
      <c r="K19" s="142"/>
      <c r="L19" s="87">
        <f>SUMIFS(PROJEÇÃO[PROJ_ELETRO_B],PROJEÇÃO[PDV],PIUMA!$M$7)</f>
        <v>11190.000000000005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5"/>
        <v>3.4500000000000017E-2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2625</v>
      </c>
      <c r="D20" s="77">
        <f>_xlfn.XLOOKUP($J$7,PROJEÇÃO[CONSULTOR],PROJEÇÃO[PROJ_ESSEN_A])</f>
        <v>693.00000000000034</v>
      </c>
      <c r="E20" s="140">
        <f>IFERROR((D20+D21)/C20,0)</f>
        <v>0.44114285714285734</v>
      </c>
      <c r="F20" s="12">
        <f>VLOOKUP($E$20,FATORES!$B$6:$E$8,3)</f>
        <v>5.0000000000000001E-3</v>
      </c>
      <c r="G20" s="12">
        <f>IFERROR(VLOOKUP($E$20,FATORES!$B$9:$E$10,3),0)</f>
        <v>0</v>
      </c>
      <c r="H20" s="64">
        <f t="shared" si="2"/>
        <v>3.4650000000000016</v>
      </c>
      <c r="I20" s="64">
        <f t="shared" si="0"/>
        <v>0</v>
      </c>
      <c r="J20" s="64">
        <f t="shared" si="3"/>
        <v>3.4650000000000016</v>
      </c>
      <c r="K20" s="141">
        <f>SUMIFS(REALIZADO[META_ESSENCIAIS],REALIZADO[PDV],PIUMA!$M$7)</f>
        <v>10500</v>
      </c>
      <c r="L20" s="86">
        <f>SUMIFS(PROJEÇÃO[PROJ_ESSEN_A],PROJEÇÃO[PDV],PIUMA!$M$7)</f>
        <v>4822.0000000000018</v>
      </c>
      <c r="M20" s="114">
        <f>IFERROR((L20+L21)/K20,0)</f>
        <v>0.71314285714285741</v>
      </c>
      <c r="N20" s="12">
        <f>IF($M$20&gt;=FATORES!$B$11,FATORES!$D$11,0)</f>
        <v>0</v>
      </c>
      <c r="O20" s="88">
        <f t="shared" si="1"/>
        <v>0</v>
      </c>
      <c r="P20" s="13">
        <f t="shared" si="5"/>
        <v>3.4650000000000016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465.00000000000023</v>
      </c>
      <c r="E21" s="140"/>
      <c r="F21" s="12">
        <f>VLOOKUP($E$20,FATORES!$B$6:$E$8,4)</f>
        <v>2E-3</v>
      </c>
      <c r="G21" s="12">
        <f>IFERROR(VLOOKUP($E$20,FATORES!$B$9:$E$10,4),0)</f>
        <v>0</v>
      </c>
      <c r="H21" s="64">
        <f t="shared" si="2"/>
        <v>0.93000000000000049</v>
      </c>
      <c r="I21" s="64">
        <f t="shared" si="0"/>
        <v>0</v>
      </c>
      <c r="J21" s="64">
        <f t="shared" si="3"/>
        <v>0.93000000000000049</v>
      </c>
      <c r="K21" s="142"/>
      <c r="L21" s="87">
        <f>SUMIFS(PROJEÇÃO[PROJ_ESSEN_B],PROJEÇÃO[PDV],PIUMA!$M$7)</f>
        <v>2666.0000000000009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0.93000000000000049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237.5</v>
      </c>
      <c r="D22" s="81">
        <f>_xlfn.XLOOKUP($J$7,PROJEÇÃO[CONSULTOR],PROJEÇÃO[PROJ_SEGURO])</f>
        <v>47.700000000000017</v>
      </c>
      <c r="E22" s="83">
        <f>IFERROR(D22/C22,0)</f>
        <v>0.20084210526315796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0.4770000000000002</v>
      </c>
      <c r="I22" s="64">
        <f t="shared" si="0"/>
        <v>0</v>
      </c>
      <c r="J22" s="64">
        <f t="shared" si="3"/>
        <v>0.4770000000000002</v>
      </c>
      <c r="K22" s="56">
        <f>SUMIFS(REALIZADO[META_SEGUROS],REALIZADO[PDV],PIUMA!$M$7)</f>
        <v>950</v>
      </c>
      <c r="L22" s="78">
        <f>SUMIFS(PROJEÇÃO[PROJ_SEGURO],PROJEÇÃO[PDV],PIUMA!$M$7)</f>
        <v>718.00000000000045</v>
      </c>
      <c r="M22" s="49">
        <f t="shared" ref="M22:M23" si="6">IFERROR(L22/K22,0)</f>
        <v>0.75578947368421101</v>
      </c>
      <c r="N22" s="12">
        <f>IF($M$22&gt;=FATORES!$O$9,FATORES!$Q$9,0)</f>
        <v>0</v>
      </c>
      <c r="O22" s="88">
        <f t="shared" si="1"/>
        <v>0</v>
      </c>
      <c r="P22" s="13">
        <f t="shared" si="5"/>
        <v>0.4770000000000002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237.5</v>
      </c>
      <c r="D23" s="57">
        <f>_xlfn.XLOOKUP($J$7,PROJEÇÃO[CONSULTOR],PROJEÇÃO[PROJ_SVA])</f>
        <v>90.790000000000035</v>
      </c>
      <c r="E23" s="82">
        <f>IFERROR(D23/C23,0)</f>
        <v>0.38227368421052649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0.90790000000000037</v>
      </c>
      <c r="I23" s="64">
        <f t="shared" si="0"/>
        <v>0</v>
      </c>
      <c r="J23" s="16">
        <f t="shared" si="3"/>
        <v>0.90790000000000037</v>
      </c>
      <c r="K23" s="75">
        <f>SUMIFS(REALIZADO[META_SVA],REALIZADO[PDV],PIUMA!$M$7)</f>
        <v>950</v>
      </c>
      <c r="L23" s="76">
        <f>SUMIFS(PROJEÇÃO[PROJ_SVA],PROJEÇÃO[PDV],PIUMA!$M$7)</f>
        <v>713.22000000000048</v>
      </c>
      <c r="M23" s="50">
        <f t="shared" si="6"/>
        <v>0.75075789473684262</v>
      </c>
      <c r="N23" s="15">
        <f>IF($M$23&gt;=FATORES!$O$17,FATORES!$Q$17,0)</f>
        <v>0</v>
      </c>
      <c r="O23" s="88">
        <f t="shared" si="1"/>
        <v>0</v>
      </c>
      <c r="P23" s="17">
        <f t="shared" si="5"/>
        <v>0.90790000000000037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25.356400000000015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2562.5</v>
      </c>
      <c r="D30" s="76">
        <f>_xlfn.XLOOKUP($J$7,REALIZADO[CONSULTOR],REALIZADO[AT_MOVEL])</f>
        <v>194</v>
      </c>
      <c r="E30" s="48">
        <f>IFERROR(D30/C30,0)</f>
        <v>7.570731707317073E-2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1.94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1.94</v>
      </c>
      <c r="K30" s="75">
        <f>SUMIFS(REALIZADO[META_MOVEL],REALIZADO[PDV],PIUMA!$M$7)</f>
        <v>10250</v>
      </c>
      <c r="L30" s="76">
        <f>SUMIFS(REALIZADO[AT_MOVEL],REALIZADO[PDV],PIUMA!$M$7)</f>
        <v>862.01</v>
      </c>
      <c r="M30" s="48">
        <f>IFERROR(L30/K30,0)</f>
        <v>8.4098536585365855E-2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1.94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3.0489999999999999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SUMIFS(REALIZADO[META_FIXA],REALIZADO[PDV],PIUMA!$M$7)</f>
        <v>0</v>
      </c>
      <c r="L31" s="76">
        <f>SUMIFS(REALIZADO[AT_FIXA],REALIZADO[PDV],PIUMA!$M$7)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41500</v>
      </c>
      <c r="D32" s="76">
        <f>_xlfn.XLOOKUP($J$7,REALIZADO[CONSULTOR],REALIZADO[AT_SMARTPHONE])</f>
        <v>2149</v>
      </c>
      <c r="E32" s="49">
        <f>IFERROR(D32/C32,0)</f>
        <v>5.1783132530120485E-2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1.0745</v>
      </c>
      <c r="I32" s="64">
        <f t="shared" si="8"/>
        <v>0</v>
      </c>
      <c r="J32" s="64">
        <f t="shared" si="11"/>
        <v>1.0745</v>
      </c>
      <c r="K32" s="52">
        <f>SUMIFS(REALIZADO[META_SMARTPHONE],REALIZADO[PDV],PIUMA!$M$7)</f>
        <v>166000</v>
      </c>
      <c r="L32" s="77">
        <f>SUMIFS(REALIZADO[AT_SMARTPHONE],REALIZADO[PDV],PIUMA!$M$7)</f>
        <v>7674</v>
      </c>
      <c r="M32" s="49">
        <f t="shared" si="12"/>
        <v>4.6228915662650603E-2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1.0745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3487.5</v>
      </c>
      <c r="D33" s="77">
        <f>_xlfn.XLOOKUP($J$7,REALIZADO[CONSULTOR],REALIZADO[AT_ACESSORIOS_A])</f>
        <v>0</v>
      </c>
      <c r="E33" s="140">
        <f>IFERROR((D33+D34)/C33,0)</f>
        <v>1.9784946236559142E-2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SUMIFS(REALIZADO[META_ACESSORIO],REALIZADO[PDV],PIUMA!$M$7)</f>
        <v>13950</v>
      </c>
      <c r="L33" s="86">
        <f>SUMIFS(REALIZADO[AT_ACESSORIOS_A],REALIZADO[PDV],PIUMA!$M$7)</f>
        <v>0</v>
      </c>
      <c r="M33" s="114">
        <f>IFERROR((L33+L34)/K33,0)</f>
        <v>5.4265232974910392E-2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69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3.4500000000000003E-2</v>
      </c>
      <c r="I34" s="64">
        <f t="shared" si="8"/>
        <v>0</v>
      </c>
      <c r="J34" s="64">
        <f t="shared" si="11"/>
        <v>3.4500000000000003E-2</v>
      </c>
      <c r="K34" s="142"/>
      <c r="L34" s="87">
        <f>SUMIFS(REALIZADO[AT_ACESSORIOS_B],REALIZADO[PDV],PIUMA!$M$7)</f>
        <v>757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3.4500000000000003E-2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2625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SUMIFS(REALIZADO[META_ESSENCIAIS],REALIZADO[PDV],PIUMA!$M$7)</f>
        <v>10500</v>
      </c>
      <c r="L35" s="86">
        <f>SUMIFS(REALIZADO[AT_ESSENCIAIS_A],REALIZADO[PDV],PIUMA!$M$7)</f>
        <v>674</v>
      </c>
      <c r="M35" s="114">
        <f>IFERROR((L35+L36)/K35,0)</f>
        <v>9.9904761904761899E-2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SUMIFS(REALIZADO[AT_ESSENCIAIS_B],REALIZADO[PDV],PIUMA!$M$7)</f>
        <v>375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237.5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SUMIFS(REALIZADO[META_SEGUROS],REALIZADO[PDV],PIUMA!$M$7)</f>
        <v>950</v>
      </c>
      <c r="L37" s="78">
        <f>SUMIFS(REALIZADO[AT_SEGUROS],REALIZADO[PDV],PIUMA!$M$7)</f>
        <v>16.899999999999999</v>
      </c>
      <c r="M37" s="49">
        <f t="shared" ref="M37:M38" si="14">IFERROR(L37/K37,0)</f>
        <v>1.7789473684210525E-2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237.5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SUMIFS(REALIZADO[META_SVA],REALIZADO[PDV],PIUMA!$M$7)</f>
        <v>950</v>
      </c>
      <c r="L38" s="76">
        <f>SUMIFS(REALIZADO[AT_SVA],REALIZADO[PDV],PIUMA!$M$7)</f>
        <v>74.59</v>
      </c>
      <c r="M38" s="50">
        <f t="shared" si="14"/>
        <v>7.8515789473684219E-2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3.0489999999999999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f>_xlfn.XLOOKUP($J$7,REALIZADO[CONSULTOR],REALIZADO[META_MOVEL])</f>
        <v>2562.5</v>
      </c>
      <c r="D45" s="53">
        <f>_xlfn.XLOOKUP($J$7,REALIZADO[CONSULTOR],REALIZADO[AT_MOVEL])</f>
        <v>194</v>
      </c>
      <c r="E45" s="48">
        <f>IFERROR(D45/C45,0)</f>
        <v>7.570731707317073E-2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1.94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1.94</v>
      </c>
      <c r="K45" s="52">
        <f>SUMIFS(REALIZADO[META_MOVEL],REALIZADO[PDV],PIUMA!$M$7)</f>
        <v>10250</v>
      </c>
      <c r="L45" s="53">
        <f>SUMIFS(REALIZADO[AT_MOVEL],REALIZADO[PDV],PIUMA!$M$7)</f>
        <v>862.01</v>
      </c>
      <c r="M45" s="48">
        <f>IFERROR(L45/K45,0)</f>
        <v>8.4098536585365855E-2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1.94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3.0489999999999999</v>
      </c>
    </row>
    <row r="46" spans="2:20" x14ac:dyDescent="0.3">
      <c r="B46" s="45" t="s">
        <v>13</v>
      </c>
      <c r="C46" s="54">
        <f>_xlfn.XLOOKUP($J$7,REALIZADO[CONSULTOR],REALIZADO[META_FIXA])</f>
        <v>0</v>
      </c>
      <c r="D46" s="55">
        <f>_xlfn.XLOOKUP($J$7,REALIZADO[CONSULTOR],REALIZADO[AT_FIXA])</f>
        <v>0</v>
      </c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f>SUMIFS(REALIZADO[META_FIXA],REALIZADO[PDV],PIUMA!$M$7)</f>
        <v>0</v>
      </c>
      <c r="L46" s="55">
        <f>SUMIFS(REALIZADO[AT_FIXA],REALIZADO[PDV],PIUMA!$M$7)</f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41500</v>
      </c>
      <c r="D47" s="55">
        <f>_xlfn.XLOOKUP($J$7,REALIZADO[CONSULTOR],REALIZADO[AT_SMARTPHONE])</f>
        <v>2149</v>
      </c>
      <c r="E47" s="49">
        <f>IFERROR(D47/C47,0)</f>
        <v>5.1783132530120485E-2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1.0745</v>
      </c>
      <c r="I47" s="64">
        <f t="shared" si="16"/>
        <v>0</v>
      </c>
      <c r="J47" s="64">
        <f t="shared" si="19"/>
        <v>1.0745</v>
      </c>
      <c r="K47" s="54">
        <f>SUMIFS(REALIZADO[META_SMARTPHONE],REALIZADO[PDV],PIUMA!$M$7)</f>
        <v>166000</v>
      </c>
      <c r="L47" s="55">
        <f>SUMIFS(REALIZADO[AT_SMARTPHONE],REALIZADO[PDV],PIUMA!$M$7)</f>
        <v>7674</v>
      </c>
      <c r="M47" s="49">
        <f t="shared" si="20"/>
        <v>4.6228915662650603E-2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1.0745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3487.5</v>
      </c>
      <c r="D48" s="55">
        <f>_xlfn.XLOOKUP($J$7,REALIZADO[CONSULTOR],REALIZADO[AT_ACESSORIOS_A])</f>
        <v>0</v>
      </c>
      <c r="E48" s="114">
        <f>IFERROR((D48+D49)/C48,0)</f>
        <v>1.9784946236559142E-2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>
        <f>SUMIFS(REALIZADO[META_ACESSORIO],REALIZADO[PDV],PIUMA!$M$7)</f>
        <v>13950</v>
      </c>
      <c r="L48" s="55">
        <f>SUMIFS(REALIZADO[AT_ACESSORIOS_A],REALIZADO[PDV],PIUMA!$M$7)</f>
        <v>0</v>
      </c>
      <c r="M48" s="114">
        <f>IFERROR((L48+L49)/K48,0)</f>
        <v>5.4265232974910392E-2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f>_xlfn.XLOOKUP($J$7,REALIZADO[CONSULTOR],REALIZADO[AT_ACESSORIOS_B])</f>
        <v>69</v>
      </c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3.4500000000000003E-2</v>
      </c>
      <c r="I49" s="64">
        <f t="shared" si="16"/>
        <v>0</v>
      </c>
      <c r="J49" s="64">
        <f t="shared" si="19"/>
        <v>3.4500000000000003E-2</v>
      </c>
      <c r="K49" s="113"/>
      <c r="L49" s="55">
        <f>SUMIFS(REALIZADO[AT_ACESSORIOS_B],REALIZADO[PDV],PIUMA!$M$7)</f>
        <v>757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3.4500000000000003E-2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f>_xlfn.XLOOKUP($J$7,REALIZADO[CONSULTOR],REALIZADO[META_ESSENCIAIS])</f>
        <v>2625</v>
      </c>
      <c r="D50" s="55">
        <f>_xlfn.XLOOKUP($J$7,REALIZADO[CONSULTOR],REALIZADO[AT_ESSENCIAIS_A])</f>
        <v>0</v>
      </c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f>SUMIFS(REALIZADO[META_ESSENCIAIS],REALIZADO[PDV],PIUMA!$M$7)</f>
        <v>10500</v>
      </c>
      <c r="L50" s="55">
        <f>SUMIFS(REALIZADO[AT_ESSENCIAIS_A],REALIZADO[PDV],PIUMA!$M$7)</f>
        <v>674</v>
      </c>
      <c r="M50" s="114">
        <f>IFERROR((L50+L51)/K50,0)</f>
        <v>9.9904761904761899E-2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f>_xlfn.XLOOKUP($J$7,REALIZADO[CONSULTOR],REALIZADO[AT_ESSENCIAIS_B])</f>
        <v>0</v>
      </c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f>SUMIFS(REALIZADO[AT_ESSENCIAIS_B],REALIZADO[PDV],PIUMA!$M$7)</f>
        <v>375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f>_xlfn.XLOOKUP($J$7,REALIZADO[CONSULTOR],REALIZADO[META_SEGUROS])</f>
        <v>237.5</v>
      </c>
      <c r="D52" s="55">
        <f>_xlfn.XLOOKUP($J$7,REALIZADO[CONSULTOR],REALIZADO[AT_SEGUROS])</f>
        <v>0</v>
      </c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</v>
      </c>
      <c r="I52" s="64">
        <f t="shared" si="16"/>
        <v>0</v>
      </c>
      <c r="J52" s="64">
        <f t="shared" si="19"/>
        <v>0</v>
      </c>
      <c r="K52" s="54">
        <f>SUMIFS(REALIZADO[META_SEGUROS],REALIZADO[PDV],PIUMA!$M$7)</f>
        <v>950</v>
      </c>
      <c r="L52" s="55">
        <f>SUMIFS(REALIZADO[AT_SEGUROS],REALIZADO[PDV],PIUMA!$M$7)</f>
        <v>16.899999999999999</v>
      </c>
      <c r="M52" s="49">
        <f t="shared" si="20"/>
        <v>1.7789473684210525E-2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f>_xlfn.XLOOKUP($J$7,REALIZADO[CONSULTOR],REALIZADO[META_SVA])</f>
        <v>237.5</v>
      </c>
      <c r="D53" s="57">
        <f>_xlfn.XLOOKUP($J$7,REALIZADO[CONSULTOR],REALIZADO[AT_SVA])</f>
        <v>0</v>
      </c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>
        <f>SUMIFS(REALIZADO[META_SVA],REALIZADO[PDV],PIUMA!$M$7)</f>
        <v>950</v>
      </c>
      <c r="L53" s="57">
        <f>SUMIFS(REALIZADO[AT_SVA],REALIZADO[PDV],PIUMA!$M$7)</f>
        <v>74.59</v>
      </c>
      <c r="M53" s="50">
        <f t="shared" si="20"/>
        <v>7.8515789473684219E-2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3.0489999999999999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HvzWBj7sGdaMIArT9yDiPqC0Le1u9bjLmKIjLLNZT4xnZTE0h38aWaEuKS6Uj+IkTiINxTj800quYGEYBf6KIg==" saltValue="5WjZws220W47yR6E1zW77Q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703" priority="22" operator="between">
      <formula>0.7</formula>
      <formula>1</formula>
    </cfRule>
    <cfRule type="cellIs" dxfId="702" priority="23" operator="greaterThanOrEqual">
      <formula>1</formula>
    </cfRule>
    <cfRule type="cellIs" dxfId="701" priority="24" operator="lessThan">
      <formula>0.7</formula>
    </cfRule>
  </conditionalFormatting>
  <conditionalFormatting sqref="E30:E33 E35 E37:E38">
    <cfRule type="cellIs" dxfId="700" priority="10" operator="between">
      <formula>0.7</formula>
      <formula>1</formula>
    </cfRule>
    <cfRule type="cellIs" dxfId="699" priority="11" operator="greaterThanOrEqual">
      <formula>1</formula>
    </cfRule>
    <cfRule type="cellIs" dxfId="698" priority="12" operator="lessThan">
      <formula>0.7</formula>
    </cfRule>
  </conditionalFormatting>
  <conditionalFormatting sqref="E45:E48 E50 E52:E53">
    <cfRule type="cellIs" dxfId="697" priority="34" operator="between">
      <formula>0.7</formula>
      <formula>1</formula>
    </cfRule>
    <cfRule type="cellIs" dxfId="696" priority="35" operator="greaterThanOrEqual">
      <formula>1</formula>
    </cfRule>
    <cfRule type="cellIs" dxfId="695" priority="36" operator="lessThan">
      <formula>0.7</formula>
    </cfRule>
  </conditionalFormatting>
  <conditionalFormatting sqref="M15:M18">
    <cfRule type="cellIs" dxfId="694" priority="16" operator="between">
      <formula>0.7</formula>
      <formula>1</formula>
    </cfRule>
    <cfRule type="cellIs" dxfId="693" priority="17" operator="greaterThanOrEqual">
      <formula>1</formula>
    </cfRule>
    <cfRule type="cellIs" dxfId="692" priority="18" operator="lessThan">
      <formula>0.7</formula>
    </cfRule>
  </conditionalFormatting>
  <conditionalFormatting sqref="M20">
    <cfRule type="cellIs" dxfId="691" priority="13" operator="between">
      <formula>0.7</formula>
      <formula>1</formula>
    </cfRule>
    <cfRule type="cellIs" dxfId="690" priority="14" operator="greaterThanOrEqual">
      <formula>1</formula>
    </cfRule>
    <cfRule type="cellIs" dxfId="689" priority="15" operator="lessThan">
      <formula>0.7</formula>
    </cfRule>
  </conditionalFormatting>
  <conditionalFormatting sqref="M22:M23">
    <cfRule type="cellIs" dxfId="688" priority="19" operator="between">
      <formula>0.7</formula>
      <formula>1</formula>
    </cfRule>
    <cfRule type="cellIs" dxfId="687" priority="20" operator="greaterThanOrEqual">
      <formula>1</formula>
    </cfRule>
    <cfRule type="cellIs" dxfId="686" priority="21" operator="lessThan">
      <formula>0.7</formula>
    </cfRule>
  </conditionalFormatting>
  <conditionalFormatting sqref="M30:M33">
    <cfRule type="cellIs" dxfId="685" priority="4" operator="between">
      <formula>0.7</formula>
      <formula>1</formula>
    </cfRule>
    <cfRule type="cellIs" dxfId="684" priority="5" operator="greaterThanOrEqual">
      <formula>1</formula>
    </cfRule>
    <cfRule type="cellIs" dxfId="683" priority="6" operator="lessThan">
      <formula>0.7</formula>
    </cfRule>
  </conditionalFormatting>
  <conditionalFormatting sqref="M35">
    <cfRule type="cellIs" dxfId="682" priority="1" operator="between">
      <formula>0.7</formula>
      <formula>1</formula>
    </cfRule>
    <cfRule type="cellIs" dxfId="681" priority="2" operator="greaterThanOrEqual">
      <formula>1</formula>
    </cfRule>
    <cfRule type="cellIs" dxfId="680" priority="3" operator="lessThan">
      <formula>0.7</formula>
    </cfRule>
  </conditionalFormatting>
  <conditionalFormatting sqref="M37:M38">
    <cfRule type="cellIs" dxfId="679" priority="7" operator="between">
      <formula>0.7</formula>
      <formula>1</formula>
    </cfRule>
    <cfRule type="cellIs" dxfId="678" priority="8" operator="greaterThanOrEqual">
      <formula>1</formula>
    </cfRule>
    <cfRule type="cellIs" dxfId="677" priority="9" operator="lessThan">
      <formula>0.7</formula>
    </cfRule>
  </conditionalFormatting>
  <conditionalFormatting sqref="M45:M48">
    <cfRule type="cellIs" dxfId="676" priority="28" operator="between">
      <formula>0.7</formula>
      <formula>1</formula>
    </cfRule>
    <cfRule type="cellIs" dxfId="675" priority="29" operator="greaterThanOrEqual">
      <formula>1</formula>
    </cfRule>
    <cfRule type="cellIs" dxfId="674" priority="30" operator="lessThan">
      <formula>0.7</formula>
    </cfRule>
  </conditionalFormatting>
  <conditionalFormatting sqref="M50">
    <cfRule type="cellIs" dxfId="673" priority="25" operator="between">
      <formula>0.7</formula>
      <formula>1</formula>
    </cfRule>
    <cfRule type="cellIs" dxfId="672" priority="26" operator="greaterThanOrEqual">
      <formula>1</formula>
    </cfRule>
    <cfRule type="cellIs" dxfId="671" priority="27" operator="lessThan">
      <formula>0.7</formula>
    </cfRule>
  </conditionalFormatting>
  <conditionalFormatting sqref="M52:M53">
    <cfRule type="cellIs" dxfId="670" priority="31" operator="between">
      <formula>0.7</formula>
      <formula>1</formula>
    </cfRule>
    <cfRule type="cellIs" dxfId="669" priority="32" operator="greaterThanOrEqual">
      <formula>1</formula>
    </cfRule>
    <cfRule type="cellIs" dxfId="668" priority="33" operator="lessThan">
      <formula>0.7</formula>
    </cfRule>
  </conditionalFormatting>
  <dataValidations count="1">
    <dataValidation type="list" allowBlank="1" showInputMessage="1" showErrorMessage="1" sqref="B8:H8" xr:uid="{09D91DF3-E442-4DC6-81B2-CBD55E2C7FA9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06169A-52C5-4FFB-A91C-C88761FD766D}">
          <x14:formula1>
            <xm:f>HC!$AE$2:$AE$6</xm:f>
          </x14:formula1>
          <xm:sqref>J7:K7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1283-8FB3-40CE-9702-7CA3135B0DF0}">
  <dimension ref="B1:X54"/>
  <sheetViews>
    <sheetView topLeftCell="J1"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5" width="16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3" width="15.77734375" customWidth="1"/>
    <col min="14" max="14" width="20.5546875" customWidth="1"/>
    <col min="15" max="15" width="21" customWidth="1"/>
    <col min="16" max="16" width="15.21875" customWidth="1"/>
    <col min="17" max="17" width="13" bestFit="1" customWidth="1"/>
    <col min="18" max="18" width="10.77734375" bestFit="1" customWidth="1"/>
    <col min="19" max="19" width="12.77734375" bestFit="1" customWidth="1"/>
    <col min="20" max="20" width="14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102</v>
      </c>
      <c r="K7" s="179"/>
      <c r="M7" s="178" t="s">
        <v>30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2781.25</v>
      </c>
      <c r="D15" s="76">
        <f>_xlfn.XLOOKUP($J$7,PROJEÇÃO[CONSULTOR],PROJEÇÃO[PROJ_MOVEL])</f>
        <v>2480.0000000000009</v>
      </c>
      <c r="E15" s="48">
        <f>IFERROR(D15/C15,0)</f>
        <v>0.89168539325842733</v>
      </c>
      <c r="F15" s="8">
        <f>VLOOKUP($E$15,FATORES!$I$4:$K$6,3)</f>
        <v>0.05</v>
      </c>
      <c r="G15" s="8">
        <f>IFERROR(VLOOKUP($E$15,FATORES!$I$7:$K$8,3),0)</f>
        <v>0</v>
      </c>
      <c r="H15" s="9">
        <f>D15*F15</f>
        <v>124.00000000000006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124.00000000000006</v>
      </c>
      <c r="K15" s="75">
        <f>SUMIFS(REALIZADO[META_MOVEL],REALIZADO[PDV],ICONHA!$M$7)</f>
        <v>4450</v>
      </c>
      <c r="L15" s="76">
        <f>SUMIFS(PROJEÇÃO[PROJ_MOVEL],PROJEÇÃO[PDV],ICONHA!$M$7)</f>
        <v>3061.0000000000009</v>
      </c>
      <c r="M15" s="48">
        <f>IFERROR(L15/K15,0)</f>
        <v>0.687865168539326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124.00000000000006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240.79200000000014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SUMIFS(REALIZADO[META_FIXA],REALIZADO[PDV],ICONHA!$M$7)</f>
        <v>0</v>
      </c>
      <c r="L16" s="76">
        <f>SUMIFS(PROJEÇÃO[PROJ_FIXA],PROJEÇÃO[PDV],ICONHA!$M$7)</f>
        <v>0</v>
      </c>
      <c r="M16" s="49">
        <f t="shared" ref="M16:M17" si="4">IFERROR(L16/K16,0)</f>
        <v>0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43125</v>
      </c>
      <c r="D17" s="76">
        <f>_xlfn.XLOOKUP($J$7,PROJEÇÃO[CONSULTOR],PROJEÇÃO[PROJ_APARELHO])</f>
        <v>45483.000000000022</v>
      </c>
      <c r="E17" s="49">
        <f>IFERROR(D17/C17,0)</f>
        <v>1.0546782608695657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68.224500000000035</v>
      </c>
      <c r="I17" s="64">
        <f t="shared" si="0"/>
        <v>0</v>
      </c>
      <c r="J17" s="64">
        <f t="shared" si="3"/>
        <v>68.224500000000035</v>
      </c>
      <c r="K17" s="52">
        <f>SUMIFS(REALIZADO[META_SMARTPHONE],REALIZADO[PDV],ICONHA!$M$7)</f>
        <v>69000</v>
      </c>
      <c r="L17" s="77">
        <f>SUMIFS(PROJEÇÃO[PROJ_APARELHO],PROJEÇÃO[PDV],ICONHA!$M$7)</f>
        <v>60106.000000000029</v>
      </c>
      <c r="M17" s="49">
        <f t="shared" si="4"/>
        <v>0.8711014492753627</v>
      </c>
      <c r="N17" s="12">
        <f>IF($M$17&gt;=FATORES!$B$28,FATORES!$D$28,0)</f>
        <v>0</v>
      </c>
      <c r="O17" s="88">
        <f t="shared" si="1"/>
        <v>0</v>
      </c>
      <c r="P17" s="13">
        <f t="shared" si="5"/>
        <v>68.224500000000035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6500</v>
      </c>
      <c r="D18" s="77">
        <f>_xlfn.XLOOKUP($J$7,PROJEÇÃO[CONSULTOR],PROJEÇÃO[PROJ_ELETRO_A])</f>
        <v>358.00000000000017</v>
      </c>
      <c r="E18" s="140">
        <f>IFERROR((D18+D19)/C18,0)</f>
        <v>0.38553846153846166</v>
      </c>
      <c r="F18" s="12">
        <f>VLOOKUP($E$18,FATORES!$B$16:$E$18,3)</f>
        <v>1E-3</v>
      </c>
      <c r="G18" s="12">
        <f>IFERROR(VLOOKUP($E$18,FATORES!$B$19:$E$20,3),0)</f>
        <v>0</v>
      </c>
      <c r="H18" s="64">
        <f t="shared" si="2"/>
        <v>0.35800000000000015</v>
      </c>
      <c r="I18" s="64">
        <f t="shared" si="0"/>
        <v>0</v>
      </c>
      <c r="J18" s="64">
        <f t="shared" si="3"/>
        <v>0.35800000000000015</v>
      </c>
      <c r="K18" s="141">
        <f>SUMIFS(REALIZADO[META_ACESSORIO],REALIZADO[PDV],ICONHA!$M$7)</f>
        <v>10400</v>
      </c>
      <c r="L18" s="86">
        <f>SUMIFS(PROJEÇÃO[PROJ_ELETRO_A],PROJEÇÃO[PDV],ICONHA!$M$7)</f>
        <v>358.00000000000017</v>
      </c>
      <c r="M18" s="114">
        <f>IFERROR((L18+L19)/K18,0)</f>
        <v>0.2629807692307693</v>
      </c>
      <c r="N18" s="12">
        <f>IF($M$18&gt;=FATORES!$B$21,FATORES!$D$21,0)</f>
        <v>0</v>
      </c>
      <c r="O18" s="88">
        <f t="shared" si="1"/>
        <v>0</v>
      </c>
      <c r="P18" s="13">
        <f t="shared" si="5"/>
        <v>0.35800000000000015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2148.0000000000009</v>
      </c>
      <c r="E19" s="140"/>
      <c r="F19" s="12">
        <f>VLOOKUP($E$18,FATORES!$B$16:$E$18,4)</f>
        <v>5.0000000000000001E-4</v>
      </c>
      <c r="G19" s="12">
        <f>IFERROR(VLOOKUP($E$18,FATORES!$B$19:$E$20,4),0)</f>
        <v>0</v>
      </c>
      <c r="H19" s="64">
        <f t="shared" si="2"/>
        <v>1.0740000000000005</v>
      </c>
      <c r="I19" s="64">
        <f t="shared" si="0"/>
        <v>0</v>
      </c>
      <c r="J19" s="64">
        <f t="shared" si="3"/>
        <v>1.0740000000000005</v>
      </c>
      <c r="K19" s="142"/>
      <c r="L19" s="87">
        <f>SUMIFS(PROJEÇÃO[PROJ_ELETRO_B],PROJEÇÃO[PDV],ICONHA!$M$7)</f>
        <v>2377.0000000000009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5"/>
        <v>1.0740000000000005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3375</v>
      </c>
      <c r="D20" s="77">
        <f>_xlfn.XLOOKUP($J$7,PROJEÇÃO[CONSULTOR],PROJEÇÃO[PROJ_ESSEN_A])</f>
        <v>1315.0000000000007</v>
      </c>
      <c r="E20" s="140">
        <f>IFERROR((D20+D21)/C20,0)</f>
        <v>1.0565925925925932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19.725000000000009</v>
      </c>
      <c r="I20" s="64">
        <f t="shared" si="0"/>
        <v>0</v>
      </c>
      <c r="J20" s="64">
        <f t="shared" si="3"/>
        <v>19.725000000000009</v>
      </c>
      <c r="K20" s="141">
        <f>SUMIFS(REALIZADO[META_ESSENCIAIS],REALIZADO[PDV],ICONHA!$M$7)</f>
        <v>5400</v>
      </c>
      <c r="L20" s="86">
        <f>SUMIFS(PROJEÇÃO[PROJ_ESSEN_A],PROJEÇÃO[PDV],ICONHA!$M$7)</f>
        <v>2057.0000000000009</v>
      </c>
      <c r="M20" s="114">
        <f>IFERROR((L20+L21)/K20,0)</f>
        <v>0.88222222222222257</v>
      </c>
      <c r="N20" s="12">
        <f>IF($M$20&gt;=FATORES!$B$11,FATORES!$D$11,0)</f>
        <v>0</v>
      </c>
      <c r="O20" s="88">
        <f t="shared" si="1"/>
        <v>0</v>
      </c>
      <c r="P20" s="13">
        <f t="shared" si="5"/>
        <v>19.725000000000009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2251.0000000000009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22.510000000000009</v>
      </c>
      <c r="I21" s="64">
        <f t="shared" si="0"/>
        <v>0</v>
      </c>
      <c r="J21" s="64">
        <f t="shared" si="3"/>
        <v>22.510000000000009</v>
      </c>
      <c r="K21" s="142"/>
      <c r="L21" s="87">
        <f>SUMIFS(PROJEÇÃO[PROJ_ESSEN_B],PROJEÇÃO[PDV],ICONHA!$M$7)</f>
        <v>2707.0000000000009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22.510000000000009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343.75</v>
      </c>
      <c r="D22" s="81">
        <f>_xlfn.XLOOKUP($J$7,PROJEÇÃO[CONSULTOR],PROJEÇÃO[PROJ_SEGURO])</f>
        <v>214.40000000000009</v>
      </c>
      <c r="E22" s="83">
        <f>IFERROR(D22/C22,0)</f>
        <v>0.62370909090909121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2.144000000000001</v>
      </c>
      <c r="I22" s="64">
        <f t="shared" si="0"/>
        <v>0</v>
      </c>
      <c r="J22" s="64">
        <f t="shared" si="3"/>
        <v>2.144000000000001</v>
      </c>
      <c r="K22" s="56">
        <f>SUMIFS(REALIZADO[META_SEGUROS],REALIZADO[PDV],ICONHA!$M$7)</f>
        <v>550</v>
      </c>
      <c r="L22" s="78">
        <f>SUMIFS(PROJEÇÃO[PROJ_SEGURO],PROJEÇÃO[PDV],ICONHA!$M$7)</f>
        <v>361.20000000000016</v>
      </c>
      <c r="M22" s="49">
        <f t="shared" ref="M22:M23" si="6">IFERROR(L22/K22,0)</f>
        <v>0.65672727272727305</v>
      </c>
      <c r="N22" s="12">
        <f>IF($M$22&gt;=FATORES!$O$9,FATORES!$Q$9,0)</f>
        <v>0</v>
      </c>
      <c r="O22" s="88">
        <f t="shared" si="1"/>
        <v>0</v>
      </c>
      <c r="P22" s="13">
        <f t="shared" si="5"/>
        <v>2.144000000000001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281.25</v>
      </c>
      <c r="D23" s="57">
        <f>_xlfn.XLOOKUP($J$7,PROJEÇÃO[CONSULTOR],PROJEÇÃO[PROJ_SVA])</f>
        <v>275.65000000000015</v>
      </c>
      <c r="E23" s="82">
        <f>IFERROR(D23/C23,0)</f>
        <v>0.98008888888888945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2.7565000000000017</v>
      </c>
      <c r="I23" s="64">
        <f t="shared" si="0"/>
        <v>0</v>
      </c>
      <c r="J23" s="16">
        <f t="shared" si="3"/>
        <v>2.7565000000000017</v>
      </c>
      <c r="K23" s="75">
        <f>SUMIFS(REALIZADO[META_SVA],REALIZADO[PDV],ICONHA!$M$7)</f>
        <v>450</v>
      </c>
      <c r="L23" s="76">
        <f>SUMIFS(PROJEÇÃO[PROJ_SVA],PROJEÇÃO[PDV],ICONHA!$M$7)</f>
        <v>358.3400000000002</v>
      </c>
      <c r="M23" s="50">
        <f t="shared" si="6"/>
        <v>0.79631111111111152</v>
      </c>
      <c r="N23" s="15">
        <f>IF($M$23&gt;=FATORES!$O$17,FATORES!$Q$17,0)</f>
        <v>0</v>
      </c>
      <c r="O23" s="88">
        <f t="shared" si="1"/>
        <v>0</v>
      </c>
      <c r="P23" s="17">
        <f t="shared" si="5"/>
        <v>2.7565000000000017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240.79200000000014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2781.25</v>
      </c>
      <c r="D30" s="76">
        <f>_xlfn.XLOOKUP($J$7,REALIZADO[CONSULTOR],REALIZADO[AT_MOVEL])</f>
        <v>194</v>
      </c>
      <c r="E30" s="48">
        <f>IFERROR(D30/C30,0)</f>
        <v>6.9752808988764042E-2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1.94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1.94</v>
      </c>
      <c r="K30" s="75">
        <f>SUMIFS(REALIZADO[META_MOVEL],REALIZADO[PDV],ICONHA!$M$7)</f>
        <v>4450</v>
      </c>
      <c r="L30" s="76">
        <f>SUMIFS(REALIZADO[AT_MOVEL],REALIZADO[PDV],ICONHA!$M$7)</f>
        <v>328</v>
      </c>
      <c r="M30" s="48">
        <f>IFERROR(L30/K30,0)</f>
        <v>7.3707865168539333E-2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1.94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10.705399999999999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SUMIFS(REALIZADO[META_FIXA],REALIZADO[PDV],ICONHA!$M$7)</f>
        <v>0</v>
      </c>
      <c r="L31" s="76">
        <f>SUMIFS(REALIZADO[AT_FIXA],REALIZADO[PDV],ICONHA!$M$7)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43125</v>
      </c>
      <c r="D32" s="76">
        <f>_xlfn.XLOOKUP($J$7,REALIZADO[CONSULTOR],REALIZADO[AT_SMARTPHONE])</f>
        <v>10296</v>
      </c>
      <c r="E32" s="49">
        <f>IFERROR(D32/C32,0)</f>
        <v>0.23874782608695652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5.1479999999999997</v>
      </c>
      <c r="I32" s="64">
        <f t="shared" si="8"/>
        <v>0</v>
      </c>
      <c r="J32" s="64">
        <f t="shared" si="11"/>
        <v>5.1479999999999997</v>
      </c>
      <c r="K32" s="52">
        <f>SUMIFS(REALIZADO[META_SMARTPHONE],REALIZADO[PDV],ICONHA!$M$7)</f>
        <v>69000</v>
      </c>
      <c r="L32" s="77">
        <f>SUMIFS(REALIZADO[AT_SMARTPHONE],REALIZADO[PDV],ICONHA!$M$7)</f>
        <v>16624</v>
      </c>
      <c r="M32" s="49">
        <f t="shared" si="12"/>
        <v>0.24092753623188407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5.1479999999999997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6500</v>
      </c>
      <c r="D33" s="77">
        <f>_xlfn.XLOOKUP($J$7,REALIZADO[CONSULTOR],REALIZADO[AT_ACESSORIOS_A])</f>
        <v>0</v>
      </c>
      <c r="E33" s="140">
        <f>IFERROR((D33+D34)/C33,0)</f>
        <v>0.27676923076923077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SUMIFS(REALIZADO[META_ACESSORIO],REALIZADO[PDV],ICONHA!$M$7)</f>
        <v>10400</v>
      </c>
      <c r="L33" s="86">
        <f>SUMIFS(REALIZADO[AT_ACESSORIOS_A],REALIZADO[PDV],ICONHA!$M$7)</f>
        <v>0</v>
      </c>
      <c r="M33" s="114">
        <f>IFERROR((L33+L34)/K33,0)</f>
        <v>0.17298076923076924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1799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0.89949999999999997</v>
      </c>
      <c r="I34" s="64">
        <f t="shared" si="8"/>
        <v>0</v>
      </c>
      <c r="J34" s="64">
        <f t="shared" si="11"/>
        <v>0.89949999999999997</v>
      </c>
      <c r="K34" s="142"/>
      <c r="L34" s="87">
        <f>SUMIFS(REALIZADO[AT_ACESSORIOS_B],REALIZADO[PDV],ICONHA!$M$7)</f>
        <v>1799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0.89949999999999997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3375</v>
      </c>
      <c r="D35" s="77">
        <f>_xlfn.XLOOKUP($J$7,REALIZADO[CONSULTOR],REALIZADO[AT_ESSENCIAIS_A])</f>
        <v>178</v>
      </c>
      <c r="E35" s="140">
        <f>IFERROR((D35+D36)/C35,0)</f>
        <v>0.25866666666666666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0.89</v>
      </c>
      <c r="I35" s="64">
        <f t="shared" si="8"/>
        <v>0</v>
      </c>
      <c r="J35" s="64">
        <f t="shared" si="11"/>
        <v>0.89</v>
      </c>
      <c r="K35" s="141">
        <f>SUMIFS(REALIZADO[META_ESSENCIAIS],REALIZADO[PDV],ICONHA!$M$7)</f>
        <v>5400</v>
      </c>
      <c r="L35" s="86">
        <f>SUMIFS(REALIZADO[AT_ESSENCIAIS_A],REALIZADO[PDV],ICONHA!$M$7)</f>
        <v>475</v>
      </c>
      <c r="M35" s="114">
        <f>IFERROR((L35+L36)/K35,0)</f>
        <v>0.27185185185185184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0.89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695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1.3900000000000001</v>
      </c>
      <c r="I36" s="64">
        <f t="shared" si="8"/>
        <v>0</v>
      </c>
      <c r="J36" s="64">
        <f t="shared" si="11"/>
        <v>1.3900000000000001</v>
      </c>
      <c r="K36" s="142"/>
      <c r="L36" s="87">
        <f>SUMIFS(REALIZADO[AT_ESSENCIAIS_B],REALIZADO[PDV],ICONHA!$M$7)</f>
        <v>993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1.3900000000000001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343.75</v>
      </c>
      <c r="D37" s="81">
        <f>_xlfn.XLOOKUP($J$7,REALIZADO[CONSULTOR],REALIZADO[AT_SEGUROS])</f>
        <v>33.799999999999997</v>
      </c>
      <c r="E37" s="83">
        <f>IFERROR(D37/C37,0)</f>
        <v>9.8327272727272721E-2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0.33799999999999997</v>
      </c>
      <c r="I37" s="64">
        <f t="shared" si="8"/>
        <v>0</v>
      </c>
      <c r="J37" s="64">
        <f t="shared" si="11"/>
        <v>0.33799999999999997</v>
      </c>
      <c r="K37" s="56">
        <f>SUMIFS(REALIZADO[META_SEGUROS],REALIZADO[PDV],ICONHA!$M$7)</f>
        <v>550</v>
      </c>
      <c r="L37" s="78">
        <f>SUMIFS(REALIZADO[AT_SEGUROS],REALIZADO[PDV],ICONHA!$M$7)</f>
        <v>50.699999999999996</v>
      </c>
      <c r="M37" s="49">
        <f t="shared" ref="M37:M38" si="14">IFERROR(L37/K37,0)</f>
        <v>9.218181818181817E-2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0.33799999999999997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281.25</v>
      </c>
      <c r="D38" s="57">
        <f>_xlfn.XLOOKUP($J$7,REALIZADO[CONSULTOR],REALIZADO[AT_SVA])</f>
        <v>9.99</v>
      </c>
      <c r="E38" s="82">
        <f>IFERROR(D38/C38,0)</f>
        <v>3.5520000000000003E-2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9.9900000000000003E-2</v>
      </c>
      <c r="I38" s="64">
        <f t="shared" si="8"/>
        <v>0</v>
      </c>
      <c r="J38" s="16">
        <f t="shared" si="11"/>
        <v>9.9900000000000003E-2</v>
      </c>
      <c r="K38" s="75">
        <f>SUMIFS(REALIZADO[META_SVA],REALIZADO[PDV],ICONHA!$M$7)</f>
        <v>450</v>
      </c>
      <c r="L38" s="76">
        <f>SUMIFS(REALIZADO[AT_SVA],REALIZADO[PDV],ICONHA!$M$7)</f>
        <v>30.89</v>
      </c>
      <c r="M38" s="50">
        <f t="shared" si="14"/>
        <v>6.8644444444444452E-2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9.9900000000000003E-2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10.705399999999999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0</v>
      </c>
      <c r="D45" s="53">
        <v>0</v>
      </c>
      <c r="E45" s="48">
        <f>IFERROR(D45/C45,0)</f>
        <v>0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2">
        <v>0</v>
      </c>
      <c r="L45" s="53">
        <v>0</v>
      </c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0.09</v>
      </c>
    </row>
    <row r="46" spans="2:20" x14ac:dyDescent="0.3">
      <c r="B46" s="45" t="s">
        <v>13</v>
      </c>
      <c r="C46" s="54">
        <v>0</v>
      </c>
      <c r="D46" s="55">
        <v>0</v>
      </c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0</v>
      </c>
      <c r="D47" s="55">
        <v>0</v>
      </c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0</v>
      </c>
      <c r="I47" s="64">
        <f t="shared" si="16"/>
        <v>0</v>
      </c>
      <c r="J47" s="64">
        <f t="shared" si="19"/>
        <v>0</v>
      </c>
      <c r="K47" s="54">
        <v>0</v>
      </c>
      <c r="L47" s="55">
        <v>0</v>
      </c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122</v>
      </c>
      <c r="D48" s="55">
        <v>90</v>
      </c>
      <c r="E48" s="114">
        <f>IFERROR((D48+D49)/C48,0)</f>
        <v>0.73770491803278693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0.09</v>
      </c>
      <c r="I48" s="64">
        <f t="shared" si="16"/>
        <v>0</v>
      </c>
      <c r="J48" s="64">
        <f t="shared" si="19"/>
        <v>0.09</v>
      </c>
      <c r="K48" s="113">
        <v>0</v>
      </c>
      <c r="L48" s="55">
        <v>0</v>
      </c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0.09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>
        <v>0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0</v>
      </c>
      <c r="D50" s="55">
        <v>0</v>
      </c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v>0</v>
      </c>
      <c r="L50" s="55">
        <v>0</v>
      </c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0</v>
      </c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v>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0</v>
      </c>
      <c r="D52" s="55">
        <v>0</v>
      </c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</v>
      </c>
      <c r="I52" s="64">
        <f t="shared" si="16"/>
        <v>0</v>
      </c>
      <c r="J52" s="64">
        <f t="shared" si="19"/>
        <v>0</v>
      </c>
      <c r="K52" s="54">
        <v>0</v>
      </c>
      <c r="L52" s="55">
        <v>0</v>
      </c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0</v>
      </c>
      <c r="D53" s="57">
        <v>0</v>
      </c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>
        <v>0</v>
      </c>
      <c r="L53" s="57"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0.09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ZolOktp6r8eoyp3Y+p35t0+vjT8DYpm/P967cAaBX2jqKaxmeNixtt74nN0N8myOg5dBmk1kYrsmQaWgg0BuiA==" saltValue="IHQVCppkCgLAVyvLKkV+Kw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667" priority="22" operator="between">
      <formula>0.7</formula>
      <formula>1</formula>
    </cfRule>
    <cfRule type="cellIs" dxfId="666" priority="23" operator="greaterThanOrEqual">
      <formula>1</formula>
    </cfRule>
    <cfRule type="cellIs" dxfId="665" priority="24" operator="lessThan">
      <formula>0.7</formula>
    </cfRule>
  </conditionalFormatting>
  <conditionalFormatting sqref="E30:E33 E35 E37:E38">
    <cfRule type="cellIs" dxfId="664" priority="10" operator="between">
      <formula>0.7</formula>
      <formula>1</formula>
    </cfRule>
    <cfRule type="cellIs" dxfId="663" priority="11" operator="greaterThanOrEqual">
      <formula>1</formula>
    </cfRule>
    <cfRule type="cellIs" dxfId="662" priority="12" operator="lessThan">
      <formula>0.7</formula>
    </cfRule>
  </conditionalFormatting>
  <conditionalFormatting sqref="E45:E48 E50 E52:E53">
    <cfRule type="cellIs" dxfId="661" priority="34" operator="between">
      <formula>0.7</formula>
      <formula>1</formula>
    </cfRule>
    <cfRule type="cellIs" dxfId="660" priority="35" operator="greaterThanOrEqual">
      <formula>1</formula>
    </cfRule>
    <cfRule type="cellIs" dxfId="659" priority="36" operator="lessThan">
      <formula>0.7</formula>
    </cfRule>
  </conditionalFormatting>
  <conditionalFormatting sqref="M15:M18">
    <cfRule type="cellIs" dxfId="658" priority="16" operator="between">
      <formula>0.7</formula>
      <formula>1</formula>
    </cfRule>
    <cfRule type="cellIs" dxfId="657" priority="17" operator="greaterThanOrEqual">
      <formula>1</formula>
    </cfRule>
    <cfRule type="cellIs" dxfId="656" priority="18" operator="lessThan">
      <formula>0.7</formula>
    </cfRule>
  </conditionalFormatting>
  <conditionalFormatting sqref="M20">
    <cfRule type="cellIs" dxfId="655" priority="13" operator="between">
      <formula>0.7</formula>
      <formula>1</formula>
    </cfRule>
    <cfRule type="cellIs" dxfId="654" priority="14" operator="greaterThanOrEqual">
      <formula>1</formula>
    </cfRule>
    <cfRule type="cellIs" dxfId="653" priority="15" operator="lessThan">
      <formula>0.7</formula>
    </cfRule>
  </conditionalFormatting>
  <conditionalFormatting sqref="M22:M23">
    <cfRule type="cellIs" dxfId="652" priority="19" operator="between">
      <formula>0.7</formula>
      <formula>1</formula>
    </cfRule>
    <cfRule type="cellIs" dxfId="651" priority="20" operator="greaterThanOrEqual">
      <formula>1</formula>
    </cfRule>
    <cfRule type="cellIs" dxfId="650" priority="21" operator="lessThan">
      <formula>0.7</formula>
    </cfRule>
  </conditionalFormatting>
  <conditionalFormatting sqref="M30:M33">
    <cfRule type="cellIs" dxfId="649" priority="4" operator="between">
      <formula>0.7</formula>
      <formula>1</formula>
    </cfRule>
    <cfRule type="cellIs" dxfId="648" priority="5" operator="greaterThanOrEqual">
      <formula>1</formula>
    </cfRule>
    <cfRule type="cellIs" dxfId="647" priority="6" operator="lessThan">
      <formula>0.7</formula>
    </cfRule>
  </conditionalFormatting>
  <conditionalFormatting sqref="M35">
    <cfRule type="cellIs" dxfId="646" priority="1" operator="between">
      <formula>0.7</formula>
      <formula>1</formula>
    </cfRule>
    <cfRule type="cellIs" dxfId="645" priority="2" operator="greaterThanOrEqual">
      <formula>1</formula>
    </cfRule>
    <cfRule type="cellIs" dxfId="644" priority="3" operator="lessThan">
      <formula>0.7</formula>
    </cfRule>
  </conditionalFormatting>
  <conditionalFormatting sqref="M37:M38">
    <cfRule type="cellIs" dxfId="643" priority="7" operator="between">
      <formula>0.7</formula>
      <formula>1</formula>
    </cfRule>
    <cfRule type="cellIs" dxfId="642" priority="8" operator="greaterThanOrEqual">
      <formula>1</formula>
    </cfRule>
    <cfRule type="cellIs" dxfId="641" priority="9" operator="lessThan">
      <formula>0.7</formula>
    </cfRule>
  </conditionalFormatting>
  <conditionalFormatting sqref="M45:M48">
    <cfRule type="cellIs" dxfId="640" priority="28" operator="between">
      <formula>0.7</formula>
      <formula>1</formula>
    </cfRule>
    <cfRule type="cellIs" dxfId="639" priority="29" operator="greaterThanOrEqual">
      <formula>1</formula>
    </cfRule>
    <cfRule type="cellIs" dxfId="638" priority="30" operator="lessThan">
      <formula>0.7</formula>
    </cfRule>
  </conditionalFormatting>
  <conditionalFormatting sqref="M50">
    <cfRule type="cellIs" dxfId="637" priority="25" operator="between">
      <formula>0.7</formula>
      <formula>1</formula>
    </cfRule>
    <cfRule type="cellIs" dxfId="636" priority="26" operator="greaterThanOrEqual">
      <formula>1</formula>
    </cfRule>
    <cfRule type="cellIs" dxfId="635" priority="27" operator="lessThan">
      <formula>0.7</formula>
    </cfRule>
  </conditionalFormatting>
  <conditionalFormatting sqref="M52:M53">
    <cfRule type="cellIs" dxfId="634" priority="31" operator="between">
      <formula>0.7</formula>
      <formula>1</formula>
    </cfRule>
    <cfRule type="cellIs" dxfId="633" priority="32" operator="greaterThanOrEqual">
      <formula>1</formula>
    </cfRule>
    <cfRule type="cellIs" dxfId="632" priority="33" operator="lessThan">
      <formula>0.7</formula>
    </cfRule>
  </conditionalFormatting>
  <dataValidations count="1">
    <dataValidation type="list" allowBlank="1" showInputMessage="1" showErrorMessage="1" sqref="B8:H8" xr:uid="{23D33CC3-5B80-4630-8A31-A6174768B795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9AF8DE-645C-4534-8937-F2F50476C38A}">
          <x14:formula1>
            <xm:f>HC!$K$2:$K$4</xm:f>
          </x14:formula1>
          <xm:sqref>J7:K7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54F7-E7E3-4936-94CF-B6F81995A539}">
  <dimension ref="B1:X54"/>
  <sheetViews>
    <sheetView topLeftCell="A38" workbookViewId="0">
      <selection activeCell="D51" sqref="D51"/>
    </sheetView>
  </sheetViews>
  <sheetFormatPr defaultRowHeight="14.4" x14ac:dyDescent="0.3"/>
  <cols>
    <col min="1" max="1" width="2" customWidth="1"/>
    <col min="2" max="4" width="16.44140625" customWidth="1"/>
    <col min="5" max="5" width="13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44140625" customWidth="1"/>
    <col min="13" max="13" width="13.77734375" customWidth="1"/>
    <col min="14" max="14" width="20.5546875" customWidth="1"/>
    <col min="15" max="15" width="21" customWidth="1"/>
    <col min="16" max="16" width="15.21875" customWidth="1"/>
    <col min="17" max="19" width="15.77734375" customWidth="1"/>
    <col min="20" max="20" width="17.5546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167</v>
      </c>
      <c r="K7" s="179"/>
      <c r="M7" s="178" t="s">
        <v>34</v>
      </c>
      <c r="N7" s="179"/>
      <c r="P7" s="74" t="s">
        <v>28</v>
      </c>
      <c r="T7" s="60"/>
    </row>
    <row r="8" spans="2:24" x14ac:dyDescent="0.3">
      <c r="B8" s="62">
        <v>3</v>
      </c>
      <c r="C8" s="4">
        <v>0</v>
      </c>
      <c r="D8" s="4">
        <v>3</v>
      </c>
      <c r="E8" s="4">
        <v>3</v>
      </c>
      <c r="F8" s="4">
        <v>3</v>
      </c>
      <c r="G8" s="4">
        <v>3</v>
      </c>
      <c r="H8" s="5">
        <v>3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4968.75</v>
      </c>
      <c r="D15" s="76">
        <f>_xlfn.XLOOKUP($J$7,PROJEÇÃO[CONSULTOR],PROJEÇÃO[PROJ_MOVEL])</f>
        <v>333.00000000000017</v>
      </c>
      <c r="E15" s="48">
        <f>IFERROR(D15/C15,0)</f>
        <v>6.7018867924528339E-2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3.3300000000000018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3.3300000000000018</v>
      </c>
      <c r="K15" s="75">
        <f>SUMIFS(REALIZADO[META_MOVEL],REALIZADO[PDV],'ST PADUA'!$M$7)</f>
        <v>7950</v>
      </c>
      <c r="L15" s="76">
        <f>SUMIFS(PROJEÇÃO[PROJ_MOVEL],PROJEÇÃO[PDV],'ST PADUA'!$M$7)</f>
        <v>5610.2400000000025</v>
      </c>
      <c r="M15" s="48">
        <f>IFERROR(L15/K15,0)</f>
        <v>0.70569056603773617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3.3300000000000018</v>
      </c>
      <c r="Q15" s="11">
        <f>IF($B$8=2,P15*0.05,0)</f>
        <v>0</v>
      </c>
      <c r="R15" s="11">
        <f>IF($B$8=3,P15*0.15,0)</f>
        <v>0.49950000000000028</v>
      </c>
      <c r="S15" s="115">
        <v>0.1</v>
      </c>
      <c r="T15" s="143">
        <f>SUM(P24:S24)</f>
        <v>10.701325000000004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SUMIFS(REALIZADO[META_FIXA],REALIZADO[PDV],'ST PADUA'!$M$7)</f>
        <v>0</v>
      </c>
      <c r="L16" s="76">
        <f>SUMIFS(PROJEÇÃO[PROJ_FIXA],PROJEÇÃO[PDV],'ST PADUA'!$M$7)</f>
        <v>0</v>
      </c>
      <c r="M16" s="49">
        <f t="shared" ref="M16:M17" si="4">IFERROR(L16/K16,0)</f>
        <v>0</v>
      </c>
      <c r="N16" s="12">
        <f>IF($M$17&gt;=FATORES!$I$17,FATORES!$K$17,0)</f>
        <v>0.15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50625</v>
      </c>
      <c r="D17" s="76">
        <f>_xlfn.XLOOKUP($J$7,PROJEÇÃO[CONSULTOR],PROJEÇÃO[PROJ_APARELHO])</f>
        <v>9298.0000000000036</v>
      </c>
      <c r="E17" s="49">
        <f>IFERROR(D17/C17,0)</f>
        <v>0.18366419753086427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4.6490000000000018</v>
      </c>
      <c r="I17" s="64">
        <f t="shared" si="0"/>
        <v>0</v>
      </c>
      <c r="J17" s="64">
        <f t="shared" si="3"/>
        <v>4.6490000000000018</v>
      </c>
      <c r="K17" s="52">
        <f>SUMIFS(REALIZADO[META_SMARTPHONE],REALIZADO[PDV],'ST PADUA'!$M$7)</f>
        <v>81000</v>
      </c>
      <c r="L17" s="77">
        <f>SUMIFS(PROJEÇÃO[PROJ_APARELHO],PROJEÇÃO[PDV],'ST PADUA'!$M$7)</f>
        <v>82077.000000000029</v>
      </c>
      <c r="M17" s="49">
        <f t="shared" si="4"/>
        <v>1.0132962962962966</v>
      </c>
      <c r="N17" s="12">
        <f>IF($M$17&gt;=FATORES!$B$28,FATORES!$D$28,0)</f>
        <v>2.5000000000000001E-3</v>
      </c>
      <c r="O17" s="88">
        <f t="shared" si="1"/>
        <v>0</v>
      </c>
      <c r="P17" s="13">
        <f t="shared" si="5"/>
        <v>4.6490000000000018</v>
      </c>
      <c r="Q17" s="14">
        <f>IF($D$8=2,P17*0.05,0)</f>
        <v>0</v>
      </c>
      <c r="R17" s="14">
        <f>IF($D$8=3,P17*0.15,0)</f>
        <v>0.69735000000000025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6625</v>
      </c>
      <c r="D18" s="77">
        <f>_xlfn.XLOOKUP($J$7,PROJEÇÃO[CONSULTOR],PROJEÇÃO[PROJ_ELETRO_A])</f>
        <v>0</v>
      </c>
      <c r="E18" s="140">
        <f>IFERROR((D18+D19)/C18,0)</f>
        <v>2.2490566037735856E-2</v>
      </c>
      <c r="F18" s="12">
        <f>VLOOKUP($E$18,FATORES!$B$16:$E$18,3)</f>
        <v>1E-3</v>
      </c>
      <c r="G18" s="12">
        <f>IFERROR(VLOOKUP($E$18,FATORES!$B$19:$E$20,3),0)</f>
        <v>0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SUMIFS(REALIZADO[META_ACESSORIO],REALIZADO[PDV],'ST PADUA'!$M$7)</f>
        <v>10600</v>
      </c>
      <c r="L18" s="86">
        <f>SUMIFS(PROJEÇÃO[PROJ_ELETRO_A],PROJEÇÃO[PDV],'ST PADUA'!$M$7)</f>
        <v>199.00000000000009</v>
      </c>
      <c r="M18" s="114">
        <f>IFERROR((L18+L19)/K18,0)</f>
        <v>0.97877358490566069</v>
      </c>
      <c r="N18" s="12">
        <f>IF($M$18&gt;=FATORES!$B$21,FATORES!$D$21,0)</f>
        <v>0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149.00000000000006</v>
      </c>
      <c r="E19" s="140"/>
      <c r="F19" s="12">
        <f>VLOOKUP($E$18,FATORES!$B$16:$E$18,4)</f>
        <v>5.0000000000000001E-4</v>
      </c>
      <c r="G19" s="12">
        <f>IFERROR(VLOOKUP($E$18,FATORES!$B$19:$E$20,4),0)</f>
        <v>0</v>
      </c>
      <c r="H19" s="64">
        <f t="shared" si="2"/>
        <v>7.4500000000000025E-2</v>
      </c>
      <c r="I19" s="64">
        <f t="shared" si="0"/>
        <v>0</v>
      </c>
      <c r="J19" s="64">
        <f t="shared" si="3"/>
        <v>7.4500000000000025E-2</v>
      </c>
      <c r="K19" s="142"/>
      <c r="L19" s="87">
        <f>SUMIFS(PROJEÇÃO[PROJ_ELETRO_B],PROJEÇÃO[PDV],'ST PADUA'!$M$7)</f>
        <v>10176.000000000004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5"/>
        <v>7.4500000000000025E-2</v>
      </c>
      <c r="Q19" s="14">
        <f>IF($E$8=2,P19*0.05,0)</f>
        <v>0</v>
      </c>
      <c r="R19" s="14">
        <f>IF($E$8=3,P19*0.15,0)</f>
        <v>1.1175000000000003E-2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5312.5</v>
      </c>
      <c r="D20" s="77">
        <f>_xlfn.XLOOKUP($J$7,PROJEÇÃO[CONSULTOR],PROJEÇÃO[PROJ_ESSEN_A])</f>
        <v>149.00000000000006</v>
      </c>
      <c r="E20" s="140">
        <f>IFERROR((D20+D21)/C20,0)</f>
        <v>4.2917647058823546E-2</v>
      </c>
      <c r="F20" s="12">
        <f>VLOOKUP($E$20,FATORES!$B$6:$E$8,3)</f>
        <v>5.0000000000000001E-3</v>
      </c>
      <c r="G20" s="12">
        <f>IFERROR(VLOOKUP($E$20,FATORES!$B$9:$E$10,3),0)</f>
        <v>0</v>
      </c>
      <c r="H20" s="64">
        <f t="shared" si="2"/>
        <v>0.74500000000000033</v>
      </c>
      <c r="I20" s="64">
        <f t="shared" si="0"/>
        <v>0</v>
      </c>
      <c r="J20" s="64">
        <f t="shared" si="3"/>
        <v>0.74500000000000033</v>
      </c>
      <c r="K20" s="141">
        <f>SUMIFS(REALIZADO[META_ESSENCIAIS],REALIZADO[PDV],'ST PADUA'!$M$7)</f>
        <v>8500</v>
      </c>
      <c r="L20" s="86">
        <f>SUMIFS(PROJEÇÃO[PROJ_ESSEN_A],PROJEÇÃO[PDV],'ST PADUA'!$M$7)</f>
        <v>3515.0000000000014</v>
      </c>
      <c r="M20" s="114">
        <f>IFERROR((L20+L21)/K20,0)</f>
        <v>0.89800000000000046</v>
      </c>
      <c r="N20" s="12">
        <f>IF($M$20&gt;=FATORES!$B$11,FATORES!$D$11,0)</f>
        <v>0</v>
      </c>
      <c r="O20" s="88">
        <f t="shared" si="1"/>
        <v>0</v>
      </c>
      <c r="P20" s="13">
        <f t="shared" si="5"/>
        <v>0.74500000000000033</v>
      </c>
      <c r="Q20" s="14">
        <f>IF($F$8=2,P20*0.05,0)</f>
        <v>0</v>
      </c>
      <c r="R20" s="14">
        <f>IF($F$8=3,P20*0.15,0)</f>
        <v>0.11175000000000004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79.000000000000028</v>
      </c>
      <c r="E21" s="140"/>
      <c r="F21" s="12">
        <f>VLOOKUP($E$20,FATORES!$B$6:$E$8,4)</f>
        <v>2E-3</v>
      </c>
      <c r="G21" s="12">
        <f>IFERROR(VLOOKUP($E$20,FATORES!$B$9:$E$10,4),0)</f>
        <v>0</v>
      </c>
      <c r="H21" s="64">
        <f t="shared" si="2"/>
        <v>0.15800000000000006</v>
      </c>
      <c r="I21" s="64">
        <f t="shared" si="0"/>
        <v>0</v>
      </c>
      <c r="J21" s="64">
        <f t="shared" si="3"/>
        <v>0.15800000000000006</v>
      </c>
      <c r="K21" s="142"/>
      <c r="L21" s="87">
        <f>SUMIFS(PROJEÇÃO[PROJ_ESSEN_B],PROJEÇÃO[PDV],'ST PADUA'!$M$7)</f>
        <v>4118.0000000000018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0.15800000000000006</v>
      </c>
      <c r="Q21" s="14">
        <f>IF($F$8=2,P21*0.05,0)</f>
        <v>0</v>
      </c>
      <c r="R21" s="14">
        <f>IF($F$8=3,P21*0.15,0)</f>
        <v>2.3700000000000009E-2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500</v>
      </c>
      <c r="D22" s="81">
        <f>_xlfn.XLOOKUP($J$7,PROJEÇÃO[CONSULTOR],PROJEÇÃO[PROJ_SEGURO])</f>
        <v>34.900000000000013</v>
      </c>
      <c r="E22" s="83">
        <f>IFERROR(D22/C22,0)</f>
        <v>6.9800000000000029E-2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0.34900000000000014</v>
      </c>
      <c r="I22" s="64">
        <f t="shared" si="0"/>
        <v>0</v>
      </c>
      <c r="J22" s="64">
        <f t="shared" si="3"/>
        <v>0.34900000000000014</v>
      </c>
      <c r="K22" s="56">
        <f>SUMIFS(REALIZADO[META_SEGUROS],REALIZADO[PDV],'ST PADUA'!$M$7)</f>
        <v>800</v>
      </c>
      <c r="L22" s="78">
        <f>SUMIFS(PROJEÇÃO[PROJ_SEGURO],PROJEÇÃO[PDV],'ST PADUA'!$M$7)</f>
        <v>556.60000000000025</v>
      </c>
      <c r="M22" s="49">
        <f t="shared" ref="M22:M23" si="6">IFERROR(L22/K22,0)</f>
        <v>0.69575000000000031</v>
      </c>
      <c r="N22" s="12">
        <f>IF($M$22&gt;=FATORES!$O$9,FATORES!$Q$9,0)</f>
        <v>0</v>
      </c>
      <c r="O22" s="88">
        <f t="shared" si="1"/>
        <v>0</v>
      </c>
      <c r="P22" s="13">
        <f t="shared" si="5"/>
        <v>0.34900000000000014</v>
      </c>
      <c r="Q22" s="14">
        <f>IF($G$8=2,P22*0.05,0)</f>
        <v>0</v>
      </c>
      <c r="R22" s="14">
        <f>IF($G$8=3,P22*0.15,0)</f>
        <v>5.2350000000000022E-2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468.75</v>
      </c>
      <c r="D23" s="57">
        <f>_xlfn.XLOOKUP($J$7,PROJEÇÃO[CONSULTOR],PROJEÇÃO[PROJ_SVA])</f>
        <v>0</v>
      </c>
      <c r="E23" s="82">
        <f>IFERROR(D23/C23,0)</f>
        <v>0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0</v>
      </c>
      <c r="I23" s="64">
        <f t="shared" si="0"/>
        <v>0</v>
      </c>
      <c r="J23" s="16">
        <f t="shared" si="3"/>
        <v>0</v>
      </c>
      <c r="K23" s="75">
        <f>SUMIFS(REALIZADO[META_SVA],REALIZADO[PDV],'ST PADUA'!$M$7)</f>
        <v>750</v>
      </c>
      <c r="L23" s="76">
        <f>SUMIFS(PROJEÇÃO[PROJ_SVA],PROJEÇÃO[PDV],'ST PADUA'!$M$7)</f>
        <v>350.28000000000014</v>
      </c>
      <c r="M23" s="50">
        <f t="shared" si="6"/>
        <v>0.46704000000000018</v>
      </c>
      <c r="N23" s="15">
        <f>IF($M$23&gt;=FATORES!$O$17,FATORES!$Q$17,0)</f>
        <v>0</v>
      </c>
      <c r="O23" s="88">
        <f t="shared" si="1"/>
        <v>0</v>
      </c>
      <c r="P23" s="17">
        <f t="shared" si="5"/>
        <v>0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9.3055000000000039</v>
      </c>
      <c r="Q24" s="69">
        <f t="shared" ref="Q24:R24" si="7">SUM(Q15:Q23)</f>
        <v>0</v>
      </c>
      <c r="R24" s="69">
        <f t="shared" si="7"/>
        <v>1.3958250000000005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4968.75</v>
      </c>
      <c r="D30" s="76">
        <f>_xlfn.XLOOKUP($J$7,REALIZADO[CONSULTOR],REALIZADO[AT_MOVEL])</f>
        <v>370</v>
      </c>
      <c r="E30" s="48">
        <f>IFERROR(D30/C30,0)</f>
        <v>7.4465408805031441E-2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3.7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3.7</v>
      </c>
      <c r="K30" s="75">
        <f>SUMIFS(REALIZADO[META_MOVEL],REALIZADO[PDV],'ST PADUA'!$M$7)</f>
        <v>7950</v>
      </c>
      <c r="L30" s="76">
        <f>SUMIFS(REALIZADO[AT_MOVEL],REALIZADO[PDV],'ST PADUA'!$M$7)</f>
        <v>556</v>
      </c>
      <c r="M30" s="48">
        <f>IFERROR(L30/K30,0)</f>
        <v>6.9937106918238998E-2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3.7</v>
      </c>
      <c r="Q30" s="11">
        <f>IF($B$8=2,P30*0.05,0)</f>
        <v>0</v>
      </c>
      <c r="R30" s="11">
        <f>IF($B$8=3,P30*0.15,0)</f>
        <v>0.55500000000000005</v>
      </c>
      <c r="S30" s="115">
        <v>0.1</v>
      </c>
      <c r="T30" s="143">
        <f>SUM(P39:S39)</f>
        <v>11.126825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SUMIFS(REALIZADO[META_FIXA],REALIZADO[PDV],'ST PADUA'!$M$7)</f>
        <v>0</v>
      </c>
      <c r="L31" s="76">
        <f>SUMIFS(REALIZADO[AT_FIXA],REALIZADO[PDV],'ST PADUA'!$M$7)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50625</v>
      </c>
      <c r="D32" s="76">
        <f>_xlfn.XLOOKUP($J$7,REALIZADO[CONSULTOR],REALIZADO[AT_SMARTPHONE])</f>
        <v>9298</v>
      </c>
      <c r="E32" s="49">
        <f>IFERROR(D32/C32,0)</f>
        <v>0.18366419753086419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4.649</v>
      </c>
      <c r="I32" s="64">
        <f t="shared" si="8"/>
        <v>0</v>
      </c>
      <c r="J32" s="64">
        <f t="shared" si="11"/>
        <v>4.649</v>
      </c>
      <c r="K32" s="52">
        <f>SUMIFS(REALIZADO[META_SMARTPHONE],REALIZADO[PDV],'ST PADUA'!$M$7)</f>
        <v>81000</v>
      </c>
      <c r="L32" s="77">
        <f>SUMIFS(REALIZADO[AT_SMARTPHONE],REALIZADO[PDV],'ST PADUA'!$M$7)</f>
        <v>11997</v>
      </c>
      <c r="M32" s="49">
        <f t="shared" si="12"/>
        <v>0.14811111111111111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4.649</v>
      </c>
      <c r="Q32" s="14">
        <f>IF($D$8=2,P32*0.05,0)</f>
        <v>0</v>
      </c>
      <c r="R32" s="14">
        <f>IF($D$8=3,P32*0.15,0)</f>
        <v>0.69735000000000003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6625</v>
      </c>
      <c r="D33" s="77">
        <f>_xlfn.XLOOKUP($J$7,REALIZADO[CONSULTOR],REALIZADO[AT_ACESSORIOS_A])</f>
        <v>0</v>
      </c>
      <c r="E33" s="140">
        <f>IFERROR((D33+D34)/C33,0)</f>
        <v>2.2490566037735849E-2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SUMIFS(REALIZADO[META_ACESSORIO],REALIZADO[PDV],'ST PADUA'!$M$7)</f>
        <v>10600</v>
      </c>
      <c r="L33" s="86">
        <f>SUMIFS(REALIZADO[AT_ACESSORIOS_A],REALIZADO[PDV],'ST PADUA'!$M$7)</f>
        <v>0</v>
      </c>
      <c r="M33" s="114">
        <f>IFERROR((L33+L34)/K33,0)</f>
        <v>3.5660377358490564E-2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149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7.4499999999999997E-2</v>
      </c>
      <c r="I34" s="64">
        <f t="shared" si="8"/>
        <v>0</v>
      </c>
      <c r="J34" s="64">
        <f t="shared" si="11"/>
        <v>7.4499999999999997E-2</v>
      </c>
      <c r="K34" s="142"/>
      <c r="L34" s="87">
        <f>SUMIFS(REALIZADO[AT_ACESSORIOS_B],REALIZADO[PDV],'ST PADUA'!$M$7)</f>
        <v>378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7.4499999999999997E-2</v>
      </c>
      <c r="Q34" s="14">
        <f>IF($E$8=2,P34*0.05,0)</f>
        <v>0</v>
      </c>
      <c r="R34" s="14">
        <f>IF($E$8=3,P34*0.15,0)</f>
        <v>1.1174999999999999E-2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5312.5</v>
      </c>
      <c r="D35" s="77">
        <f>_xlfn.XLOOKUP($J$7,REALIZADO[CONSULTOR],REALIZADO[AT_ESSENCIAIS_A])</f>
        <v>149</v>
      </c>
      <c r="E35" s="140">
        <f>IFERROR((D35+D36)/C35,0)</f>
        <v>4.2917647058823533E-2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0.745</v>
      </c>
      <c r="I35" s="64">
        <f t="shared" si="8"/>
        <v>0</v>
      </c>
      <c r="J35" s="64">
        <f t="shared" si="11"/>
        <v>0.745</v>
      </c>
      <c r="K35" s="141">
        <f>SUMIFS(REALIZADO[META_ESSENCIAIS],REALIZADO[PDV],'ST PADUA'!$M$7)</f>
        <v>8500</v>
      </c>
      <c r="L35" s="86">
        <f>SUMIFS(REALIZADO[AT_ESSENCIAIS_A],REALIZADO[PDV],'ST PADUA'!$M$7)</f>
        <v>367</v>
      </c>
      <c r="M35" s="114">
        <f>IFERROR((L35+L36)/K35,0)</f>
        <v>0.10152941176470588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0.745</v>
      </c>
      <c r="Q35" s="14">
        <f>IF($F$8=2,P35*0.05,0)</f>
        <v>0</v>
      </c>
      <c r="R35" s="14">
        <f>IF($F$8=3,P35*0.15,0)</f>
        <v>0.11175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79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0.158</v>
      </c>
      <c r="I36" s="64">
        <f t="shared" si="8"/>
        <v>0</v>
      </c>
      <c r="J36" s="64">
        <f t="shared" si="11"/>
        <v>0.158</v>
      </c>
      <c r="K36" s="142"/>
      <c r="L36" s="87">
        <f>SUMIFS(REALIZADO[AT_ESSENCIAIS_B],REALIZADO[PDV],'ST PADUA'!$M$7)</f>
        <v>496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0.158</v>
      </c>
      <c r="Q36" s="14">
        <f>IF($F$8=2,P36*0.05,0)</f>
        <v>0</v>
      </c>
      <c r="R36" s="14">
        <f>IF($F$8=3,P36*0.15,0)</f>
        <v>2.3699999999999999E-2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500</v>
      </c>
      <c r="D37" s="81">
        <f>_xlfn.XLOOKUP($J$7,REALIZADO[CONSULTOR],REALIZADO[AT_SEGUROS])</f>
        <v>34.9</v>
      </c>
      <c r="E37" s="83">
        <f>IFERROR(D37/C37,0)</f>
        <v>6.9800000000000001E-2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0.34899999999999998</v>
      </c>
      <c r="I37" s="64">
        <f t="shared" si="8"/>
        <v>0</v>
      </c>
      <c r="J37" s="64">
        <f t="shared" si="11"/>
        <v>0.34899999999999998</v>
      </c>
      <c r="K37" s="56">
        <f>SUMIFS(REALIZADO[META_SEGUROS],REALIZADO[PDV],'ST PADUA'!$M$7)</f>
        <v>800</v>
      </c>
      <c r="L37" s="78">
        <f>SUMIFS(REALIZADO[AT_SEGUROS],REALIZADO[PDV],'ST PADUA'!$M$7)</f>
        <v>51.8</v>
      </c>
      <c r="M37" s="49">
        <f t="shared" ref="M37:M38" si="14">IFERROR(L37/K37,0)</f>
        <v>6.4750000000000002E-2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0.34899999999999998</v>
      </c>
      <c r="Q37" s="14">
        <f>IF($G$8=2,P37*0.05,0)</f>
        <v>0</v>
      </c>
      <c r="R37" s="14">
        <f>IF($G$8=3,P37*0.15,0)</f>
        <v>5.2349999999999994E-2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468.75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SUMIFS(REALIZADO[META_SVA],REALIZADO[PDV],'ST PADUA'!$M$7)</f>
        <v>750</v>
      </c>
      <c r="L38" s="76">
        <f>SUMIFS(REALIZADO[AT_SVA],REALIZADO[PDV],'ST PADUA'!$M$7)</f>
        <v>0</v>
      </c>
      <c r="M38" s="50">
        <f t="shared" si="14"/>
        <v>0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9.6754999999999995</v>
      </c>
      <c r="Q39" s="69">
        <f t="shared" ref="Q39:R39" si="15">SUM(Q30:Q38)</f>
        <v>0</v>
      </c>
      <c r="R39" s="69">
        <f t="shared" si="15"/>
        <v>1.451325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3650.76</v>
      </c>
      <c r="D45" s="53">
        <v>5317.45</v>
      </c>
      <c r="E45" s="48">
        <f>IFERROR(D45/C45,0)</f>
        <v>1.4565323384719893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425.39600000000002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797.61749999999995</v>
      </c>
      <c r="J45" s="9">
        <f>H45+I45</f>
        <v>1223.0135</v>
      </c>
      <c r="K45" s="52">
        <v>7900</v>
      </c>
      <c r="L45" s="53">
        <v>7900</v>
      </c>
      <c r="M45" s="48">
        <f>IFERROR(L45/K45,0)</f>
        <v>1</v>
      </c>
      <c r="N45" s="8">
        <f>IF($M$45&gt;=FATORES!$I$9,FATORES!$K$9,0)</f>
        <v>0.1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531.745</v>
      </c>
      <c r="P45" s="10">
        <f>J45+O45</f>
        <v>1754.7584999999999</v>
      </c>
      <c r="Q45" s="11">
        <f>IF($B$8=2,P45*0.05,0)</f>
        <v>0</v>
      </c>
      <c r="R45" s="11">
        <f>IF($B$8=3,P45*0.15,0)</f>
        <v>263.213775</v>
      </c>
      <c r="S45" s="115">
        <v>0.1</v>
      </c>
      <c r="T45" s="118">
        <f>SUM($P$54:$S$54)</f>
        <v>2930.4782999999998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f>SUMIFS(REALIZADO[AT_FIXA],REALIZADO[PDV],'ST PADUA'!$M$7)</f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36969.699999999997</v>
      </c>
      <c r="D47" s="55">
        <v>58685</v>
      </c>
      <c r="E47" s="49">
        <f>IFERROR(D47/C47,0)</f>
        <v>1.5873810174277856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88.027500000000003</v>
      </c>
      <c r="I47" s="64">
        <f t="shared" si="16"/>
        <v>117.37</v>
      </c>
      <c r="J47" s="64">
        <f t="shared" si="19"/>
        <v>205.39750000000001</v>
      </c>
      <c r="K47" s="54">
        <v>79000</v>
      </c>
      <c r="L47" s="55">
        <f>SUMIFS(REALIZADO[AT_SMARTPHONE],REALIZADO[PDV],'ST PADUA'!$M$7)</f>
        <v>11997</v>
      </c>
      <c r="M47" s="49">
        <f t="shared" si="20"/>
        <v>0.15186075949367089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205.39750000000001</v>
      </c>
      <c r="Q47" s="14">
        <f>IF($D$8=2,P47*0.05,0)</f>
        <v>0</v>
      </c>
      <c r="R47" s="14">
        <f>IF($D$8=3,P47*0.15,0)</f>
        <v>30.809625</v>
      </c>
      <c r="S47" s="116"/>
      <c r="T47" s="119"/>
    </row>
    <row r="48" spans="2:20" x14ac:dyDescent="0.3">
      <c r="B48" s="46" t="s">
        <v>233</v>
      </c>
      <c r="C48" s="113">
        <v>4667.42</v>
      </c>
      <c r="D48" s="55">
        <v>9365</v>
      </c>
      <c r="E48" s="114">
        <f>IFERROR((D48+D49)/C48,0)</f>
        <v>2.006461814021451</v>
      </c>
      <c r="F48" s="12">
        <f>VLOOKUP($E$48,FATORES!$B$16:$E$18,3)</f>
        <v>3.0000000000000001E-3</v>
      </c>
      <c r="G48" s="12">
        <f>IFERROR(VLOOKUP($E$48,FATORES!$B$19:$E$20,3),0)</f>
        <v>1.4E-2</v>
      </c>
      <c r="H48" s="64">
        <f t="shared" si="18"/>
        <v>28.094999999999999</v>
      </c>
      <c r="I48" s="64">
        <f t="shared" si="16"/>
        <v>131.11000000000001</v>
      </c>
      <c r="J48" s="64">
        <f t="shared" si="19"/>
        <v>159.20500000000001</v>
      </c>
      <c r="K48" s="113">
        <v>10000</v>
      </c>
      <c r="L48" s="55">
        <f>SUMIFS(REALIZADO[AT_ACESSORIOS_A],REALIZADO[PDV],'ST PADUA'!$M$7)</f>
        <v>0</v>
      </c>
      <c r="M48" s="114">
        <f>IFERROR((L48+L49)/K48,0)</f>
        <v>3.78E-2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159.20500000000001</v>
      </c>
      <c r="Q48" s="14">
        <f>IF($E$8=2,P48*0.05,0)</f>
        <v>0</v>
      </c>
      <c r="R48" s="14">
        <f>IF($E$8=3,P48*0.15,0)</f>
        <v>23.880750000000003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1.5E-3</v>
      </c>
      <c r="G49" s="12">
        <f>IFERROR(VLOOKUP($E$48,FATORES!$B$19:$E$20,4),0)</f>
        <v>7.0000000000000001E-3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>
        <f>SUMIFS(REALIZADO[AT_ACESSORIOS_B],REALIZADO[PDV],'ST PADUA'!$M$7)</f>
        <v>378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3928.03</v>
      </c>
      <c r="D50" s="55">
        <v>5562</v>
      </c>
      <c r="E50" s="114">
        <f>IFERROR((D50+D51)/C50,0)</f>
        <v>1.415976965552707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83.429999999999993</v>
      </c>
      <c r="I50" s="64">
        <f t="shared" si="16"/>
        <v>222.48000000000002</v>
      </c>
      <c r="J50" s="64">
        <f t="shared" si="19"/>
        <v>305.91000000000003</v>
      </c>
      <c r="K50" s="113">
        <v>8500</v>
      </c>
      <c r="L50" s="55">
        <f>SUMIFS(REALIZADO[AT_ESSENCIAIS_A],REALIZADO[PDV],'ST PADUA'!$M$7)</f>
        <v>367</v>
      </c>
      <c r="M50" s="114">
        <f>IFERROR((L50+L51)/K50,0)</f>
        <v>0.10152941176470588</v>
      </c>
      <c r="N50" s="12">
        <f>IF($M$50&gt;=FATORES!$B$11,FATORES!D11,0)</f>
        <v>0</v>
      </c>
      <c r="O50" s="88">
        <f t="shared" si="17"/>
        <v>0</v>
      </c>
      <c r="P50" s="13">
        <f t="shared" si="21"/>
        <v>305.91000000000003</v>
      </c>
      <c r="Q50" s="14">
        <f>IF($F$8=2,P50*0.05,0)</f>
        <v>0</v>
      </c>
      <c r="R50" s="14">
        <f>IF($F$8=3,P50*0.15,0)</f>
        <v>45.886500000000005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f>SUMIFS(REALIZADO[AT_ESSENCIAIS_B],REALIZADO[PDV],'ST PADUA'!$M$7)</f>
        <v>496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365.08</v>
      </c>
      <c r="D52" s="55">
        <v>457.5</v>
      </c>
      <c r="E52" s="49">
        <f>IFERROR(D52/C52,0)</f>
        <v>1.2531499945217488</v>
      </c>
      <c r="F52" s="12">
        <f>VLOOKUP($E$52,FATORES!$O$4:$Q$6,3)</f>
        <v>0.05</v>
      </c>
      <c r="G52" s="12">
        <f>IFERROR(VLOOKUP($E$52,FATORES!$O$7:$Q$8,3),0)</f>
        <v>0.2</v>
      </c>
      <c r="H52" s="64">
        <f t="shared" si="18"/>
        <v>22.875</v>
      </c>
      <c r="I52" s="64">
        <f t="shared" si="16"/>
        <v>91.5</v>
      </c>
      <c r="J52" s="64">
        <f t="shared" si="19"/>
        <v>114.375</v>
      </c>
      <c r="K52" s="54">
        <v>780</v>
      </c>
      <c r="L52" s="55">
        <f>SUMIFS(REALIZADO[AT_SEGUROS],REALIZADO[PDV],'ST PADUA'!$M$7)</f>
        <v>51.8</v>
      </c>
      <c r="M52" s="49">
        <f t="shared" si="20"/>
        <v>6.6410256410256413E-2</v>
      </c>
      <c r="N52" s="12">
        <f>IF($M$52&gt;=FATORES!$O$9,FATORES!$Q$9,0)</f>
        <v>0</v>
      </c>
      <c r="O52" s="88">
        <f t="shared" si="17"/>
        <v>0</v>
      </c>
      <c r="P52" s="13">
        <f t="shared" si="21"/>
        <v>114.375</v>
      </c>
      <c r="Q52" s="14">
        <f>IF($G$8=2,P52*0.05,0)</f>
        <v>0</v>
      </c>
      <c r="R52" s="14">
        <f>IF($G$8=3,P52*0.15,0)</f>
        <v>17.15625</v>
      </c>
      <c r="S52" s="116"/>
      <c r="T52" s="119"/>
    </row>
    <row r="53" spans="2:20" x14ac:dyDescent="0.3">
      <c r="B53" s="47" t="s">
        <v>14</v>
      </c>
      <c r="C53" s="56">
        <v>323.48</v>
      </c>
      <c r="D53" s="57">
        <v>429.8</v>
      </c>
      <c r="E53" s="50">
        <f>IFERROR(D53/C53,0)</f>
        <v>1.3286756522814394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4.298</v>
      </c>
      <c r="I53" s="64">
        <f t="shared" si="16"/>
        <v>4.298</v>
      </c>
      <c r="J53" s="16">
        <f t="shared" si="19"/>
        <v>8.5960000000000001</v>
      </c>
      <c r="K53" s="56">
        <v>750</v>
      </c>
      <c r="L53" s="57">
        <f>SUMIFS(REALIZADO[AT_SVA],REALIZADO[PDV],'ST PADUA'!$M$7)</f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8.5960000000000001</v>
      </c>
      <c r="Q53" s="18">
        <f>IF($H$8=2,P53*0.05,0)</f>
        <v>0</v>
      </c>
      <c r="R53" s="18">
        <f>IF($H$8=3,P53*0.15,0)</f>
        <v>1.2893999999999999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2548.2419999999997</v>
      </c>
      <c r="Q54" s="69">
        <f t="shared" ref="Q54:R54" si="22">SUM(Q45:Q53)</f>
        <v>0</v>
      </c>
      <c r="R54" s="69">
        <f t="shared" si="22"/>
        <v>382.23629999999997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oC2BuoyTjW1Gxo6lBt+p2c0fHajgqRD2d0Dse9JWGA/puJNC9PX9hf+JaDj5YgXB6RbAGNlXwLTb/eeYDKpUjA==" saltValue="rpo2YDoSv+/Io51Xj7/JCA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631" priority="22" operator="between">
      <formula>0.7</formula>
      <formula>1</formula>
    </cfRule>
    <cfRule type="cellIs" dxfId="630" priority="23" operator="greaterThanOrEqual">
      <formula>1</formula>
    </cfRule>
    <cfRule type="cellIs" dxfId="629" priority="24" operator="lessThan">
      <formula>0.7</formula>
    </cfRule>
  </conditionalFormatting>
  <conditionalFormatting sqref="E30:E33 E35 E37:E38">
    <cfRule type="cellIs" dxfId="628" priority="10" operator="between">
      <formula>0.7</formula>
      <formula>1</formula>
    </cfRule>
    <cfRule type="cellIs" dxfId="627" priority="11" operator="greaterThanOrEqual">
      <formula>1</formula>
    </cfRule>
    <cfRule type="cellIs" dxfId="626" priority="12" operator="lessThan">
      <formula>0.7</formula>
    </cfRule>
  </conditionalFormatting>
  <conditionalFormatting sqref="E45:E48 E50 E52:E53">
    <cfRule type="cellIs" dxfId="625" priority="34" operator="between">
      <formula>0.7</formula>
      <formula>1</formula>
    </cfRule>
    <cfRule type="cellIs" dxfId="624" priority="35" operator="greaterThanOrEqual">
      <formula>1</formula>
    </cfRule>
    <cfRule type="cellIs" dxfId="623" priority="36" operator="lessThan">
      <formula>0.7</formula>
    </cfRule>
  </conditionalFormatting>
  <conditionalFormatting sqref="M15:M18">
    <cfRule type="cellIs" dxfId="622" priority="16" operator="between">
      <formula>0.7</formula>
      <formula>1</formula>
    </cfRule>
    <cfRule type="cellIs" dxfId="621" priority="17" operator="greaterThanOrEqual">
      <formula>1</formula>
    </cfRule>
    <cfRule type="cellIs" dxfId="620" priority="18" operator="lessThan">
      <formula>0.7</formula>
    </cfRule>
  </conditionalFormatting>
  <conditionalFormatting sqref="M20">
    <cfRule type="cellIs" dxfId="619" priority="13" operator="between">
      <formula>0.7</formula>
      <formula>1</formula>
    </cfRule>
    <cfRule type="cellIs" dxfId="618" priority="14" operator="greaterThanOrEqual">
      <formula>1</formula>
    </cfRule>
    <cfRule type="cellIs" dxfId="617" priority="15" operator="lessThan">
      <formula>0.7</formula>
    </cfRule>
  </conditionalFormatting>
  <conditionalFormatting sqref="M22:M23">
    <cfRule type="cellIs" dxfId="616" priority="19" operator="between">
      <formula>0.7</formula>
      <formula>1</formula>
    </cfRule>
    <cfRule type="cellIs" dxfId="615" priority="20" operator="greaterThanOrEqual">
      <formula>1</formula>
    </cfRule>
    <cfRule type="cellIs" dxfId="614" priority="21" operator="lessThan">
      <formula>0.7</formula>
    </cfRule>
  </conditionalFormatting>
  <conditionalFormatting sqref="M30:M33">
    <cfRule type="cellIs" dxfId="613" priority="4" operator="between">
      <formula>0.7</formula>
      <formula>1</formula>
    </cfRule>
    <cfRule type="cellIs" dxfId="612" priority="5" operator="greaterThanOrEqual">
      <formula>1</formula>
    </cfRule>
    <cfRule type="cellIs" dxfId="611" priority="6" operator="lessThan">
      <formula>0.7</formula>
    </cfRule>
  </conditionalFormatting>
  <conditionalFormatting sqref="M35">
    <cfRule type="cellIs" dxfId="610" priority="1" operator="between">
      <formula>0.7</formula>
      <formula>1</formula>
    </cfRule>
    <cfRule type="cellIs" dxfId="609" priority="2" operator="greaterThanOrEqual">
      <formula>1</formula>
    </cfRule>
    <cfRule type="cellIs" dxfId="608" priority="3" operator="lessThan">
      <formula>0.7</formula>
    </cfRule>
  </conditionalFormatting>
  <conditionalFormatting sqref="M37:M38">
    <cfRule type="cellIs" dxfId="607" priority="7" operator="between">
      <formula>0.7</formula>
      <formula>1</formula>
    </cfRule>
    <cfRule type="cellIs" dxfId="606" priority="8" operator="greaterThanOrEqual">
      <formula>1</formula>
    </cfRule>
    <cfRule type="cellIs" dxfId="605" priority="9" operator="lessThan">
      <formula>0.7</formula>
    </cfRule>
  </conditionalFormatting>
  <conditionalFormatting sqref="M45:M48">
    <cfRule type="cellIs" dxfId="604" priority="28" operator="between">
      <formula>0.7</formula>
      <formula>1</formula>
    </cfRule>
    <cfRule type="cellIs" dxfId="603" priority="29" operator="greaterThanOrEqual">
      <formula>1</formula>
    </cfRule>
    <cfRule type="cellIs" dxfId="602" priority="30" operator="lessThan">
      <formula>0.7</formula>
    </cfRule>
  </conditionalFormatting>
  <conditionalFormatting sqref="M50">
    <cfRule type="cellIs" dxfId="601" priority="25" operator="between">
      <formula>0.7</formula>
      <formula>1</formula>
    </cfRule>
    <cfRule type="cellIs" dxfId="600" priority="26" operator="greaterThanOrEqual">
      <formula>1</formula>
    </cfRule>
    <cfRule type="cellIs" dxfId="599" priority="27" operator="lessThan">
      <formula>0.7</formula>
    </cfRule>
  </conditionalFormatting>
  <conditionalFormatting sqref="M52:M53">
    <cfRule type="cellIs" dxfId="598" priority="31" operator="between">
      <formula>0.7</formula>
      <formula>1</formula>
    </cfRule>
    <cfRule type="cellIs" dxfId="597" priority="32" operator="greaterThanOrEqual">
      <formula>1</formula>
    </cfRule>
    <cfRule type="cellIs" dxfId="596" priority="33" operator="lessThan">
      <formula>0.7</formula>
    </cfRule>
  </conditionalFormatting>
  <dataValidations count="1">
    <dataValidation type="list" allowBlank="1" showInputMessage="1" showErrorMessage="1" sqref="B8:H8" xr:uid="{3787D43B-B698-41E0-8FE8-B75340887323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53865C-C46C-48F0-89EE-97FA2A9C8BE9}">
          <x14:formula1>
            <xm:f>HC!$AK$2:$AK$4</xm:f>
          </x14:formula1>
          <xm:sqref>J7:K7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91A4-2FC2-4C57-A677-58DB1DA82495}">
  <dimension ref="B1:X54"/>
  <sheetViews>
    <sheetView topLeftCell="A6" workbookViewId="0">
      <selection activeCell="N8" sqref="N8"/>
    </sheetView>
  </sheetViews>
  <sheetFormatPr defaultRowHeight="14.4" x14ac:dyDescent="0.3"/>
  <cols>
    <col min="1" max="1" width="2" customWidth="1"/>
    <col min="2" max="2" width="16.44140625" customWidth="1"/>
    <col min="3" max="4" width="16" customWidth="1"/>
    <col min="5" max="5" width="11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" customWidth="1"/>
    <col min="13" max="13" width="11.77734375" customWidth="1"/>
    <col min="14" max="14" width="20.5546875" customWidth="1"/>
    <col min="15" max="15" width="21" customWidth="1"/>
    <col min="16" max="16" width="15.21875" customWidth="1"/>
    <col min="17" max="19" width="16.21875" customWidth="1"/>
    <col min="20" max="20" width="18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144</v>
      </c>
      <c r="K7" s="179"/>
      <c r="M7" s="178" t="s">
        <v>48</v>
      </c>
      <c r="N7" s="179"/>
      <c r="P7" s="74" t="s">
        <v>45</v>
      </c>
      <c r="T7" s="60"/>
    </row>
    <row r="8" spans="2:24" x14ac:dyDescent="0.3">
      <c r="B8" s="62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5">
        <v>3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3159.7222000000002</v>
      </c>
      <c r="D15" s="76">
        <f>_xlfn.XLOOKUP($J$7,PROJEÇÃO[CONSULTOR],PROJEÇÃO[PROJ_MOVEL])</f>
        <v>4203.2500000000018</v>
      </c>
      <c r="E15" s="48">
        <f>IFERROR(D15/C15,0)</f>
        <v>1.3302593500150113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336.26000000000016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630.4875000000003</v>
      </c>
      <c r="J15" s="9">
        <f>H15+I15</f>
        <v>966.7475000000004</v>
      </c>
      <c r="K15" s="75">
        <f>SUMIFS(REALIZADO[META_MOVEL],REALIZADO[PDV],MONTSERRAT!$M$7)</f>
        <v>22750</v>
      </c>
      <c r="L15" s="76">
        <f>SUMIFS(PROJEÇÃO[PROJ_MOVEL],PROJEÇÃO[PDV],MONTSERRAT!$M$7)</f>
        <v>21060.060000000009</v>
      </c>
      <c r="M15" s="48">
        <f>IFERROR(L15/K15,0)</f>
        <v>0.92571692307692344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966.7475000000004</v>
      </c>
      <c r="Q15" s="11">
        <f>IF($B$8=2,P15*0.05,0)</f>
        <v>0</v>
      </c>
      <c r="R15" s="11">
        <f>IF($B$8=3,P15*0.15,0)</f>
        <v>145.01212500000005</v>
      </c>
      <c r="S15" s="115">
        <v>0.1</v>
      </c>
      <c r="T15" s="143">
        <f>SUM(P24:S24)</f>
        <v>4295.4452585000026</v>
      </c>
    </row>
    <row r="16" spans="2:24" x14ac:dyDescent="0.3">
      <c r="B16" s="45" t="s">
        <v>13</v>
      </c>
      <c r="C16" s="75">
        <f>_xlfn.XLOOKUP($J$7,REALIZADO[CONSULTOR],REALIZADO[META_FIXA])</f>
        <v>1333.3333</v>
      </c>
      <c r="D16" s="76">
        <f>_xlfn.XLOOKUP($J$7,PROJEÇÃO[CONSULTOR],PROJEÇÃO[PROJ_FIXA])</f>
        <v>2714.9800000000014</v>
      </c>
      <c r="E16" s="49">
        <f>IFERROR(D16/C16,0)</f>
        <v>2.0362350509058773</v>
      </c>
      <c r="F16" s="12">
        <f>VLOOKUP($E$16,FATORES!$I$12:$K$14,3)</f>
        <v>0.08</v>
      </c>
      <c r="G16" s="12">
        <f>IFERROR(VLOOKUP($E$16,FATORES!$I$15:$K$16,3),0)</f>
        <v>0.2</v>
      </c>
      <c r="H16" s="64">
        <f t="shared" ref="H16:H23" si="2">D16*F16</f>
        <v>217.19840000000011</v>
      </c>
      <c r="I16" s="64">
        <f t="shared" si="0"/>
        <v>542.99600000000032</v>
      </c>
      <c r="J16" s="64">
        <f t="shared" ref="J16:J23" si="3">H16+I16</f>
        <v>760.19440000000043</v>
      </c>
      <c r="K16" s="75">
        <f>SUMIFS(REALIZADO[META_FIXA],REALIZADO[PDV],MONTSERRAT!$M$7)</f>
        <v>9600</v>
      </c>
      <c r="L16" s="76">
        <f>SUMIFS(PROJEÇÃO[PROJ_FIXA],PROJEÇÃO[PDV],MONTSERRAT!$M$7)</f>
        <v>12323.960000000005</v>
      </c>
      <c r="M16" s="49">
        <f t="shared" ref="M16:M17" si="4">IFERROR(L16/K16,0)</f>
        <v>1.2837458333333338</v>
      </c>
      <c r="N16" s="12">
        <f>IF($M$17&gt;=FATORES!$I$17,FATORES!$K$17,0)</f>
        <v>0.15</v>
      </c>
      <c r="O16" s="88">
        <f t="shared" si="1"/>
        <v>407.24700000000018</v>
      </c>
      <c r="P16" s="13">
        <f t="shared" ref="P16:P23" si="5">J16+O16</f>
        <v>1167.4414000000006</v>
      </c>
      <c r="Q16" s="14">
        <f>IF($C$8=2,P16*0.05,0)</f>
        <v>0</v>
      </c>
      <c r="R16" s="14">
        <f>IF($C$8=3,P16*0.15,0)</f>
        <v>175.11621000000008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68055.555600000007</v>
      </c>
      <c r="D17" s="76">
        <f>_xlfn.XLOOKUP($J$7,PROJEÇÃO[CONSULTOR],PROJEÇÃO[PROJ_APARELHO])</f>
        <v>111710.00000000004</v>
      </c>
      <c r="E17" s="49">
        <f>IFERROR(D17/C17,0)</f>
        <v>1.641453060152521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167.56500000000008</v>
      </c>
      <c r="I17" s="64">
        <f t="shared" si="0"/>
        <v>223.4200000000001</v>
      </c>
      <c r="J17" s="64">
        <f t="shared" si="3"/>
        <v>390.98500000000018</v>
      </c>
      <c r="K17" s="52">
        <f>SUMIFS(REALIZADO[META_SMARTPHONE],REALIZADO[PDV],MONTSERRAT!$M$7)</f>
        <v>490000</v>
      </c>
      <c r="L17" s="77">
        <f>SUMIFS(PROJEÇÃO[PROJ_APARELHO],PROJEÇÃO[PDV],MONTSERRAT!$M$7)</f>
        <v>521716.00000000012</v>
      </c>
      <c r="M17" s="49">
        <f t="shared" si="4"/>
        <v>1.0647265306122451</v>
      </c>
      <c r="N17" s="12">
        <f>IF($M$17&gt;=FATORES!$B$28,FATORES!$D$28,0)</f>
        <v>2.5000000000000001E-3</v>
      </c>
      <c r="O17" s="88">
        <f t="shared" si="1"/>
        <v>279.27500000000009</v>
      </c>
      <c r="P17" s="13">
        <f t="shared" si="5"/>
        <v>670.26000000000022</v>
      </c>
      <c r="Q17" s="14">
        <f>IF($D$8=2,P17*0.05,0)</f>
        <v>0</v>
      </c>
      <c r="R17" s="14">
        <f>IF($D$8=3,P17*0.15,0)</f>
        <v>100.53900000000003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6944.4444000000003</v>
      </c>
      <c r="D18" s="77">
        <f>_xlfn.XLOOKUP($J$7,PROJEÇÃO[CONSULTOR],PROJEÇÃO[PROJ_ELETRO_A])</f>
        <v>0</v>
      </c>
      <c r="E18" s="140">
        <f>IFERROR((D18+D19)/C18,0)</f>
        <v>2.4318720155639819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SUMIFS(REALIZADO[META_ACESSORIO],REALIZADO[PDV],MONTSERRAT!$M$7)</f>
        <v>50000</v>
      </c>
      <c r="L18" s="86">
        <f>SUMIFS(PROJEÇÃO[PROJ_ELETRO_A],PROJEÇÃO[PDV],MONTSERRAT!$M$7)</f>
        <v>277.00000000000011</v>
      </c>
      <c r="M18" s="114">
        <f>IFERROR((L18+L19)/K18,0)</f>
        <v>1.3678000000000006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16888.000000000007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25.332000000000011</v>
      </c>
      <c r="I19" s="64">
        <f t="shared" si="0"/>
        <v>118.21600000000005</v>
      </c>
      <c r="J19" s="64">
        <f t="shared" si="3"/>
        <v>143.54800000000006</v>
      </c>
      <c r="K19" s="142"/>
      <c r="L19" s="87">
        <f>SUMIFS(PROJEÇÃO[PROJ_ELETRO_B],PROJEÇÃO[PDV],MONTSERRAT!$M$7)</f>
        <v>68113.000000000029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143.54800000000006</v>
      </c>
      <c r="Q19" s="14">
        <f>IF($E$8=2,P19*0.05,0)</f>
        <v>0</v>
      </c>
      <c r="R19" s="14">
        <f>IF($E$8=3,P19*0.15,0)</f>
        <v>21.532200000000007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4166.6666999999998</v>
      </c>
      <c r="D20" s="77">
        <f>_xlfn.XLOOKUP($J$7,PROJEÇÃO[CONSULTOR],PROJEÇÃO[PROJ_ESSEN_A])</f>
        <v>2142.0000000000009</v>
      </c>
      <c r="E20" s="140">
        <f>IFERROR((D20+D21)/C20,0)</f>
        <v>1.5472799876217609</v>
      </c>
      <c r="F20" s="12">
        <f>VLOOKUP($E$20,FATORES!$B$6:$E$8,3)</f>
        <v>1.4999999999999999E-2</v>
      </c>
      <c r="G20" s="12">
        <f>IFERROR(VLOOKUP($E$20,FATORES!$B$9:$E$10,3),0)</f>
        <v>0.05</v>
      </c>
      <c r="H20" s="64">
        <f t="shared" si="2"/>
        <v>32.13000000000001</v>
      </c>
      <c r="I20" s="64">
        <f t="shared" si="0"/>
        <v>107.10000000000005</v>
      </c>
      <c r="J20" s="64">
        <f t="shared" si="3"/>
        <v>139.23000000000008</v>
      </c>
      <c r="K20" s="141">
        <f>SUMIFS(REALIZADO[META_ESSENCIAIS],REALIZADO[PDV],MONTSERRAT!$M$7)</f>
        <v>30000</v>
      </c>
      <c r="L20" s="86">
        <f>SUMIFS(PROJEÇÃO[PROJ_ESSEN_A],PROJEÇÃO[PDV],MONTSERRAT!$M$7)</f>
        <v>13014.000000000004</v>
      </c>
      <c r="M20" s="114">
        <f>IFERROR((L20+L21)/K20,0)</f>
        <v>1.0146000000000004</v>
      </c>
      <c r="N20" s="12">
        <f>IF($M$20&gt;=FATORES!$B$11,FATORES!$D$11,0)</f>
        <v>1.4999999999999999E-2</v>
      </c>
      <c r="O20" s="88">
        <f t="shared" si="1"/>
        <v>32.13000000000001</v>
      </c>
      <c r="P20" s="13">
        <f t="shared" si="5"/>
        <v>171.36000000000007</v>
      </c>
      <c r="Q20" s="14">
        <f>IF($F$8=2,P20*0.05,0)</f>
        <v>0</v>
      </c>
      <c r="R20" s="14">
        <f>IF($F$8=3,P20*0.15,0)</f>
        <v>25.704000000000011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4305.0000000000018</v>
      </c>
      <c r="E21" s="140"/>
      <c r="F21" s="12">
        <f>VLOOKUP($E$20,FATORES!$B$6:$E$8,4)</f>
        <v>0.01</v>
      </c>
      <c r="G21" s="12">
        <f>IFERROR(VLOOKUP($E$20,FATORES!$B$9:$E$10,4),0)</f>
        <v>0.02</v>
      </c>
      <c r="H21" s="64">
        <f t="shared" si="2"/>
        <v>43.050000000000018</v>
      </c>
      <c r="I21" s="64">
        <f t="shared" si="0"/>
        <v>86.100000000000037</v>
      </c>
      <c r="J21" s="64">
        <f t="shared" si="3"/>
        <v>129.15000000000006</v>
      </c>
      <c r="K21" s="142"/>
      <c r="L21" s="87">
        <f>SUMIFS(PROJEÇÃO[PROJ_ESSEN_B],PROJEÇÃO[PDV],MONTSERRAT!$M$7)</f>
        <v>17424.000000000007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129.15000000000006</v>
      </c>
      <c r="Q21" s="14">
        <f>IF($F$8=2,P21*0.05,0)</f>
        <v>0</v>
      </c>
      <c r="R21" s="14">
        <f>IF($F$8=3,P21*0.15,0)</f>
        <v>19.372500000000009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423.61110000000002</v>
      </c>
      <c r="D22" s="81">
        <f>_xlfn.XLOOKUP($J$7,PROJEÇÃO[CONSULTOR],PROJEÇÃO[PROJ_SEGURO])</f>
        <v>536.10000000000014</v>
      </c>
      <c r="E22" s="83">
        <f>IFERROR(D22/C22,0)</f>
        <v>1.2655475741782973</v>
      </c>
      <c r="F22" s="83">
        <f>VLOOKUP($E$22,FATORES!$O$4:$Q$6,3)</f>
        <v>0.05</v>
      </c>
      <c r="G22" s="12">
        <f>IFERROR(VLOOKUP($E$22,FATORES!$O$7:$Q$8,3),0)</f>
        <v>0.2</v>
      </c>
      <c r="H22" s="64">
        <f t="shared" si="2"/>
        <v>26.805000000000007</v>
      </c>
      <c r="I22" s="64">
        <f t="shared" si="0"/>
        <v>107.22000000000003</v>
      </c>
      <c r="J22" s="64">
        <f t="shared" si="3"/>
        <v>134.02500000000003</v>
      </c>
      <c r="K22" s="56">
        <f>SUMIFS(REALIZADO[META_SEGUROS],REALIZADO[PDV],MONTSERRAT!$M$7)</f>
        <v>3050</v>
      </c>
      <c r="L22" s="78">
        <f>SUMIFS(PROJEÇÃO[PROJ_SEGURO],PROJEÇÃO[PDV],MONTSERRAT!$M$7)</f>
        <v>3030.6000000000013</v>
      </c>
      <c r="M22" s="49">
        <f t="shared" ref="M22:M23" si="6">IFERROR(L22/K22,0)</f>
        <v>0.9936393442622955</v>
      </c>
      <c r="N22" s="12">
        <f>IF($M$22&gt;=FATORES!$O$9,FATORES!$Q$9,0)</f>
        <v>0</v>
      </c>
      <c r="O22" s="88">
        <f t="shared" si="1"/>
        <v>0</v>
      </c>
      <c r="P22" s="13">
        <f t="shared" si="5"/>
        <v>134.02500000000003</v>
      </c>
      <c r="Q22" s="14">
        <f>IF($G$8=2,P22*0.05,0)</f>
        <v>0</v>
      </c>
      <c r="R22" s="14">
        <f>IF($G$8=3,P22*0.15,0)</f>
        <v>20.103750000000005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395.83330000000001</v>
      </c>
      <c r="D23" s="57">
        <f>_xlfn.XLOOKUP($J$7,PROJEÇÃO[CONSULTOR],PROJEÇÃO[PROJ_SVA])</f>
        <v>653.85000000000025</v>
      </c>
      <c r="E23" s="82">
        <f>IFERROR(D23/C23,0)</f>
        <v>1.6518317180489874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6.5385000000000026</v>
      </c>
      <c r="I23" s="64">
        <f t="shared" si="0"/>
        <v>6.5385000000000026</v>
      </c>
      <c r="J23" s="16">
        <f t="shared" si="3"/>
        <v>13.077000000000005</v>
      </c>
      <c r="K23" s="75">
        <f>SUMIFS(REALIZADO[META_SVA],REALIZADO[PDV],MONTSERRAT!$M$7)</f>
        <v>2850</v>
      </c>
      <c r="L23" s="76">
        <f>SUMIFS(PROJEÇÃO[PROJ_SVA],PROJEÇÃO[PDV],MONTSERRAT!$M$7)</f>
        <v>2770.6400000000008</v>
      </c>
      <c r="M23" s="50">
        <f t="shared" si="6"/>
        <v>0.97215438596491255</v>
      </c>
      <c r="N23" s="15">
        <f>IF($M$23&gt;=FATORES!$O$17,FATORES!$Q$17,0)</f>
        <v>0</v>
      </c>
      <c r="O23" s="88">
        <f t="shared" si="1"/>
        <v>0</v>
      </c>
      <c r="P23" s="17">
        <f t="shared" si="5"/>
        <v>13.077000000000005</v>
      </c>
      <c r="Q23" s="18">
        <f>IF($H$8=2,P23*0.05,0)</f>
        <v>0</v>
      </c>
      <c r="R23" s="18">
        <f>IF($H$8=3,P23*0.15,0)</f>
        <v>1.9615500000000008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3395.608900000002</v>
      </c>
      <c r="Q24" s="69">
        <f t="shared" ref="Q24:R24" si="7">SUM(Q15:Q23)</f>
        <v>0</v>
      </c>
      <c r="R24" s="69">
        <f t="shared" si="7"/>
        <v>509.34133500000013</v>
      </c>
      <c r="S24" s="70">
        <f>IF($P$7="ARIEL",IF(MIN(E15,E17,E18,E19,E20,E22,E23)&gt;=100%,SUM(P24:R24)*S15,""),IF(MIN(E15:E23)&gt;=100%,SUM(P24:R24)*S15,""))</f>
        <v>390.49502350000023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3159.7222000000002</v>
      </c>
      <c r="D30" s="76">
        <f>_xlfn.XLOOKUP($J$7,REALIZADO[CONSULTOR],REALIZADO[AT_MOVEL])</f>
        <v>1185</v>
      </c>
      <c r="E30" s="48">
        <f>IFERROR(D30/C30,0)</f>
        <v>0.37503296967056154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11.85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11.85</v>
      </c>
      <c r="K30" s="75">
        <f>SUMIFS(REALIZADO[META_MOVEL],REALIZADO[PDV],MONTSERRAT!$M$7)</f>
        <v>22750</v>
      </c>
      <c r="L30" s="76">
        <f>SUMIFS(REALIZADO[AT_MOVEL],REALIZADO[PDV],MONTSERRAT!$M$7)</f>
        <v>3826.51</v>
      </c>
      <c r="M30" s="48">
        <f>IFERROR(L30/K30,0)</f>
        <v>0.16819824175824177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11.85</v>
      </c>
      <c r="Q30" s="11">
        <f>IF($B$8=2,P30*0.05,0)</f>
        <v>0</v>
      </c>
      <c r="R30" s="11">
        <f>IF($B$8=3,P30*0.15,0)</f>
        <v>1.7774999999999999</v>
      </c>
      <c r="S30" s="115">
        <v>0.1</v>
      </c>
      <c r="T30" s="143">
        <f>SUM(P39:S39)</f>
        <v>53.811375000000005</v>
      </c>
    </row>
    <row r="31" spans="2:20" x14ac:dyDescent="0.3">
      <c r="B31" s="45" t="s">
        <v>13</v>
      </c>
      <c r="C31" s="75">
        <f>_xlfn.XLOOKUP($J$7,REALIZADO[CONSULTOR],REALIZADO[META_FIXA])</f>
        <v>1333.3333</v>
      </c>
      <c r="D31" s="76">
        <f>_xlfn.XLOOKUP($J$7,REALIZADO[CONSULTOR],REALIZADO[AT_FIXA])</f>
        <v>220</v>
      </c>
      <c r="E31" s="49">
        <f>IFERROR(D31/C31,0)</f>
        <v>0.1650000041250001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2.2000000000000002</v>
      </c>
      <c r="I31" s="64">
        <f t="shared" si="8"/>
        <v>0</v>
      </c>
      <c r="J31" s="64">
        <f t="shared" ref="J31:J38" si="11">H31+I31</f>
        <v>2.2000000000000002</v>
      </c>
      <c r="K31" s="75">
        <f>SUMIFS(REALIZADO[META_FIXA],REALIZADO[PDV],MONTSERRAT!$M$7)</f>
        <v>9600</v>
      </c>
      <c r="L31" s="76">
        <f>SUMIFS(REALIZADO[AT_FIXA],REALIZADO[PDV],MONTSERRAT!$M$7)</f>
        <v>1654</v>
      </c>
      <c r="M31" s="49">
        <f t="shared" ref="M31:M32" si="12">IFERROR(L31/K31,0)</f>
        <v>0.17229166666666668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2.2000000000000002</v>
      </c>
      <c r="Q31" s="14">
        <f>IF($C$8=2,P31*0.05,0)</f>
        <v>0</v>
      </c>
      <c r="R31" s="14">
        <f>IF($C$8=3,P31*0.15,0)</f>
        <v>0.33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68055.555600000007</v>
      </c>
      <c r="D32" s="76">
        <f>_xlfn.XLOOKUP($J$7,REALIZADO[CONSULTOR],REALIZADO[AT_SMARTPHONE])</f>
        <v>44892</v>
      </c>
      <c r="E32" s="49">
        <f>IFERROR(D32/C32,0)</f>
        <v>0.65963755058962437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22.446000000000002</v>
      </c>
      <c r="I32" s="64">
        <f t="shared" si="8"/>
        <v>0</v>
      </c>
      <c r="J32" s="64">
        <f t="shared" si="11"/>
        <v>22.446000000000002</v>
      </c>
      <c r="K32" s="52">
        <f>SUMIFS(REALIZADO[META_SMARTPHONE],REALIZADO[PDV],MONTSERRAT!$M$7)</f>
        <v>490000</v>
      </c>
      <c r="L32" s="77">
        <f>SUMIFS(REALIZADO[AT_SMARTPHONE],REALIZADO[PDV],MONTSERRAT!$M$7)</f>
        <v>106102</v>
      </c>
      <c r="M32" s="49">
        <f t="shared" si="12"/>
        <v>0.21653469387755103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22.446000000000002</v>
      </c>
      <c r="Q32" s="14">
        <f>IF($D$8=2,P32*0.05,0)</f>
        <v>0</v>
      </c>
      <c r="R32" s="14">
        <f>IF($D$8=3,P32*0.15,0)</f>
        <v>3.3669000000000002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6944.4444000000003</v>
      </c>
      <c r="D33" s="77">
        <f>_xlfn.XLOOKUP($J$7,REALIZADO[CONSULTOR],REALIZADO[AT_ACESSORIOS_A])</f>
        <v>0</v>
      </c>
      <c r="E33" s="140">
        <f>IFERROR((D33+D34)/C33,0)</f>
        <v>0.20548800131512321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SUMIFS(REALIZADO[META_ACESSORIO],REALIZADO[PDV],MONTSERRAT!$M$7)</f>
        <v>50000</v>
      </c>
      <c r="L33" s="86">
        <f>SUMIFS(REALIZADO[AT_ACESSORIOS_A],REALIZADO[PDV],MONTSERRAT!$M$7)</f>
        <v>0</v>
      </c>
      <c r="M33" s="114">
        <f>IFERROR((L33+L34)/K33,0)</f>
        <v>5.1279999999999999E-2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1427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0.71350000000000002</v>
      </c>
      <c r="I34" s="64">
        <f t="shared" si="8"/>
        <v>0</v>
      </c>
      <c r="J34" s="64">
        <f t="shared" si="11"/>
        <v>0.71350000000000002</v>
      </c>
      <c r="K34" s="142"/>
      <c r="L34" s="87">
        <f>SUMIFS(REALIZADO[AT_ACESSORIOS_B],REALIZADO[PDV],MONTSERRAT!$M$7)</f>
        <v>2564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0.71350000000000002</v>
      </c>
      <c r="Q34" s="14">
        <f>IF($E$8=2,P34*0.05,0)</f>
        <v>0</v>
      </c>
      <c r="R34" s="14">
        <f>IF($E$8=3,P34*0.15,0)</f>
        <v>0.107025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4166.6666999999998</v>
      </c>
      <c r="D35" s="77">
        <f>_xlfn.XLOOKUP($J$7,REALIZADO[CONSULTOR],REALIZADO[AT_ESSENCIAIS_A])</f>
        <v>892</v>
      </c>
      <c r="E35" s="140">
        <f>IFERROR((D35+D36)/C35,0)</f>
        <v>0.50999999592000012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4.46</v>
      </c>
      <c r="I35" s="64">
        <f t="shared" si="8"/>
        <v>0</v>
      </c>
      <c r="J35" s="64">
        <f t="shared" si="11"/>
        <v>4.46</v>
      </c>
      <c r="K35" s="141">
        <f>SUMIFS(REALIZADO[META_ESSENCIAIS],REALIZADO[PDV],MONTSERRAT!$M$7)</f>
        <v>30000</v>
      </c>
      <c r="L35" s="86">
        <f>SUMIFS(REALIZADO[AT_ESSENCIAIS_A],REALIZADO[PDV],MONTSERRAT!$M$7)</f>
        <v>3319</v>
      </c>
      <c r="M35" s="114">
        <f>IFERROR((L35+L36)/K35,0)</f>
        <v>0.20103333333333334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4.46</v>
      </c>
      <c r="Q35" s="14">
        <f>IF($F$8=2,P35*0.05,0)</f>
        <v>0</v>
      </c>
      <c r="R35" s="14">
        <f>IF($F$8=3,P35*0.15,0)</f>
        <v>0.66899999999999993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1233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2.4660000000000002</v>
      </c>
      <c r="I36" s="64">
        <f t="shared" si="8"/>
        <v>0</v>
      </c>
      <c r="J36" s="64">
        <f t="shared" si="11"/>
        <v>2.4660000000000002</v>
      </c>
      <c r="K36" s="142"/>
      <c r="L36" s="87">
        <f>SUMIFS(REALIZADO[AT_ESSENCIAIS_B],REALIZADO[PDV],MONTSERRAT!$M$7)</f>
        <v>2712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2.4660000000000002</v>
      </c>
      <c r="Q36" s="14">
        <f>IF($F$8=2,P36*0.05,0)</f>
        <v>0</v>
      </c>
      <c r="R36" s="14">
        <f>IF($F$8=3,P36*0.15,0)</f>
        <v>0.36990000000000001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423.61110000000002</v>
      </c>
      <c r="D37" s="81">
        <f>_xlfn.XLOOKUP($J$7,REALIZADO[CONSULTOR],REALIZADO[AT_SEGUROS])</f>
        <v>215.7</v>
      </c>
      <c r="E37" s="83">
        <f>IFERROR(D37/C37,0)</f>
        <v>0.50919345597884469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2.157</v>
      </c>
      <c r="I37" s="64">
        <f t="shared" si="8"/>
        <v>0</v>
      </c>
      <c r="J37" s="64">
        <f t="shared" si="11"/>
        <v>2.157</v>
      </c>
      <c r="K37" s="56">
        <f>SUMIFS(REALIZADO[META_SEGUROS],REALIZADO[PDV],MONTSERRAT!$M$7)</f>
        <v>3050</v>
      </c>
      <c r="L37" s="78">
        <f>SUMIFS(REALIZADO[AT_SEGUROS],REALIZADO[PDV],MONTSERRAT!$M$7)</f>
        <v>530.09999999999991</v>
      </c>
      <c r="M37" s="49">
        <f t="shared" ref="M37:M38" si="14">IFERROR(L37/K37,0)</f>
        <v>0.17380327868852455</v>
      </c>
      <c r="N37" s="12">
        <f>IF($M$37&gt;=FATORES!$O$9,FATORES!$Q$9,0)</f>
        <v>0</v>
      </c>
      <c r="O37" s="88">
        <f t="shared" si="9"/>
        <v>0</v>
      </c>
      <c r="P37" s="13">
        <f t="shared" si="13"/>
        <v>2.157</v>
      </c>
      <c r="Q37" s="14">
        <f>IF($G$8=2,P37*0.05,0)</f>
        <v>0</v>
      </c>
      <c r="R37" s="14">
        <f>IF($G$8=3,P37*0.15,0)</f>
        <v>0.32355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395.83330000000001</v>
      </c>
      <c r="D38" s="57">
        <f>_xlfn.XLOOKUP($J$7,REALIZADO[CONSULTOR],REALIZADO[AT_SVA])</f>
        <v>50</v>
      </c>
      <c r="E38" s="82">
        <f>IFERROR(D38/C38,0)</f>
        <v>0.12631580011080421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0.5</v>
      </c>
      <c r="I38" s="64">
        <f t="shared" si="8"/>
        <v>0</v>
      </c>
      <c r="J38" s="16">
        <f t="shared" si="11"/>
        <v>0.5</v>
      </c>
      <c r="K38" s="75">
        <f>SUMIFS(REALIZADO[META_SVA],REALIZADO[PDV],MONTSERRAT!$M$7)</f>
        <v>2850</v>
      </c>
      <c r="L38" s="76">
        <f>SUMIFS(REALIZADO[AT_SVA],REALIZADO[PDV],MONTSERRAT!$M$7)</f>
        <v>650.89</v>
      </c>
      <c r="M38" s="50">
        <f t="shared" si="14"/>
        <v>0.22838245614035088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0.5</v>
      </c>
      <c r="Q38" s="18">
        <f>IF($H$8=2,P38*0.05,0)</f>
        <v>0</v>
      </c>
      <c r="R38" s="18">
        <f>IF($H$8=3,P38*0.15,0)</f>
        <v>7.4999999999999997E-2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46.792500000000004</v>
      </c>
      <c r="Q39" s="69">
        <f t="shared" ref="Q39:R39" si="15">SUM(Q30:Q38)</f>
        <v>0</v>
      </c>
      <c r="R39" s="69">
        <f t="shared" si="15"/>
        <v>7.0188750000000004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2066.67</v>
      </c>
      <c r="D45" s="53"/>
      <c r="E45" s="48">
        <f>IFERROR(D45/C45,0)</f>
        <v>0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2"/>
      <c r="L45" s="53"/>
      <c r="M45" s="48">
        <f>IFERROR(L45/K45,0)</f>
        <v>0</v>
      </c>
      <c r="N45" s="8">
        <f>IF($M$45&gt;=FATORES!$I$9,FATORES!$K$9,0)</f>
        <v>0</v>
      </c>
      <c r="O45" s="88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0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7">D46*F46</f>
        <v>0</v>
      </c>
      <c r="I46" s="64">
        <f t="shared" si="16"/>
        <v>0</v>
      </c>
      <c r="J46" s="64">
        <f t="shared" ref="J46:J53" si="18">H46+I46</f>
        <v>0</v>
      </c>
      <c r="K46" s="54"/>
      <c r="L46" s="55"/>
      <c r="M46" s="49">
        <f t="shared" ref="M46:M53" si="19">IFERROR(L46/K46,0)</f>
        <v>0</v>
      </c>
      <c r="N46" s="12">
        <f>IF($M$46&gt;=FATORES!$I$17,FATORES!$K$17,0)</f>
        <v>0</v>
      </c>
      <c r="O46" s="88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/>
      <c r="D47" s="55"/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7"/>
        <v>0</v>
      </c>
      <c r="I47" s="64">
        <f t="shared" si="16"/>
        <v>0</v>
      </c>
      <c r="J47" s="64">
        <f t="shared" si="18"/>
        <v>0</v>
      </c>
      <c r="K47" s="54"/>
      <c r="L47" s="55"/>
      <c r="M47" s="49">
        <f t="shared" si="19"/>
        <v>0</v>
      </c>
      <c r="N47" s="12">
        <f>IF($M$47&gt;=FATORES!$B$28,FATORES!$D$28,0)</f>
        <v>0</v>
      </c>
      <c r="O47" s="88">
        <f t="shared" si="20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1"/>
      <c r="D48" s="55"/>
      <c r="E48" s="114">
        <f>IFERROR((D48+D49)/C48,0)</f>
        <v>0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7"/>
        <v>0</v>
      </c>
      <c r="I48" s="64">
        <f t="shared" si="16"/>
        <v>0</v>
      </c>
      <c r="J48" s="64">
        <f t="shared" si="18"/>
        <v>0</v>
      </c>
      <c r="K48" s="113"/>
      <c r="L48" s="55"/>
      <c r="M48" s="114">
        <f>IFERROR((L48+L49)/K48,0)</f>
        <v>0</v>
      </c>
      <c r="N48" s="12">
        <f>IF($M$48&gt;=FATORES!$B$21,FATORES!$D$21,0)</f>
        <v>0</v>
      </c>
      <c r="O48" s="88">
        <f t="shared" si="20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1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7"/>
        <v>0</v>
      </c>
      <c r="I49" s="64">
        <f t="shared" si="16"/>
        <v>0</v>
      </c>
      <c r="J49" s="64">
        <f t="shared" si="18"/>
        <v>0</v>
      </c>
      <c r="K49" s="113"/>
      <c r="L49" s="55"/>
      <c r="M49" s="114"/>
      <c r="N49" s="12">
        <f>IF($M$48&gt;=FATORES!$B$21,FATORES!$E$21,0)</f>
        <v>0</v>
      </c>
      <c r="O49" s="88">
        <f t="shared" si="20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1"/>
      <c r="D50" s="55"/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7"/>
        <v>0</v>
      </c>
      <c r="I50" s="64">
        <f t="shared" si="16"/>
        <v>0</v>
      </c>
      <c r="J50" s="64">
        <f t="shared" si="18"/>
        <v>0</v>
      </c>
      <c r="K50" s="113"/>
      <c r="L50" s="55"/>
      <c r="M50" s="114">
        <f>IFERROR((L50+L51)/K50,0)</f>
        <v>0</v>
      </c>
      <c r="N50" s="12">
        <f>IF($M$50&gt;=FATORES!$B$11,FATORES!D11,0)</f>
        <v>0</v>
      </c>
      <c r="O50" s="88">
        <f t="shared" si="20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1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7"/>
        <v>0</v>
      </c>
      <c r="I51" s="64">
        <f t="shared" si="16"/>
        <v>0</v>
      </c>
      <c r="J51" s="64">
        <f t="shared" si="18"/>
        <v>0</v>
      </c>
      <c r="K51" s="113"/>
      <c r="L51" s="55"/>
      <c r="M51" s="114"/>
      <c r="N51" s="12">
        <f>IF($M$50&gt;=FATORES!$B$11,FATORES!$E$11,0)</f>
        <v>0</v>
      </c>
      <c r="O51" s="88">
        <f t="shared" si="20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/>
      <c r="D52" s="55"/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7"/>
        <v>0</v>
      </c>
      <c r="I52" s="64">
        <f t="shared" si="16"/>
        <v>0</v>
      </c>
      <c r="J52" s="64">
        <f t="shared" si="18"/>
        <v>0</v>
      </c>
      <c r="K52" s="54"/>
      <c r="L52" s="55"/>
      <c r="M52" s="49">
        <f t="shared" si="19"/>
        <v>0</v>
      </c>
      <c r="N52" s="12">
        <f>IF($M$52&gt;=FATORES!$O$9,FATORES!$Q$9,0)</f>
        <v>0</v>
      </c>
      <c r="O52" s="88">
        <f t="shared" si="20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/>
      <c r="D53" s="57"/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7"/>
        <v>0</v>
      </c>
      <c r="I53" s="64">
        <f t="shared" si="16"/>
        <v>0</v>
      </c>
      <c r="J53" s="16">
        <f t="shared" si="18"/>
        <v>0</v>
      </c>
      <c r="K53" s="56"/>
      <c r="L53" s="57"/>
      <c r="M53" s="50">
        <f t="shared" si="19"/>
        <v>0</v>
      </c>
      <c r="N53" s="15">
        <f>IF($M$53&gt;=FATORES!$O$17,FATORES!$Q$17,0)</f>
        <v>0</v>
      </c>
      <c r="O53" s="88">
        <f t="shared" si="20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0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o+CETUx5IGGdOFHtTCWVQm8WhES0mBQYx/awSMv0k5TpLvZvyMItZIm9DWFN4ju/dJT6tzUmKPTOnsy4JqhIDg==" saltValue="dVuoSEWi7mUcEEv8I1q8rg==" spinCount="100000" sheet="1" objects="1" scenarios="1"/>
  <protectedRanges>
    <protectedRange sqref="J7:K7" name="Intervalo2"/>
    <protectedRange sqref="B8:H10 J7 C45:D53 K45:L53" name="Intervalo1"/>
  </protectedRanges>
  <mergeCells count="94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E48:E49"/>
    <mergeCell ref="K48:K49"/>
    <mergeCell ref="M48:M49"/>
    <mergeCell ref="E50:E51"/>
    <mergeCell ref="K50:K51"/>
    <mergeCell ref="M50:M51"/>
  </mergeCells>
  <conditionalFormatting sqref="E15:E18 E20 E22:E23">
    <cfRule type="cellIs" dxfId="595" priority="22" operator="between">
      <formula>0.7</formula>
      <formula>1</formula>
    </cfRule>
    <cfRule type="cellIs" dxfId="594" priority="23" operator="greaterThanOrEqual">
      <formula>1</formula>
    </cfRule>
    <cfRule type="cellIs" dxfId="593" priority="24" operator="lessThan">
      <formula>0.7</formula>
    </cfRule>
  </conditionalFormatting>
  <conditionalFormatting sqref="E30:E33 E35 E37:E38">
    <cfRule type="cellIs" dxfId="592" priority="10" operator="between">
      <formula>0.7</formula>
      <formula>1</formula>
    </cfRule>
    <cfRule type="cellIs" dxfId="591" priority="11" operator="greaterThanOrEqual">
      <formula>1</formula>
    </cfRule>
    <cfRule type="cellIs" dxfId="590" priority="12" operator="lessThan">
      <formula>0.7</formula>
    </cfRule>
  </conditionalFormatting>
  <conditionalFormatting sqref="E45:E48 E50 E52:E53">
    <cfRule type="cellIs" dxfId="589" priority="34" operator="between">
      <formula>0.7</formula>
      <formula>1</formula>
    </cfRule>
    <cfRule type="cellIs" dxfId="588" priority="35" operator="greaterThanOrEqual">
      <formula>1</formula>
    </cfRule>
    <cfRule type="cellIs" dxfId="587" priority="36" operator="lessThan">
      <formula>0.7</formula>
    </cfRule>
  </conditionalFormatting>
  <conditionalFormatting sqref="M15:M18">
    <cfRule type="cellIs" dxfId="586" priority="16" operator="between">
      <formula>0.7</formula>
      <formula>1</formula>
    </cfRule>
    <cfRule type="cellIs" dxfId="585" priority="17" operator="greaterThanOrEqual">
      <formula>1</formula>
    </cfRule>
    <cfRule type="cellIs" dxfId="584" priority="18" operator="lessThan">
      <formula>0.7</formula>
    </cfRule>
  </conditionalFormatting>
  <conditionalFormatting sqref="M20">
    <cfRule type="cellIs" dxfId="583" priority="13" operator="between">
      <formula>0.7</formula>
      <formula>1</formula>
    </cfRule>
    <cfRule type="cellIs" dxfId="582" priority="14" operator="greaterThanOrEqual">
      <formula>1</formula>
    </cfRule>
    <cfRule type="cellIs" dxfId="581" priority="15" operator="lessThan">
      <formula>0.7</formula>
    </cfRule>
  </conditionalFormatting>
  <conditionalFormatting sqref="M22:M23">
    <cfRule type="cellIs" dxfId="580" priority="19" operator="between">
      <formula>0.7</formula>
      <formula>1</formula>
    </cfRule>
    <cfRule type="cellIs" dxfId="579" priority="20" operator="greaterThanOrEqual">
      <formula>1</formula>
    </cfRule>
    <cfRule type="cellIs" dxfId="578" priority="21" operator="lessThan">
      <formula>0.7</formula>
    </cfRule>
  </conditionalFormatting>
  <conditionalFormatting sqref="M30:M33">
    <cfRule type="cellIs" dxfId="577" priority="4" operator="between">
      <formula>0.7</formula>
      <formula>1</formula>
    </cfRule>
    <cfRule type="cellIs" dxfId="576" priority="5" operator="greaterThanOrEqual">
      <formula>1</formula>
    </cfRule>
    <cfRule type="cellIs" dxfId="575" priority="6" operator="lessThan">
      <formula>0.7</formula>
    </cfRule>
  </conditionalFormatting>
  <conditionalFormatting sqref="M35">
    <cfRule type="cellIs" dxfId="574" priority="1" operator="between">
      <formula>0.7</formula>
      <formula>1</formula>
    </cfRule>
    <cfRule type="cellIs" dxfId="573" priority="2" operator="greaterThanOrEqual">
      <formula>1</formula>
    </cfRule>
    <cfRule type="cellIs" dxfId="572" priority="3" operator="lessThan">
      <formula>0.7</formula>
    </cfRule>
  </conditionalFormatting>
  <conditionalFormatting sqref="M37:M38">
    <cfRule type="cellIs" dxfId="571" priority="7" operator="between">
      <formula>0.7</formula>
      <formula>1</formula>
    </cfRule>
    <cfRule type="cellIs" dxfId="570" priority="8" operator="greaterThanOrEqual">
      <formula>1</formula>
    </cfRule>
    <cfRule type="cellIs" dxfId="569" priority="9" operator="lessThan">
      <formula>0.7</formula>
    </cfRule>
  </conditionalFormatting>
  <conditionalFormatting sqref="M45:M48">
    <cfRule type="cellIs" dxfId="568" priority="28" operator="between">
      <formula>0.7</formula>
      <formula>1</formula>
    </cfRule>
    <cfRule type="cellIs" dxfId="567" priority="29" operator="greaterThanOrEqual">
      <formula>1</formula>
    </cfRule>
    <cfRule type="cellIs" dxfId="566" priority="30" operator="lessThan">
      <formula>0.7</formula>
    </cfRule>
  </conditionalFormatting>
  <conditionalFormatting sqref="M50">
    <cfRule type="cellIs" dxfId="565" priority="25" operator="between">
      <formula>0.7</formula>
      <formula>1</formula>
    </cfRule>
    <cfRule type="cellIs" dxfId="564" priority="26" operator="greaterThanOrEqual">
      <formula>1</formula>
    </cfRule>
    <cfRule type="cellIs" dxfId="563" priority="27" operator="lessThan">
      <formula>0.7</formula>
    </cfRule>
  </conditionalFormatting>
  <conditionalFormatting sqref="M52:M53">
    <cfRule type="cellIs" dxfId="562" priority="31" operator="between">
      <formula>0.7</formula>
      <formula>1</formula>
    </cfRule>
    <cfRule type="cellIs" dxfId="561" priority="32" operator="greaterThanOrEqual">
      <formula>1</formula>
    </cfRule>
    <cfRule type="cellIs" dxfId="560" priority="33" operator="lessThan">
      <formula>0.7</formula>
    </cfRule>
  </conditionalFormatting>
  <dataValidations count="1">
    <dataValidation type="list" allowBlank="1" showInputMessage="1" showErrorMessage="1" sqref="B8:H8" xr:uid="{15609FF2-05CF-459F-9D62-DD3A5D763EDD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F237FF-9356-4701-9997-21367B61C934}">
          <x14:formula1>
            <xm:f>HC!$AA$2:$AA$11</xm:f>
          </x14:formula1>
          <xm:sqref>J7:K7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063E-264B-499D-A751-BD673F62A66F}">
  <dimension ref="B1:X54"/>
  <sheetViews>
    <sheetView workbookViewId="0">
      <selection activeCell="D45" sqref="D45:D53"/>
    </sheetView>
  </sheetViews>
  <sheetFormatPr defaultRowHeight="14.4" x14ac:dyDescent="0.3"/>
  <cols>
    <col min="1" max="1" width="2" customWidth="1"/>
    <col min="2" max="2" width="16.44140625" customWidth="1"/>
    <col min="3" max="4" width="15.21875" customWidth="1"/>
    <col min="5" max="5" width="13.218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5.21875" customWidth="1"/>
    <col min="13" max="13" width="13.21875" customWidth="1"/>
    <col min="14" max="14" width="20.5546875" customWidth="1"/>
    <col min="15" max="15" width="21" customWidth="1"/>
    <col min="16" max="16" width="15.21875" customWidth="1"/>
    <col min="17" max="19" width="14" customWidth="1"/>
    <col min="20" max="20" width="14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87</v>
      </c>
      <c r="K7" s="179"/>
      <c r="M7" s="178" t="s">
        <v>36</v>
      </c>
      <c r="N7" s="179"/>
      <c r="P7" s="74" t="s">
        <v>37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2200</v>
      </c>
      <c r="D15" s="76">
        <f>_xlfn.XLOOKUP($J$7,PROJEÇÃO[CONSULTOR],PROJEÇÃO[PROJ_MOVEL])</f>
        <v>2245.9500000000007</v>
      </c>
      <c r="E15" s="48">
        <f>IFERROR(D15/C15,0)</f>
        <v>1.0208863636363639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179.67600000000007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336.8925000000001</v>
      </c>
      <c r="J15" s="9">
        <f>H15+I15</f>
        <v>516.5685000000002</v>
      </c>
      <c r="K15" s="75">
        <f>SUMIFS(REALIZADO[META_MOVEL],REALIZADO[PDV],'CENTRO VV'!$M$7)</f>
        <v>4400</v>
      </c>
      <c r="L15" s="76">
        <f>SUMIFS(PROJEÇÃO[PROJ_MOVEL],PROJEÇÃO[PDV],'CENTRO VV'!$M$7)</f>
        <v>5515.1900000000023</v>
      </c>
      <c r="M15" s="48">
        <f>IFERROR(L15/K15,0)</f>
        <v>1.2534522727272732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224.59500000000008</v>
      </c>
      <c r="P15" s="10">
        <f>J15+O15</f>
        <v>741.16350000000034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1291.5651000000005</v>
      </c>
    </row>
    <row r="16" spans="2:24" x14ac:dyDescent="0.3">
      <c r="B16" s="45" t="s">
        <v>13</v>
      </c>
      <c r="C16" s="75">
        <f>_xlfn.XLOOKUP($J$7,REALIZADO[CONSULTOR],REALIZADO[META_FIXA])</f>
        <v>1275</v>
      </c>
      <c r="D16" s="76">
        <f>_xlfn.XLOOKUP($J$7,PROJEÇÃO[CONSULTOR],PROJEÇÃO[PROJ_FIXA])</f>
        <v>1334.9900000000007</v>
      </c>
      <c r="E16" s="49">
        <f>IFERROR(D16/C16,0)</f>
        <v>1.0470509803921575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106.79920000000006</v>
      </c>
      <c r="I16" s="64">
        <f t="shared" si="0"/>
        <v>200.24850000000009</v>
      </c>
      <c r="J16" s="64">
        <f t="shared" ref="J16:J23" si="3">H16+I16</f>
        <v>307.04770000000013</v>
      </c>
      <c r="K16" s="75">
        <f>SUMIFS(REALIZADO[META_FIXA],REALIZADO[PDV],'CENTRO VV'!$M$7)</f>
        <v>2550</v>
      </c>
      <c r="L16" s="76">
        <f>SUMIFS(PROJEÇÃO[PROJ_FIXA],PROJEÇÃO[PDV],'CENTRO VV'!$M$7)</f>
        <v>2498.9900000000011</v>
      </c>
      <c r="M16" s="49">
        <f t="shared" ref="M16:M17" si="4">IFERROR(L16/K16,0)</f>
        <v>0.97999607843137304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307.04770000000013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33750</v>
      </c>
      <c r="D17" s="76">
        <f>_xlfn.XLOOKUP($J$7,PROJEÇÃO[CONSULTOR],PROJEÇÃO[PROJ_APARELHO])</f>
        <v>38673.000000000015</v>
      </c>
      <c r="E17" s="49">
        <f>IFERROR(D17/C17,0)</f>
        <v>1.145866666666667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58.009500000000024</v>
      </c>
      <c r="I17" s="64">
        <f t="shared" si="0"/>
        <v>77.346000000000032</v>
      </c>
      <c r="J17" s="64">
        <f t="shared" si="3"/>
        <v>135.35550000000006</v>
      </c>
      <c r="K17" s="52">
        <f>SUMIFS(REALIZADO[META_SMARTPHONE],REALIZADO[PDV],'CENTRO VV'!$M$7)</f>
        <v>67500</v>
      </c>
      <c r="L17" s="77">
        <f>SUMIFS(PROJEÇÃO[PROJ_APARELHO],PROJEÇÃO[PDV],'CENTRO VV'!$M$7)</f>
        <v>63396.000000000029</v>
      </c>
      <c r="M17" s="49">
        <f t="shared" si="4"/>
        <v>0.93920000000000048</v>
      </c>
      <c r="N17" s="12">
        <f>IF($M$17&gt;=FATORES!$B$28,FATORES!$D$28,0)</f>
        <v>0</v>
      </c>
      <c r="O17" s="88">
        <f t="shared" si="1"/>
        <v>0</v>
      </c>
      <c r="P17" s="13">
        <f t="shared" si="5"/>
        <v>135.35550000000006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4450</v>
      </c>
      <c r="D18" s="77">
        <f>_xlfn.XLOOKUP($J$7,PROJEÇÃO[CONSULTOR],PROJEÇÃO[PROJ_ELETRO_A])</f>
        <v>199.00000000000009</v>
      </c>
      <c r="E18" s="140">
        <f>IFERROR((D18+D19)/C18,0)</f>
        <v>0.98620224719101168</v>
      </c>
      <c r="F18" s="12">
        <f>VLOOKUP($E$18,FATORES!$B$16:$E$18,3)</f>
        <v>3.0000000000000001E-3</v>
      </c>
      <c r="G18" s="12">
        <f>IFERROR(VLOOKUP($E$18,FATORES!$B$19:$E$20,3),0)</f>
        <v>0</v>
      </c>
      <c r="H18" s="64">
        <f t="shared" si="2"/>
        <v>0.59700000000000031</v>
      </c>
      <c r="I18" s="64">
        <f t="shared" si="0"/>
        <v>0</v>
      </c>
      <c r="J18" s="64">
        <f t="shared" si="3"/>
        <v>0.59700000000000031</v>
      </c>
      <c r="K18" s="141">
        <f>SUMIFS(REALIZADO[META_ACESSORIO],REALIZADO[PDV],'CENTRO VV'!$M$7)</f>
        <v>8900</v>
      </c>
      <c r="L18" s="86">
        <f>SUMIFS(PROJEÇÃO[PROJ_ELETRO_A],PROJEÇÃO[PDV],'CENTRO VV'!$M$7)</f>
        <v>277.00000000000011</v>
      </c>
      <c r="M18" s="114">
        <f>IFERROR((L18+L19)/K18,0)</f>
        <v>1.0929887640449445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0.59700000000000031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4189.6000000000022</v>
      </c>
      <c r="E19" s="140"/>
      <c r="F19" s="12">
        <f>VLOOKUP($E$18,FATORES!$B$16:$E$18,4)</f>
        <v>1.5E-3</v>
      </c>
      <c r="G19" s="12">
        <f>IFERROR(VLOOKUP($E$18,FATORES!$B$19:$E$20,4),0)</f>
        <v>0</v>
      </c>
      <c r="H19" s="64">
        <f t="shared" si="2"/>
        <v>6.2844000000000033</v>
      </c>
      <c r="I19" s="64">
        <f t="shared" si="0"/>
        <v>0</v>
      </c>
      <c r="J19" s="64">
        <f t="shared" si="3"/>
        <v>6.2844000000000033</v>
      </c>
      <c r="K19" s="142"/>
      <c r="L19" s="87">
        <f>SUMIFS(PROJEÇÃO[PROJ_ELETRO_B],PROJEÇÃO[PDV],'CENTRO VV'!$M$7)</f>
        <v>9450.6000000000058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6.2844000000000033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1700</v>
      </c>
      <c r="D20" s="77">
        <f>_xlfn.XLOOKUP($J$7,PROJEÇÃO[CONSULTOR],PROJEÇÃO[PROJ_ESSEN_A])</f>
        <v>930.00000000000045</v>
      </c>
      <c r="E20" s="140">
        <f>IFERROR((D20+D21)/C20,0)</f>
        <v>1.135882352941177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13.950000000000006</v>
      </c>
      <c r="I20" s="64">
        <f t="shared" si="0"/>
        <v>37.200000000000017</v>
      </c>
      <c r="J20" s="64">
        <f t="shared" si="3"/>
        <v>51.15000000000002</v>
      </c>
      <c r="K20" s="141">
        <f>SUMIFS(REALIZADO[META_ESSENCIAIS],REALIZADO[PDV],'CENTRO VV'!$M$7)</f>
        <v>3400</v>
      </c>
      <c r="L20" s="86">
        <f>SUMIFS(PROJEÇÃO[PROJ_ESSEN_A],PROJEÇÃO[PDV],'CENTRO VV'!$M$7)</f>
        <v>1811.0000000000009</v>
      </c>
      <c r="M20" s="114">
        <f>IFERROR((L20+L21)/K20,0)</f>
        <v>1.1867647058823534</v>
      </c>
      <c r="N20" s="12">
        <f>IF($M$20&gt;=FATORES!$B$11,FATORES!$D$11,0)</f>
        <v>1.4999999999999999E-2</v>
      </c>
      <c r="O20" s="88">
        <f t="shared" si="1"/>
        <v>13.950000000000006</v>
      </c>
      <c r="P20" s="13">
        <f t="shared" si="5"/>
        <v>65.100000000000023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1001.0000000000005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10.010000000000005</v>
      </c>
      <c r="I21" s="64">
        <f t="shared" si="0"/>
        <v>15.015000000000006</v>
      </c>
      <c r="J21" s="64">
        <f t="shared" si="3"/>
        <v>25.025000000000013</v>
      </c>
      <c r="K21" s="142"/>
      <c r="L21" s="87">
        <f>SUMIFS(PROJEÇÃO[PROJ_ESSEN_B],PROJEÇÃO[PDV],'CENTRO VV'!$M$7)</f>
        <v>2224.0000000000009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25.025000000000013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195</v>
      </c>
      <c r="D22" s="81">
        <f>_xlfn.XLOOKUP($J$7,PROJEÇÃO[CONSULTOR],PROJEÇÃO[PROJ_SEGURO])</f>
        <v>156.70000000000007</v>
      </c>
      <c r="E22" s="83">
        <f>IFERROR(D22/C22,0)</f>
        <v>0.803589743589744</v>
      </c>
      <c r="F22" s="83">
        <f>VLOOKUP($E$22,FATORES!$O$4:$Q$6,3)</f>
        <v>0.03</v>
      </c>
      <c r="G22" s="12">
        <f>IFERROR(VLOOKUP($E$22,FATORES!$O$7:$Q$8,3),0)</f>
        <v>0</v>
      </c>
      <c r="H22" s="64">
        <f t="shared" si="2"/>
        <v>4.7010000000000023</v>
      </c>
      <c r="I22" s="64">
        <f t="shared" si="0"/>
        <v>0</v>
      </c>
      <c r="J22" s="64">
        <f t="shared" si="3"/>
        <v>4.7010000000000023</v>
      </c>
      <c r="K22" s="56">
        <f>SUMIFS(REALIZADO[META_SEGUROS],REALIZADO[PDV],'CENTRO VV'!$M$7)</f>
        <v>390</v>
      </c>
      <c r="L22" s="78">
        <f>SUMIFS(PROJEÇÃO[PROJ_SEGURO],PROJEÇÃO[PDV],'CENTRO VV'!$M$7)</f>
        <v>478.3000000000003</v>
      </c>
      <c r="M22" s="49">
        <f t="shared" ref="M22:M23" si="6">IFERROR(L22/K22,0)</f>
        <v>1.2264102564102572</v>
      </c>
      <c r="N22" s="12">
        <f>IF($M$22&gt;=FATORES!$O$9,FATORES!$Q$9,0)</f>
        <v>0.1</v>
      </c>
      <c r="O22" s="88">
        <f t="shared" si="1"/>
        <v>0</v>
      </c>
      <c r="P22" s="13">
        <f t="shared" si="5"/>
        <v>4.7010000000000023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200</v>
      </c>
      <c r="D23" s="57">
        <f>_xlfn.XLOOKUP($J$7,PROJEÇÃO[CONSULTOR],PROJEÇÃO[PROJ_SVA])</f>
        <v>209.7000000000001</v>
      </c>
      <c r="E23" s="82">
        <f>IFERROR(D23/C23,0)</f>
        <v>1.0485000000000004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2.0970000000000009</v>
      </c>
      <c r="I23" s="64">
        <f t="shared" si="0"/>
        <v>2.0970000000000009</v>
      </c>
      <c r="J23" s="16">
        <f t="shared" si="3"/>
        <v>4.1940000000000017</v>
      </c>
      <c r="K23" s="75">
        <f>SUMIFS(REALIZADO[META_SVA],REALIZADO[PDV],'CENTRO VV'!$M$7)</f>
        <v>400</v>
      </c>
      <c r="L23" s="76">
        <f>SUMIFS(PROJEÇÃO[PROJ_SVA],PROJEÇÃO[PDV],'CENTRO VV'!$M$7)</f>
        <v>527.20000000000027</v>
      </c>
      <c r="M23" s="50">
        <f t="shared" si="6"/>
        <v>1.3180000000000007</v>
      </c>
      <c r="N23" s="15">
        <f>IF($M$23&gt;=FATORES!$O$17,FATORES!$Q$17,0)</f>
        <v>0.01</v>
      </c>
      <c r="O23" s="88">
        <f t="shared" si="1"/>
        <v>2.0970000000000009</v>
      </c>
      <c r="P23" s="17">
        <f t="shared" si="5"/>
        <v>6.2910000000000021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1291.5651000000005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2200</v>
      </c>
      <c r="D30" s="76">
        <f>_xlfn.XLOOKUP($J$7,REALIZADO[CONSULTOR],REALIZADO[AT_MOVEL])</f>
        <v>187.99</v>
      </c>
      <c r="E30" s="48">
        <f>IFERROR(D30/C30,0)</f>
        <v>8.5449999999999998E-2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1.8799000000000001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1.8799000000000001</v>
      </c>
      <c r="K30" s="75">
        <f>SUMIFS(REALIZADO[META_MOVEL],REALIZADO[PDV],'CENTRO VV'!$M$7)</f>
        <v>4400</v>
      </c>
      <c r="L30" s="76">
        <f>SUMIFS(REALIZADO[AT_MOVEL],REALIZADO[PDV],'CENTRO VV'!$M$7)</f>
        <v>606.98</v>
      </c>
      <c r="M30" s="48">
        <f>IFERROR(L30/K30,0)</f>
        <v>0.13795000000000002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1.8799000000000001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2.5789</v>
      </c>
    </row>
    <row r="31" spans="2:20" x14ac:dyDescent="0.3">
      <c r="B31" s="45" t="s">
        <v>13</v>
      </c>
      <c r="C31" s="75">
        <f>_xlfn.XLOOKUP($J$7,REALIZADO[CONSULTOR],REALIZADO[META_FIXA])</f>
        <v>1275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SUMIFS(REALIZADO[META_FIXA],REALIZADO[PDV],'CENTRO VV'!$M$7)</f>
        <v>2550</v>
      </c>
      <c r="L31" s="76">
        <f>SUMIFS(REALIZADO[AT_FIXA],REALIZADO[PDV],'CENTRO VV'!$M$7)</f>
        <v>20.010000000000002</v>
      </c>
      <c r="M31" s="49">
        <f t="shared" ref="M31:M32" si="12">IFERROR(L31/K31,0)</f>
        <v>7.8470588235294118E-3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33750</v>
      </c>
      <c r="D32" s="76">
        <f>_xlfn.XLOOKUP($J$7,REALIZADO[CONSULTOR],REALIZADO[AT_SMARTPHONE])</f>
        <v>0</v>
      </c>
      <c r="E32" s="49">
        <f>IFERROR(D32/C32,0)</f>
        <v>0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</v>
      </c>
      <c r="I32" s="64">
        <f t="shared" si="8"/>
        <v>0</v>
      </c>
      <c r="J32" s="64">
        <f t="shared" si="11"/>
        <v>0</v>
      </c>
      <c r="K32" s="52">
        <f>SUMIFS(REALIZADO[META_SMARTPHONE],REALIZADO[PDV],'CENTRO VV'!$M$7)</f>
        <v>67500</v>
      </c>
      <c r="L32" s="77">
        <f>SUMIFS(REALIZADO[AT_SMARTPHONE],REALIZADO[PDV],'CENTRO VV'!$M$7)</f>
        <v>0</v>
      </c>
      <c r="M32" s="49">
        <f t="shared" si="12"/>
        <v>0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4450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SUMIFS(REALIZADO[META_ACESSORIO],REALIZADO[PDV],'CENTRO VV'!$M$7)</f>
        <v>8900</v>
      </c>
      <c r="L33" s="86">
        <f>SUMIFS(REALIZADO[AT_ACESSORIOS_A],REALIZADO[PDV],'CENTRO VV'!$M$7)</f>
        <v>0</v>
      </c>
      <c r="M33" s="114">
        <f>IFERROR((L33+L34)/K33,0)</f>
        <v>0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SUMIFS(REALIZADO[AT_ACESSORIOS_B],REALIZADO[PDV],'CENTRO VV'!$M$7)</f>
        <v>0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1700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SUMIFS(REALIZADO[META_ESSENCIAIS],REALIZADO[PDV],'CENTRO VV'!$M$7)</f>
        <v>3400</v>
      </c>
      <c r="L35" s="86">
        <f>SUMIFS(REALIZADO[AT_ESSENCIAIS_A],REALIZADO[PDV],'CENTRO VV'!$M$7)</f>
        <v>0</v>
      </c>
      <c r="M35" s="114">
        <f>IFERROR((L35+L36)/K35,0)</f>
        <v>0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SUMIFS(REALIZADO[AT_ESSENCIAIS_B],REALIZADO[PDV],'CENTRO VV'!$M$7)</f>
        <v>0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195</v>
      </c>
      <c r="D37" s="81">
        <f>_xlfn.XLOOKUP($J$7,REALIZADO[CONSULTOR],REALIZADO[AT_SEGUROS])</f>
        <v>69.900000000000006</v>
      </c>
      <c r="E37" s="83">
        <f>IFERROR(D37/C37,0)</f>
        <v>0.3584615384615385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0.69900000000000007</v>
      </c>
      <c r="I37" s="64">
        <f t="shared" si="8"/>
        <v>0</v>
      </c>
      <c r="J37" s="64">
        <f t="shared" si="11"/>
        <v>0.69900000000000007</v>
      </c>
      <c r="K37" s="56">
        <f>SUMIFS(REALIZADO[META_SEGUROS],REALIZADO[PDV],'CENTRO VV'!$M$7)</f>
        <v>390</v>
      </c>
      <c r="L37" s="78">
        <f>SUMIFS(REALIZADO[AT_SEGUROS],REALIZADO[PDV],'CENTRO VV'!$M$7)</f>
        <v>69.900000000000006</v>
      </c>
      <c r="M37" s="49">
        <f t="shared" ref="M37:M38" si="14">IFERROR(L37/K37,0)</f>
        <v>0.17923076923076925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0.69900000000000007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200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SUMIFS(REALIZADO[META_SVA],REALIZADO[PDV],'CENTRO VV'!$M$7)</f>
        <v>400</v>
      </c>
      <c r="L38" s="76">
        <f>SUMIFS(REALIZADO[AT_SVA],REALIZADO[PDV],'CENTRO VV'!$M$7)</f>
        <v>137.69999999999999</v>
      </c>
      <c r="M38" s="50">
        <f t="shared" si="14"/>
        <v>0.34424999999999994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2.5789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f>_xlfn.XLOOKUP($J$7,REALIZADO[CONSULTOR],REALIZADO[META_MOVEL])</f>
        <v>2200</v>
      </c>
      <c r="D45" s="53">
        <f>_xlfn.XLOOKUP($J$7,REALIZADO[CONSULTOR],REALIZADO[AT_MOVEL])</f>
        <v>187.99</v>
      </c>
      <c r="E45" s="48">
        <f>IFERROR(D45/C45,0)</f>
        <v>8.5449999999999998E-2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1.8799000000000001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1.8799000000000001</v>
      </c>
      <c r="K45" s="52">
        <v>7900</v>
      </c>
      <c r="L45" s="53">
        <v>0</v>
      </c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1.8799000000000001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2.5789</v>
      </c>
    </row>
    <row r="46" spans="2:20" x14ac:dyDescent="0.3">
      <c r="B46" s="45" t="s">
        <v>13</v>
      </c>
      <c r="C46" s="54">
        <f>_xlfn.XLOOKUP($J$7,REALIZADO[CONSULTOR],REALIZADO[META_FIXA])</f>
        <v>1275</v>
      </c>
      <c r="D46" s="55">
        <f>_xlfn.XLOOKUP($J$7,REALIZADO[CONSULTOR],REALIZADO[AT_FIXA])</f>
        <v>0</v>
      </c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33750</v>
      </c>
      <c r="D47" s="55">
        <f>_xlfn.XLOOKUP($J$7,REALIZADO[CONSULTOR],REALIZADO[AT_SMARTPHONE])</f>
        <v>0</v>
      </c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0</v>
      </c>
      <c r="I47" s="64">
        <f t="shared" si="16"/>
        <v>0</v>
      </c>
      <c r="J47" s="64">
        <f t="shared" si="19"/>
        <v>0</v>
      </c>
      <c r="K47" s="54">
        <v>0</v>
      </c>
      <c r="L47" s="55">
        <v>0</v>
      </c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4450</v>
      </c>
      <c r="D48" s="55">
        <f>_xlfn.XLOOKUP($J$7,REALIZADO[CONSULTOR],REALIZADO[AT_ACESSORIOS_A])</f>
        <v>0</v>
      </c>
      <c r="E48" s="114">
        <f>IFERROR((D48+D49)/C48,0)</f>
        <v>0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>
        <v>0</v>
      </c>
      <c r="L48" s="55">
        <v>0</v>
      </c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f>_xlfn.XLOOKUP($J$7,REALIZADO[CONSULTOR],REALIZADO[AT_ACESSORIOS_B])</f>
        <v>0</v>
      </c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>
        <v>0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f>_xlfn.XLOOKUP($J$7,REALIZADO[CONSULTOR],REALIZADO[META_ESSENCIAIS])</f>
        <v>1700</v>
      </c>
      <c r="D50" s="55">
        <f>_xlfn.XLOOKUP($J$7,REALIZADO[CONSULTOR],REALIZADO[AT_ESSENCIAIS_A])</f>
        <v>0</v>
      </c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v>0</v>
      </c>
      <c r="L50" s="55">
        <v>0</v>
      </c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f>_xlfn.XLOOKUP($J$7,REALIZADO[CONSULTOR],REALIZADO[AT_ESSENCIAIS_B])</f>
        <v>0</v>
      </c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v>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f>_xlfn.XLOOKUP($J$7,REALIZADO[CONSULTOR],REALIZADO[META_SEGUROS])</f>
        <v>195</v>
      </c>
      <c r="D52" s="55">
        <f>_xlfn.XLOOKUP($J$7,REALIZADO[CONSULTOR],REALIZADO[AT_SEGUROS])</f>
        <v>69.900000000000006</v>
      </c>
      <c r="E52" s="49">
        <f>IFERROR(D52/C52,0)</f>
        <v>0.3584615384615385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0.69900000000000007</v>
      </c>
      <c r="I52" s="64">
        <f t="shared" si="16"/>
        <v>0</v>
      </c>
      <c r="J52" s="64">
        <f t="shared" si="19"/>
        <v>0.69900000000000007</v>
      </c>
      <c r="K52" s="54">
        <v>0</v>
      </c>
      <c r="L52" s="55">
        <v>0</v>
      </c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0.69900000000000007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f>_xlfn.XLOOKUP($J$7,REALIZADO[CONSULTOR],REALIZADO[META_SVA])</f>
        <v>200</v>
      </c>
      <c r="D53" s="57">
        <f>_xlfn.XLOOKUP($J$7,REALIZADO[CONSULTOR],REALIZADO[AT_SVA])</f>
        <v>0</v>
      </c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>
        <v>0</v>
      </c>
      <c r="L53" s="57"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2.5789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uGRh/7OVtUaMmx3q7Edy724LBXCowV3WgIpqzFzLb+75QFCbqvtMA18prom+zrVme9BrhCBSJZe5MFweQmfJUQ==" saltValue="wAJ/ZfFi5DZPUVRx2mzueg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559" priority="22" operator="between">
      <formula>0.7</formula>
      <formula>1</formula>
    </cfRule>
    <cfRule type="cellIs" dxfId="558" priority="23" operator="greaterThanOrEqual">
      <formula>1</formula>
    </cfRule>
    <cfRule type="cellIs" dxfId="557" priority="24" operator="lessThan">
      <formula>0.7</formula>
    </cfRule>
  </conditionalFormatting>
  <conditionalFormatting sqref="E30:E33 E35 E37:E38">
    <cfRule type="cellIs" dxfId="556" priority="10" operator="between">
      <formula>0.7</formula>
      <formula>1</formula>
    </cfRule>
    <cfRule type="cellIs" dxfId="555" priority="11" operator="greaterThanOrEqual">
      <formula>1</formula>
    </cfRule>
    <cfRule type="cellIs" dxfId="554" priority="12" operator="lessThan">
      <formula>0.7</formula>
    </cfRule>
  </conditionalFormatting>
  <conditionalFormatting sqref="E45:E48 E50 E52:E53">
    <cfRule type="cellIs" dxfId="553" priority="34" operator="between">
      <formula>0.7</formula>
      <formula>1</formula>
    </cfRule>
    <cfRule type="cellIs" dxfId="552" priority="35" operator="greaterThanOrEqual">
      <formula>1</formula>
    </cfRule>
    <cfRule type="cellIs" dxfId="551" priority="36" operator="lessThan">
      <formula>0.7</formula>
    </cfRule>
  </conditionalFormatting>
  <conditionalFormatting sqref="M15:M18">
    <cfRule type="cellIs" dxfId="550" priority="16" operator="between">
      <formula>0.7</formula>
      <formula>1</formula>
    </cfRule>
    <cfRule type="cellIs" dxfId="549" priority="17" operator="greaterThanOrEqual">
      <formula>1</formula>
    </cfRule>
    <cfRule type="cellIs" dxfId="548" priority="18" operator="lessThan">
      <formula>0.7</formula>
    </cfRule>
  </conditionalFormatting>
  <conditionalFormatting sqref="M20">
    <cfRule type="cellIs" dxfId="547" priority="13" operator="between">
      <formula>0.7</formula>
      <formula>1</formula>
    </cfRule>
    <cfRule type="cellIs" dxfId="546" priority="14" operator="greaterThanOrEqual">
      <formula>1</formula>
    </cfRule>
    <cfRule type="cellIs" dxfId="545" priority="15" operator="lessThan">
      <formula>0.7</formula>
    </cfRule>
  </conditionalFormatting>
  <conditionalFormatting sqref="M22:M23">
    <cfRule type="cellIs" dxfId="544" priority="19" operator="between">
      <formula>0.7</formula>
      <formula>1</formula>
    </cfRule>
    <cfRule type="cellIs" dxfId="543" priority="20" operator="greaterThanOrEqual">
      <formula>1</formula>
    </cfRule>
    <cfRule type="cellIs" dxfId="542" priority="21" operator="lessThan">
      <formula>0.7</formula>
    </cfRule>
  </conditionalFormatting>
  <conditionalFormatting sqref="M30:M33">
    <cfRule type="cellIs" dxfId="541" priority="4" operator="between">
      <formula>0.7</formula>
      <formula>1</formula>
    </cfRule>
    <cfRule type="cellIs" dxfId="540" priority="5" operator="greaterThanOrEqual">
      <formula>1</formula>
    </cfRule>
    <cfRule type="cellIs" dxfId="539" priority="6" operator="lessThan">
      <formula>0.7</formula>
    </cfRule>
  </conditionalFormatting>
  <conditionalFormatting sqref="M35">
    <cfRule type="cellIs" dxfId="538" priority="1" operator="between">
      <formula>0.7</formula>
      <formula>1</formula>
    </cfRule>
    <cfRule type="cellIs" dxfId="537" priority="2" operator="greaterThanOrEqual">
      <formula>1</formula>
    </cfRule>
    <cfRule type="cellIs" dxfId="536" priority="3" operator="lessThan">
      <formula>0.7</formula>
    </cfRule>
  </conditionalFormatting>
  <conditionalFormatting sqref="M37:M38">
    <cfRule type="cellIs" dxfId="535" priority="7" operator="between">
      <formula>0.7</formula>
      <formula>1</formula>
    </cfRule>
    <cfRule type="cellIs" dxfId="534" priority="8" operator="greaterThanOrEqual">
      <formula>1</formula>
    </cfRule>
    <cfRule type="cellIs" dxfId="533" priority="9" operator="lessThan">
      <formula>0.7</formula>
    </cfRule>
  </conditionalFormatting>
  <conditionalFormatting sqref="M45:M48">
    <cfRule type="cellIs" dxfId="532" priority="28" operator="between">
      <formula>0.7</formula>
      <formula>1</formula>
    </cfRule>
    <cfRule type="cellIs" dxfId="531" priority="29" operator="greaterThanOrEqual">
      <formula>1</formula>
    </cfRule>
    <cfRule type="cellIs" dxfId="530" priority="30" operator="lessThan">
      <formula>0.7</formula>
    </cfRule>
  </conditionalFormatting>
  <conditionalFormatting sqref="M50">
    <cfRule type="cellIs" dxfId="529" priority="25" operator="between">
      <formula>0.7</formula>
      <formula>1</formula>
    </cfRule>
    <cfRule type="cellIs" dxfId="528" priority="26" operator="greaterThanOrEqual">
      <formula>1</formula>
    </cfRule>
    <cfRule type="cellIs" dxfId="527" priority="27" operator="lessThan">
      <formula>0.7</formula>
    </cfRule>
  </conditionalFormatting>
  <conditionalFormatting sqref="M52:M53">
    <cfRule type="cellIs" dxfId="526" priority="31" operator="between">
      <formula>0.7</formula>
      <formula>1</formula>
    </cfRule>
    <cfRule type="cellIs" dxfId="525" priority="32" operator="greaterThanOrEqual">
      <formula>1</formula>
    </cfRule>
    <cfRule type="cellIs" dxfId="524" priority="33" operator="lessThan">
      <formula>0.7</formula>
    </cfRule>
  </conditionalFormatting>
  <dataValidations count="1">
    <dataValidation type="list" allowBlank="1" showInputMessage="1" showErrorMessage="1" sqref="B8:H8" xr:uid="{24E13908-2089-4C14-838D-7B207DD79722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FE973C-53DB-4CBF-94F1-A0C5022D953B}">
          <x14:formula1>
            <xm:f>HC!$E$2:$E$4</xm:f>
          </x14:formula1>
          <xm:sqref>J7:K7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EEA1-6857-40BA-97C2-BBA7631134C3}">
  <dimension ref="B1:X54"/>
  <sheetViews>
    <sheetView showGridLines="0" topLeftCell="I29" zoomScale="70" zoomScaleNormal="70" workbookViewId="0">
      <selection activeCell="I6" sqref="I6"/>
    </sheetView>
  </sheetViews>
  <sheetFormatPr defaultRowHeight="14.4" x14ac:dyDescent="0.3"/>
  <cols>
    <col min="1" max="1" width="2" customWidth="1"/>
    <col min="2" max="2" width="16.44140625" customWidth="1"/>
    <col min="3" max="4" width="16.21875" customWidth="1"/>
    <col min="5" max="5" width="13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21875" customWidth="1"/>
    <col min="13" max="13" width="13.77734375" customWidth="1"/>
    <col min="14" max="14" width="20.5546875" customWidth="1"/>
    <col min="15" max="15" width="21" customWidth="1"/>
    <col min="16" max="16" width="15.21875" customWidth="1"/>
    <col min="17" max="17" width="13" bestFit="1" customWidth="1"/>
    <col min="18" max="18" width="10.77734375" bestFit="1" customWidth="1"/>
    <col min="19" max="19" width="12.77734375" bestFit="1" customWidth="1"/>
    <col min="20" max="20" width="14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171</v>
      </c>
      <c r="K7" s="179"/>
      <c r="M7" s="178" t="s">
        <v>35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3750</v>
      </c>
      <c r="D15" s="76">
        <f>_xlfn.XLOOKUP($J$7,PROJEÇÃO[CONSULTOR],PROJEÇÃO[PROJ_MOVEL])</f>
        <v>2924.7100000000014</v>
      </c>
      <c r="E15" s="48">
        <f>IFERROR(D15/C15,0)</f>
        <v>0.77992266666666699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29.247100000000014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29.247100000000014</v>
      </c>
      <c r="K15" s="75">
        <f>SUMIFS(REALIZADO[META_MOVEL],REALIZADO[PDV],'SAO FIDELIS'!$M$7)</f>
        <v>7500</v>
      </c>
      <c r="L15" s="76">
        <f>SUMIFS(PROJEÇÃO[PROJ_MOVEL],PROJEÇÃO[PDV],'SAO FIDELIS'!$M$7)</f>
        <v>5112.4200000000019</v>
      </c>
      <c r="M15" s="48">
        <f>IFERROR(L15/K15,0)</f>
        <v>0.68165600000000026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29.247100000000014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48.841000000000015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SUMIFS(REALIZADO[META_FIXA],REALIZADO[PDV],'SAO FIDELIS'!$M$7)</f>
        <v>0</v>
      </c>
      <c r="L16" s="76">
        <f>SUMIFS(PROJEÇÃO[PROJ_FIXA],PROJEÇÃO[PDV],'SAO FIDELIS'!$M$7)</f>
        <v>0</v>
      </c>
      <c r="M16" s="49">
        <f t="shared" ref="M16:M17" si="4">IFERROR(L16/K16,0)</f>
        <v>0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41000</v>
      </c>
      <c r="D17" s="76">
        <f>_xlfn.XLOOKUP($J$7,PROJEÇÃO[CONSULTOR],PROJEÇÃO[PROJ_APARELHO])</f>
        <v>10496.000000000005</v>
      </c>
      <c r="E17" s="49">
        <f>IFERROR(D17/C17,0)</f>
        <v>0.25600000000000012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5.2480000000000029</v>
      </c>
      <c r="I17" s="64">
        <f t="shared" si="0"/>
        <v>0</v>
      </c>
      <c r="J17" s="64">
        <f t="shared" si="3"/>
        <v>5.2480000000000029</v>
      </c>
      <c r="K17" s="52">
        <f>SUMIFS(REALIZADO[META_SMARTPHONE],REALIZADO[PDV],'SAO FIDELIS'!$M$7)</f>
        <v>82000</v>
      </c>
      <c r="L17" s="77">
        <f>SUMIFS(PROJEÇÃO[PROJ_APARELHO],PROJEÇÃO[PDV],'SAO FIDELIS'!$M$7)</f>
        <v>30488.000000000015</v>
      </c>
      <c r="M17" s="49">
        <f t="shared" si="4"/>
        <v>0.37180487804878065</v>
      </c>
      <c r="N17" s="12">
        <f>IF($M$17&gt;=FATORES!$B$28,FATORES!$D$28,0)</f>
        <v>0</v>
      </c>
      <c r="O17" s="88">
        <f t="shared" si="1"/>
        <v>0</v>
      </c>
      <c r="P17" s="13">
        <f t="shared" si="5"/>
        <v>5.2480000000000029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4250</v>
      </c>
      <c r="D18" s="77">
        <f>_xlfn.XLOOKUP($J$7,PROJEÇÃO[CONSULTOR],PROJEÇÃO[PROJ_ELETRO_A])</f>
        <v>0</v>
      </c>
      <c r="E18" s="140">
        <f>IFERROR((D18+D19)/C18,0)</f>
        <v>0.85952941176470632</v>
      </c>
      <c r="F18" s="12">
        <f>VLOOKUP($E$18,FATORES!$B$16:$E$18,3)</f>
        <v>2E-3</v>
      </c>
      <c r="G18" s="12">
        <f>IFERROR(VLOOKUP($E$18,FATORES!$B$19:$E$20,3),0)</f>
        <v>0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SUMIFS(REALIZADO[META_ACESSORIO],REALIZADO[PDV],'SAO FIDELIS'!$M$7)</f>
        <v>8500</v>
      </c>
      <c r="L18" s="86">
        <f>SUMIFS(PROJEÇÃO[PROJ_ELETRO_A],PROJEÇÃO[PDV],'SAO FIDELIS'!$M$7)</f>
        <v>0</v>
      </c>
      <c r="M18" s="114">
        <f>IFERROR((L18+L19)/K18,0)</f>
        <v>0.95882352941176519</v>
      </c>
      <c r="N18" s="12">
        <f>IF($M$18&gt;=FATORES!$B$21,FATORES!$D$21,0)</f>
        <v>0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3653.0000000000018</v>
      </c>
      <c r="E19" s="140"/>
      <c r="F19" s="12">
        <f>VLOOKUP($E$18,FATORES!$B$16:$E$18,4)</f>
        <v>1E-3</v>
      </c>
      <c r="G19" s="12">
        <f>IFERROR(VLOOKUP($E$18,FATORES!$B$19:$E$20,4),0)</f>
        <v>0</v>
      </c>
      <c r="H19" s="64">
        <f t="shared" si="2"/>
        <v>3.6530000000000018</v>
      </c>
      <c r="I19" s="64">
        <f t="shared" si="0"/>
        <v>0</v>
      </c>
      <c r="J19" s="64">
        <f t="shared" si="3"/>
        <v>3.6530000000000018</v>
      </c>
      <c r="K19" s="142"/>
      <c r="L19" s="87">
        <f>SUMIFS(PROJEÇÃO[PROJ_ELETRO_B],PROJEÇÃO[PDV],'SAO FIDELIS'!$M$7)</f>
        <v>8150.0000000000036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5"/>
        <v>3.6530000000000018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3200</v>
      </c>
      <c r="D20" s="77">
        <f>_xlfn.XLOOKUP($J$7,PROJEÇÃO[CONSULTOR],PROJEÇÃO[PROJ_ESSEN_A])</f>
        <v>839.00000000000034</v>
      </c>
      <c r="E20" s="140">
        <f>IFERROR((D20+D21)/C20,0)</f>
        <v>0.62812500000000027</v>
      </c>
      <c r="F20" s="12">
        <f>VLOOKUP($E$20,FATORES!$B$6:$E$8,3)</f>
        <v>5.0000000000000001E-3</v>
      </c>
      <c r="G20" s="12">
        <f>IFERROR(VLOOKUP($E$20,FATORES!$B$9:$E$10,3),0)</f>
        <v>0</v>
      </c>
      <c r="H20" s="64">
        <f t="shared" si="2"/>
        <v>4.1950000000000021</v>
      </c>
      <c r="I20" s="64">
        <f t="shared" si="0"/>
        <v>0</v>
      </c>
      <c r="J20" s="64">
        <f t="shared" si="3"/>
        <v>4.1950000000000021</v>
      </c>
      <c r="K20" s="141">
        <f>SUMIFS(REALIZADO[META_ESSENCIAIS],REALIZADO[PDV],'SAO FIDELIS'!$M$7)</f>
        <v>6400</v>
      </c>
      <c r="L20" s="86">
        <f>SUMIFS(PROJEÇÃO[PROJ_ESSEN_A],PROJEÇÃO[PDV],'SAO FIDELIS'!$M$7)</f>
        <v>1322.0000000000005</v>
      </c>
      <c r="M20" s="114">
        <f>IFERROR((L20+L21)/K20,0)</f>
        <v>0.60015625000000017</v>
      </c>
      <c r="N20" s="12">
        <f>IF($M$20&gt;=FATORES!$B$11,FATORES!$D$11,0)</f>
        <v>0</v>
      </c>
      <c r="O20" s="88">
        <f t="shared" si="1"/>
        <v>0</v>
      </c>
      <c r="P20" s="13">
        <f t="shared" si="5"/>
        <v>4.1950000000000021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1171.0000000000005</v>
      </c>
      <c r="E21" s="140"/>
      <c r="F21" s="12">
        <f>VLOOKUP($E$20,FATORES!$B$6:$E$8,4)</f>
        <v>2E-3</v>
      </c>
      <c r="G21" s="12">
        <f>IFERROR(VLOOKUP($E$20,FATORES!$B$9:$E$10,4),0)</f>
        <v>0</v>
      </c>
      <c r="H21" s="64">
        <f t="shared" si="2"/>
        <v>2.342000000000001</v>
      </c>
      <c r="I21" s="64">
        <f t="shared" si="0"/>
        <v>0</v>
      </c>
      <c r="J21" s="64">
        <f t="shared" si="3"/>
        <v>2.342000000000001</v>
      </c>
      <c r="K21" s="142"/>
      <c r="L21" s="87">
        <f>SUMIFS(PROJEÇÃO[PROJ_ESSEN_B],PROJEÇÃO[PDV],'SAO FIDELIS'!$M$7)</f>
        <v>2519.0000000000009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2.342000000000001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330</v>
      </c>
      <c r="D22" s="81">
        <f>_xlfn.XLOOKUP($J$7,PROJEÇÃO[CONSULTOR],PROJEÇÃO[PROJ_SEGURO])</f>
        <v>102.50000000000004</v>
      </c>
      <c r="E22" s="83">
        <f>IFERROR(D22/C22,0)</f>
        <v>0.31060606060606072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1.0250000000000004</v>
      </c>
      <c r="I22" s="64">
        <f t="shared" si="0"/>
        <v>0</v>
      </c>
      <c r="J22" s="64">
        <f t="shared" si="3"/>
        <v>1.0250000000000004</v>
      </c>
      <c r="K22" s="56">
        <f>SUMIFS(REALIZADO[META_SEGUROS],REALIZADO[PDV],'SAO FIDELIS'!$M$7)</f>
        <v>660</v>
      </c>
      <c r="L22" s="78">
        <f>SUMIFS(PROJEÇÃO[PROJ_SEGURO],PROJEÇÃO[PDV],'SAO FIDELIS'!$M$7)</f>
        <v>116.40000000000005</v>
      </c>
      <c r="M22" s="49">
        <f t="shared" ref="M22:M23" si="6">IFERROR(L22/K22,0)</f>
        <v>0.17636363636363644</v>
      </c>
      <c r="N22" s="12">
        <f>IF($M$22&gt;=FATORES!$O$9,FATORES!$Q$9,0)</f>
        <v>0</v>
      </c>
      <c r="O22" s="88">
        <f t="shared" si="1"/>
        <v>0</v>
      </c>
      <c r="P22" s="13">
        <f t="shared" si="5"/>
        <v>1.0250000000000004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350</v>
      </c>
      <c r="D23" s="57">
        <f>_xlfn.XLOOKUP($J$7,PROJEÇÃO[CONSULTOR],PROJEÇÃO[PROJ_SVA])</f>
        <v>313.09000000000009</v>
      </c>
      <c r="E23" s="82">
        <f>IFERROR(D23/C23,0)</f>
        <v>0.89454285714285742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3.1309000000000009</v>
      </c>
      <c r="I23" s="64">
        <f t="shared" si="0"/>
        <v>0</v>
      </c>
      <c r="J23" s="16">
        <f t="shared" si="3"/>
        <v>3.1309000000000009</v>
      </c>
      <c r="K23" s="75">
        <f>SUMIFS(REALIZADO[META_SVA],REALIZADO[PDV],'SAO FIDELIS'!$M$7)</f>
        <v>700</v>
      </c>
      <c r="L23" s="76">
        <f>SUMIFS(PROJEÇÃO[PROJ_SVA],PROJEÇÃO[PDV],'SAO FIDELIS'!$M$7)</f>
        <v>547.39000000000021</v>
      </c>
      <c r="M23" s="50">
        <f t="shared" si="6"/>
        <v>0.78198571428571462</v>
      </c>
      <c r="N23" s="15">
        <f>IF($M$23&gt;=FATORES!$O$17,FATORES!$Q$17,0)</f>
        <v>0</v>
      </c>
      <c r="O23" s="88">
        <f t="shared" si="1"/>
        <v>0</v>
      </c>
      <c r="P23" s="17">
        <f t="shared" si="5"/>
        <v>3.1309000000000009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48.841000000000015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3750</v>
      </c>
      <c r="D30" s="76">
        <f>_xlfn.XLOOKUP($J$7,REALIZADO[CONSULTOR],REALIZADO[AT_MOVEL])</f>
        <v>206</v>
      </c>
      <c r="E30" s="48">
        <f>IFERROR(D30/C30,0)</f>
        <v>5.4933333333333334E-2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2.06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2.06</v>
      </c>
      <c r="K30" s="75">
        <f>SUMIFS(REALIZADO[META_MOVEL],REALIZADO[PDV],'SAO FIDELIS'!$M$7)</f>
        <v>7500</v>
      </c>
      <c r="L30" s="76">
        <f>SUMIFS(REALIZADO[AT_MOVEL],REALIZADO[PDV],'SAO FIDELIS'!$M$7)</f>
        <v>427.99</v>
      </c>
      <c r="M30" s="48">
        <f>IFERROR(L30/K30,0)</f>
        <v>5.7065333333333336E-2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2.06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2.6140000000000003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SUMIFS(REALIZADO[META_FIXA],REALIZADO[PDV],'SAO FIDELIS'!$M$7)</f>
        <v>0</v>
      </c>
      <c r="L31" s="76">
        <f>SUMIFS(REALIZADO[AT_FIXA],REALIZADO[PDV],'SAO FIDELIS'!$M$7)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41000</v>
      </c>
      <c r="D32" s="76">
        <f>_xlfn.XLOOKUP($J$7,REALIZADO[CONSULTOR],REALIZADO[AT_SMARTPHONE])</f>
        <v>0</v>
      </c>
      <c r="E32" s="49">
        <f>IFERROR(D32/C32,0)</f>
        <v>0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</v>
      </c>
      <c r="I32" s="64">
        <f t="shared" si="8"/>
        <v>0</v>
      </c>
      <c r="J32" s="64">
        <f t="shared" si="11"/>
        <v>0</v>
      </c>
      <c r="K32" s="52">
        <f>SUMIFS(REALIZADO[META_SMARTPHONE],REALIZADO[PDV],'SAO FIDELIS'!$M$7)</f>
        <v>82000</v>
      </c>
      <c r="L32" s="77">
        <f>SUMIFS(REALIZADO[AT_SMARTPHONE],REALIZADO[PDV],'SAO FIDELIS'!$M$7)</f>
        <v>0</v>
      </c>
      <c r="M32" s="49">
        <f t="shared" si="12"/>
        <v>0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4250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SUMIFS(REALIZADO[META_ACESSORIO],REALIZADO[PDV],'SAO FIDELIS'!$M$7)</f>
        <v>8500</v>
      </c>
      <c r="L33" s="86">
        <f>SUMIFS(REALIZADO[AT_ACESSORIOS_A],REALIZADO[PDV],'SAO FIDELIS'!$M$7)</f>
        <v>0</v>
      </c>
      <c r="M33" s="114">
        <f>IFERROR((L33+L34)/K33,0)</f>
        <v>0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SUMIFS(REALIZADO[AT_ACESSORIOS_B],REALIZADO[PDV],'SAO FIDELIS'!$M$7)</f>
        <v>0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3200</v>
      </c>
      <c r="D35" s="77">
        <f>_xlfn.XLOOKUP($J$7,REALIZADO[CONSULTOR],REALIZADO[AT_ESSENCIAIS_A])</f>
        <v>69</v>
      </c>
      <c r="E35" s="140">
        <f>IFERROR((D35+D36)/C35,0)</f>
        <v>2.1562499999999998E-2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0.34500000000000003</v>
      </c>
      <c r="I35" s="64">
        <f t="shared" si="8"/>
        <v>0</v>
      </c>
      <c r="J35" s="64">
        <f t="shared" si="11"/>
        <v>0.34500000000000003</v>
      </c>
      <c r="K35" s="141">
        <f>SUMIFS(REALIZADO[META_ESSENCIAIS],REALIZADO[PDV],'SAO FIDELIS'!$M$7)</f>
        <v>6400</v>
      </c>
      <c r="L35" s="86">
        <f>SUMIFS(REALIZADO[AT_ESSENCIAIS_A],REALIZADO[PDV],'SAO FIDELIS'!$M$7)</f>
        <v>69</v>
      </c>
      <c r="M35" s="114">
        <f>IFERROR((L35+L36)/K35,0)</f>
        <v>1.0781249999999999E-2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0.34500000000000003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SUMIFS(REALIZADO[AT_ESSENCIAIS_B],REALIZADO[PDV],'SAO FIDELIS'!$M$7)</f>
        <v>0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330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SUMIFS(REALIZADO[META_SEGUROS],REALIZADO[PDV],'SAO FIDELIS'!$M$7)</f>
        <v>660</v>
      </c>
      <c r="L37" s="78">
        <f>SUMIFS(REALIZADO[AT_SEGUROS],REALIZADO[PDV],'SAO FIDELIS'!$M$7)</f>
        <v>27.8</v>
      </c>
      <c r="M37" s="49">
        <f t="shared" ref="M37:M38" si="14">IFERROR(L37/K37,0)</f>
        <v>4.2121212121212122E-2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350</v>
      </c>
      <c r="D38" s="57">
        <f>_xlfn.XLOOKUP($J$7,REALIZADO[CONSULTOR],REALIZADO[AT_SVA])</f>
        <v>20.9</v>
      </c>
      <c r="E38" s="82">
        <f>IFERROR(D38/C38,0)</f>
        <v>5.9714285714285713E-2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0.20899999999999999</v>
      </c>
      <c r="I38" s="64">
        <f t="shared" si="8"/>
        <v>0</v>
      </c>
      <c r="J38" s="16">
        <f t="shared" si="11"/>
        <v>0.20899999999999999</v>
      </c>
      <c r="K38" s="75">
        <f>SUMIFS(REALIZADO[META_SVA],REALIZADO[PDV],'SAO FIDELIS'!$M$7)</f>
        <v>700</v>
      </c>
      <c r="L38" s="76">
        <f>SUMIFS(REALIZADO[AT_SVA],REALIZADO[PDV],'SAO FIDELIS'!$M$7)</f>
        <v>20.9</v>
      </c>
      <c r="M38" s="50">
        <f t="shared" si="14"/>
        <v>2.9857142857142856E-2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0.20899999999999999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2.6140000000000003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2500</v>
      </c>
      <c r="D45" s="53">
        <v>1812.94</v>
      </c>
      <c r="E45" s="48">
        <f>IFERROR(D45/C45,0)</f>
        <v>0.72517600000000004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18.1294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18.1294</v>
      </c>
      <c r="K45" s="52">
        <v>0</v>
      </c>
      <c r="L45" s="53">
        <v>0</v>
      </c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18.1294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63.343400000000003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28333.33</v>
      </c>
      <c r="D47" s="55">
        <v>26294</v>
      </c>
      <c r="E47" s="49">
        <f>IFERROR(D47/C47,0)</f>
        <v>0.92802363859101622</v>
      </c>
      <c r="F47" s="12">
        <f>VLOOKUP($E$47,FATORES!$B$25:$D$26,3)</f>
        <v>1.5E-3</v>
      </c>
      <c r="G47" s="12">
        <f>IFERROR(VLOOKUP($E$47,FATORES!$B$27:$D$27,3),0)</f>
        <v>0</v>
      </c>
      <c r="H47" s="64">
        <f t="shared" si="18"/>
        <v>39.441000000000003</v>
      </c>
      <c r="I47" s="64">
        <f t="shared" si="16"/>
        <v>0</v>
      </c>
      <c r="J47" s="64">
        <f t="shared" si="19"/>
        <v>39.441000000000003</v>
      </c>
      <c r="K47" s="54">
        <v>0</v>
      </c>
      <c r="L47" s="55">
        <v>0</v>
      </c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39.441000000000003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2833.33</v>
      </c>
      <c r="D48" s="55">
        <v>69</v>
      </c>
      <c r="E48" s="114">
        <f>IFERROR((D48+D49)/C48,0)</f>
        <v>2.4352969827023327E-2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6.9000000000000006E-2</v>
      </c>
      <c r="I48" s="64">
        <f t="shared" si="16"/>
        <v>0</v>
      </c>
      <c r="J48" s="64">
        <f t="shared" si="19"/>
        <v>6.9000000000000006E-2</v>
      </c>
      <c r="K48" s="113">
        <v>0</v>
      </c>
      <c r="L48" s="55">
        <v>0</v>
      </c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6.9000000000000006E-2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>
        <v>0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2216.67</v>
      </c>
      <c r="D50" s="55">
        <v>932</v>
      </c>
      <c r="E50" s="114">
        <f>IFERROR((D50+D51)/C50,0)</f>
        <v>0.42045049556316455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4.66</v>
      </c>
      <c r="I50" s="64">
        <f t="shared" si="16"/>
        <v>0</v>
      </c>
      <c r="J50" s="64">
        <f t="shared" si="19"/>
        <v>4.66</v>
      </c>
      <c r="K50" s="113">
        <v>0</v>
      </c>
      <c r="L50" s="55">
        <v>0</v>
      </c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4.66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v>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227.88</v>
      </c>
      <c r="D52" s="55">
        <v>84.5</v>
      </c>
      <c r="E52" s="49">
        <f>IFERROR(D52/C52,0)</f>
        <v>0.37080919782341581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0.84499999999999997</v>
      </c>
      <c r="I52" s="64">
        <f t="shared" si="16"/>
        <v>0</v>
      </c>
      <c r="J52" s="64">
        <f t="shared" si="19"/>
        <v>0.84499999999999997</v>
      </c>
      <c r="K52" s="54">
        <v>0</v>
      </c>
      <c r="L52" s="55">
        <v>0</v>
      </c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0.84499999999999997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266.67</v>
      </c>
      <c r="D53" s="57">
        <v>19.899999999999999</v>
      </c>
      <c r="E53" s="50">
        <f>IFERROR(D53/C53,0)</f>
        <v>7.4624067199159996E-2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0.19899999999999998</v>
      </c>
      <c r="I53" s="64">
        <f t="shared" si="16"/>
        <v>0</v>
      </c>
      <c r="J53" s="16">
        <f t="shared" si="19"/>
        <v>0.19899999999999998</v>
      </c>
      <c r="K53" s="56">
        <v>0</v>
      </c>
      <c r="L53" s="57"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0.19899999999999998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63.343400000000003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0RPtxz9S8iEUcE9RSSQy9cOKfMme9rnVd3ZeEEzphpdHpfp6m8dXwRPWnVtKS5EbP5ZT3/8WUigm6XAtrCUbug==" saltValue="VTNvybvUQUp+JeT0MlLIlw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523" priority="22" operator="between">
      <formula>0.7</formula>
      <formula>1</formula>
    </cfRule>
    <cfRule type="cellIs" dxfId="522" priority="23" operator="greaterThanOrEqual">
      <formula>1</formula>
    </cfRule>
    <cfRule type="cellIs" dxfId="521" priority="24" operator="lessThan">
      <formula>0.7</formula>
    </cfRule>
  </conditionalFormatting>
  <conditionalFormatting sqref="E30:E33 E35 E37:E38">
    <cfRule type="cellIs" dxfId="520" priority="10" operator="between">
      <formula>0.7</formula>
      <formula>1</formula>
    </cfRule>
    <cfRule type="cellIs" dxfId="519" priority="11" operator="greaterThanOrEqual">
      <formula>1</formula>
    </cfRule>
    <cfRule type="cellIs" dxfId="518" priority="12" operator="lessThan">
      <formula>0.7</formula>
    </cfRule>
  </conditionalFormatting>
  <conditionalFormatting sqref="E45:E48 E50 E52:E53">
    <cfRule type="cellIs" dxfId="517" priority="34" operator="between">
      <formula>0.7</formula>
      <formula>1</formula>
    </cfRule>
    <cfRule type="cellIs" dxfId="516" priority="35" operator="greaterThanOrEqual">
      <formula>1</formula>
    </cfRule>
    <cfRule type="cellIs" dxfId="515" priority="36" operator="lessThan">
      <formula>0.7</formula>
    </cfRule>
  </conditionalFormatting>
  <conditionalFormatting sqref="M15:M18">
    <cfRule type="cellIs" dxfId="514" priority="16" operator="between">
      <formula>0.7</formula>
      <formula>1</formula>
    </cfRule>
    <cfRule type="cellIs" dxfId="513" priority="17" operator="greaterThanOrEqual">
      <formula>1</formula>
    </cfRule>
    <cfRule type="cellIs" dxfId="512" priority="18" operator="lessThan">
      <formula>0.7</formula>
    </cfRule>
  </conditionalFormatting>
  <conditionalFormatting sqref="M20">
    <cfRule type="cellIs" dxfId="511" priority="13" operator="between">
      <formula>0.7</formula>
      <formula>1</formula>
    </cfRule>
    <cfRule type="cellIs" dxfId="510" priority="14" operator="greaterThanOrEqual">
      <formula>1</formula>
    </cfRule>
    <cfRule type="cellIs" dxfId="509" priority="15" operator="lessThan">
      <formula>0.7</formula>
    </cfRule>
  </conditionalFormatting>
  <conditionalFormatting sqref="M22:M23">
    <cfRule type="cellIs" dxfId="508" priority="19" operator="between">
      <formula>0.7</formula>
      <formula>1</formula>
    </cfRule>
    <cfRule type="cellIs" dxfId="507" priority="20" operator="greaterThanOrEqual">
      <formula>1</formula>
    </cfRule>
    <cfRule type="cellIs" dxfId="506" priority="21" operator="lessThan">
      <formula>0.7</formula>
    </cfRule>
  </conditionalFormatting>
  <conditionalFormatting sqref="M30:M33">
    <cfRule type="cellIs" dxfId="505" priority="4" operator="between">
      <formula>0.7</formula>
      <formula>1</formula>
    </cfRule>
    <cfRule type="cellIs" dxfId="504" priority="5" operator="greaterThanOrEqual">
      <formula>1</formula>
    </cfRule>
    <cfRule type="cellIs" dxfId="503" priority="6" operator="lessThan">
      <formula>0.7</formula>
    </cfRule>
  </conditionalFormatting>
  <conditionalFormatting sqref="M35">
    <cfRule type="cellIs" dxfId="502" priority="1" operator="between">
      <formula>0.7</formula>
      <formula>1</formula>
    </cfRule>
    <cfRule type="cellIs" dxfId="501" priority="2" operator="greaterThanOrEqual">
      <formula>1</formula>
    </cfRule>
    <cfRule type="cellIs" dxfId="500" priority="3" operator="lessThan">
      <formula>0.7</formula>
    </cfRule>
  </conditionalFormatting>
  <conditionalFormatting sqref="M37:M38">
    <cfRule type="cellIs" dxfId="499" priority="7" operator="between">
      <formula>0.7</formula>
      <formula>1</formula>
    </cfRule>
    <cfRule type="cellIs" dxfId="498" priority="8" operator="greaterThanOrEqual">
      <formula>1</formula>
    </cfRule>
    <cfRule type="cellIs" dxfId="497" priority="9" operator="lessThan">
      <formula>0.7</formula>
    </cfRule>
  </conditionalFormatting>
  <conditionalFormatting sqref="M45:M48">
    <cfRule type="cellIs" dxfId="496" priority="28" operator="between">
      <formula>0.7</formula>
      <formula>1</formula>
    </cfRule>
    <cfRule type="cellIs" dxfId="495" priority="29" operator="greaterThanOrEqual">
      <formula>1</formula>
    </cfRule>
    <cfRule type="cellIs" dxfId="494" priority="30" operator="lessThan">
      <formula>0.7</formula>
    </cfRule>
  </conditionalFormatting>
  <conditionalFormatting sqref="M50">
    <cfRule type="cellIs" dxfId="493" priority="25" operator="between">
      <formula>0.7</formula>
      <formula>1</formula>
    </cfRule>
    <cfRule type="cellIs" dxfId="492" priority="26" operator="greaterThanOrEqual">
      <formula>1</formula>
    </cfRule>
    <cfRule type="cellIs" dxfId="491" priority="27" operator="lessThan">
      <formula>0.7</formula>
    </cfRule>
  </conditionalFormatting>
  <conditionalFormatting sqref="M52:M53">
    <cfRule type="cellIs" dxfId="490" priority="31" operator="between">
      <formula>0.7</formula>
      <formula>1</formula>
    </cfRule>
    <cfRule type="cellIs" dxfId="489" priority="32" operator="greaterThanOrEqual">
      <formula>1</formula>
    </cfRule>
    <cfRule type="cellIs" dxfId="488" priority="33" operator="lessThan">
      <formula>0.7</formula>
    </cfRule>
  </conditionalFormatting>
  <dataValidations count="1">
    <dataValidation type="list" allowBlank="1" showInputMessage="1" showErrorMessage="1" sqref="B8:H8" xr:uid="{0251D825-6939-4E05-B84B-AB7ECBD16513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93A200-4FDB-4EA0-90FF-C2074D51C084}">
          <x14:formula1>
            <xm:f>HC!$AM$2:$AM$4</xm:f>
          </x14:formula1>
          <xm:sqref>J7:K7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2103-2F35-4EBF-9A79-2DF670FDADBA}">
  <dimension ref="B1:X54"/>
  <sheetViews>
    <sheetView topLeftCell="A24" zoomScale="80" zoomScaleNormal="80" workbookViewId="0">
      <selection activeCell="E53" sqref="E53"/>
    </sheetView>
  </sheetViews>
  <sheetFormatPr defaultRowHeight="14.4" x14ac:dyDescent="0.3"/>
  <cols>
    <col min="1" max="1" width="2" customWidth="1"/>
    <col min="2" max="2" width="16.44140625" customWidth="1"/>
    <col min="3" max="4" width="15" customWidth="1"/>
    <col min="5" max="5" width="13.44140625" bestFit="1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5" customWidth="1"/>
    <col min="13" max="13" width="9.77734375" customWidth="1"/>
    <col min="14" max="14" width="20.5546875" customWidth="1"/>
    <col min="15" max="15" width="21" customWidth="1"/>
    <col min="16" max="16" width="15.21875" customWidth="1"/>
    <col min="17" max="19" width="12.77734375" customWidth="1"/>
    <col min="20" max="20" width="14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110</v>
      </c>
      <c r="K7" s="179"/>
      <c r="M7" s="178" t="s">
        <v>44</v>
      </c>
      <c r="N7" s="179"/>
      <c r="P7" s="74" t="s">
        <v>45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2025</v>
      </c>
      <c r="D15" s="76">
        <f>_xlfn.XLOOKUP($J$7,PROJEÇÃO[CONSULTOR],PROJEÇÃO[PROJ_MOVEL])</f>
        <v>1714.0000000000007</v>
      </c>
      <c r="E15" s="48">
        <f>IFERROR(D15/C15,0)</f>
        <v>0.84641975308642003</v>
      </c>
      <c r="F15" s="8">
        <f>VLOOKUP($E$15,FATORES!$I$4:$K$6,3)</f>
        <v>0.05</v>
      </c>
      <c r="G15" s="8">
        <f>IFERROR(VLOOKUP($E$15,FATORES!$I$7:$K$8,3),0)</f>
        <v>0</v>
      </c>
      <c r="H15" s="9">
        <f>D15*F15</f>
        <v>85.700000000000045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85.700000000000045</v>
      </c>
      <c r="K15" s="75">
        <f>SUMIFS(REALIZADO[META_MOVEL],REALIZADO[PDV],JACARAIPE!$M$7)</f>
        <v>10800</v>
      </c>
      <c r="L15" s="76">
        <f>SUMIFS(PROJEÇÃO[PROJ_MOVEL],PROJEÇÃO[PDV],JACARAIPE!$M$7)</f>
        <v>10904.260000000006</v>
      </c>
      <c r="M15" s="48">
        <f>IFERROR(L15/K15,0)</f>
        <v>1.0096537037037043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85.700000000000045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700.54715000000044</v>
      </c>
    </row>
    <row r="16" spans="2:24" x14ac:dyDescent="0.3">
      <c r="B16" s="45" t="s">
        <v>13</v>
      </c>
      <c r="C16" s="75">
        <f>_xlfn.XLOOKUP($J$7,REALIZADO[CONSULTOR],REALIZADO[META_FIXA])</f>
        <v>731.25</v>
      </c>
      <c r="D16" s="76">
        <f>_xlfn.XLOOKUP($J$7,PROJEÇÃO[CONSULTOR],PROJEÇÃO[PROJ_FIXA])</f>
        <v>890.00000000000034</v>
      </c>
      <c r="E16" s="49">
        <f>IFERROR(D16/C16,0)</f>
        <v>1.2170940170940177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71.200000000000031</v>
      </c>
      <c r="I16" s="64">
        <f t="shared" si="0"/>
        <v>133.50000000000006</v>
      </c>
      <c r="J16" s="64">
        <f t="shared" ref="J16:J23" si="3">H16+I16</f>
        <v>204.7000000000001</v>
      </c>
      <c r="K16" s="75">
        <f>SUMIFS(REALIZADO[META_FIXA],REALIZADO[PDV],JACARAIPE!$M$7)</f>
        <v>3900</v>
      </c>
      <c r="L16" s="76">
        <f>SUMIFS(PROJEÇÃO[PROJ_FIXA],PROJEÇÃO[PDV],JACARAIPE!$M$7)</f>
        <v>4874.9300000000021</v>
      </c>
      <c r="M16" s="49">
        <f t="shared" ref="M16:M17" si="4">IFERROR(L16/K16,0)</f>
        <v>1.2499820512820519</v>
      </c>
      <c r="N16" s="12">
        <f>IF($M$17&gt;=FATORES!$I$17,FATORES!$K$17,0)</f>
        <v>0.15</v>
      </c>
      <c r="O16" s="88">
        <f t="shared" si="1"/>
        <v>133.50000000000006</v>
      </c>
      <c r="P16" s="13">
        <f t="shared" ref="P16:P23" si="5">J16+O16</f>
        <v>338.20000000000016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20625</v>
      </c>
      <c r="D17" s="76">
        <f>_xlfn.XLOOKUP($J$7,PROJEÇÃO[CONSULTOR],PROJEÇÃO[PROJ_APARELHO])</f>
        <v>24222.000000000011</v>
      </c>
      <c r="E17" s="49">
        <f>IFERROR(D17/C17,0)</f>
        <v>1.1744000000000006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36.33300000000002</v>
      </c>
      <c r="I17" s="64">
        <f t="shared" si="0"/>
        <v>48.444000000000024</v>
      </c>
      <c r="J17" s="64">
        <f t="shared" si="3"/>
        <v>84.777000000000044</v>
      </c>
      <c r="K17" s="52">
        <f>SUMIFS(REALIZADO[META_SMARTPHONE],REALIZADO[PDV],JACARAIPE!$M$7)</f>
        <v>110000</v>
      </c>
      <c r="L17" s="77">
        <f>SUMIFS(PROJEÇÃO[PROJ_APARELHO],PROJEÇÃO[PDV],JACARAIPE!$M$7)</f>
        <v>132287.15000000005</v>
      </c>
      <c r="M17" s="49">
        <f t="shared" si="4"/>
        <v>1.202610454545455</v>
      </c>
      <c r="N17" s="12">
        <f>IF($M$17&gt;=FATORES!$B$28,FATORES!$D$28,0)</f>
        <v>2.5000000000000001E-3</v>
      </c>
      <c r="O17" s="88">
        <f t="shared" si="1"/>
        <v>60.555000000000028</v>
      </c>
      <c r="P17" s="13">
        <f t="shared" si="5"/>
        <v>145.33200000000008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2812.5</v>
      </c>
      <c r="D18" s="77">
        <f>_xlfn.XLOOKUP($J$7,PROJEÇÃO[CONSULTOR],PROJEÇÃO[PROJ_ELETRO_A])</f>
        <v>0</v>
      </c>
      <c r="E18" s="140">
        <f>IFERROR((D18+D19)/C18,0)</f>
        <v>1.9687111111111122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SUMIFS(REALIZADO[META_ACESSORIO],REALIZADO[PDV],JACARAIPE!$M$7)</f>
        <v>15000</v>
      </c>
      <c r="L18" s="86">
        <f>SUMIFS(PROJEÇÃO[PROJ_ELETRO_A],PROJEÇÃO[PDV],JACARAIPE!$M$7)</f>
        <v>74.100000000000023</v>
      </c>
      <c r="M18" s="114">
        <f>IFERROR((L18+L19)/K18,0)</f>
        <v>1.3994433333333338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5537.0000000000027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8.3055000000000039</v>
      </c>
      <c r="I19" s="64">
        <f t="shared" si="0"/>
        <v>38.759000000000022</v>
      </c>
      <c r="J19" s="64">
        <f t="shared" si="3"/>
        <v>47.064500000000024</v>
      </c>
      <c r="K19" s="142"/>
      <c r="L19" s="87">
        <f>SUMIFS(PROJEÇÃO[PROJ_ELETRO_B],PROJEÇÃO[PDV],JACARAIPE!$M$7)</f>
        <v>20917.55000000001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47.064500000000024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1593.75</v>
      </c>
      <c r="D20" s="77">
        <f>_xlfn.XLOOKUP($J$7,PROJEÇÃO[CONSULTOR],PROJEÇÃO[PROJ_ESSEN_A])</f>
        <v>784.10000000000025</v>
      </c>
      <c r="E20" s="140">
        <f>IFERROR((D20+D21)/C20,0)</f>
        <v>1.0604862745098043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11.761500000000003</v>
      </c>
      <c r="I20" s="64">
        <f t="shared" si="0"/>
        <v>31.364000000000011</v>
      </c>
      <c r="J20" s="64">
        <f t="shared" si="3"/>
        <v>43.125500000000017</v>
      </c>
      <c r="K20" s="141">
        <f>SUMIFS(REALIZADO[META_ESSENCIAIS],REALIZADO[PDV],JACARAIPE!$M$7)</f>
        <v>8500</v>
      </c>
      <c r="L20" s="86">
        <f>SUMIFS(PROJEÇÃO[PROJ_ESSEN_A],PROJEÇÃO[PDV],JACARAIPE!$M$7)</f>
        <v>5723.8500000000013</v>
      </c>
      <c r="M20" s="114">
        <f>IFERROR((L20+L21)/K20,0)</f>
        <v>1.105263529411765</v>
      </c>
      <c r="N20" s="12">
        <f>IF($M$20&gt;=FATORES!$B$11,FATORES!$D$11,0)</f>
        <v>1.4999999999999999E-2</v>
      </c>
      <c r="O20" s="88">
        <f t="shared" si="1"/>
        <v>11.761500000000003</v>
      </c>
      <c r="P20" s="13">
        <f t="shared" si="5"/>
        <v>54.887000000000022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906.05000000000041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9.0605000000000047</v>
      </c>
      <c r="I21" s="64">
        <f t="shared" si="0"/>
        <v>13.590750000000005</v>
      </c>
      <c r="J21" s="64">
        <f t="shared" si="3"/>
        <v>22.651250000000012</v>
      </c>
      <c r="K21" s="142"/>
      <c r="L21" s="87">
        <f>SUMIFS(PROJEÇÃO[PROJ_ESSEN_B],PROJEÇÃO[PDV],JACARAIPE!$M$7)</f>
        <v>3670.8900000000012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22.651250000000012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166.875</v>
      </c>
      <c r="D22" s="81">
        <f>_xlfn.XLOOKUP($J$7,PROJEÇÃO[CONSULTOR],PROJEÇÃO[PROJ_SEGURO])</f>
        <v>120.50000000000006</v>
      </c>
      <c r="E22" s="83">
        <f>IFERROR(D22/C22,0)</f>
        <v>0.72209737827715392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1.2050000000000005</v>
      </c>
      <c r="I22" s="64">
        <f t="shared" si="0"/>
        <v>0</v>
      </c>
      <c r="J22" s="64">
        <f t="shared" si="3"/>
        <v>1.2050000000000005</v>
      </c>
      <c r="K22" s="56">
        <f>SUMIFS(REALIZADO[META_SEGUROS],REALIZADO[PDV],JACARAIPE!$M$7)</f>
        <v>890</v>
      </c>
      <c r="L22" s="78">
        <f>SUMIFS(PROJEÇÃO[PROJ_SEGURO],PROJEÇÃO[PDV],JACARAIPE!$M$7)</f>
        <v>937.60000000000036</v>
      </c>
      <c r="M22" s="49">
        <f t="shared" ref="M22:M23" si="6">IFERROR(L22/K22,0)</f>
        <v>1.0534831460674161</v>
      </c>
      <c r="N22" s="12">
        <f>IF($M$22&gt;=FATORES!$O$9,FATORES!$Q$9,0)</f>
        <v>0.1</v>
      </c>
      <c r="O22" s="88">
        <f t="shared" si="1"/>
        <v>0</v>
      </c>
      <c r="P22" s="13">
        <f t="shared" si="5"/>
        <v>1.2050000000000005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168.75</v>
      </c>
      <c r="D23" s="57">
        <f>_xlfn.XLOOKUP($J$7,PROJEÇÃO[CONSULTOR],PROJEÇÃO[PROJ_SVA])</f>
        <v>183.5800000000001</v>
      </c>
      <c r="E23" s="82">
        <f>IFERROR(D23/C23,0)</f>
        <v>1.0878814814814821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1.835800000000001</v>
      </c>
      <c r="I23" s="64">
        <f t="shared" si="0"/>
        <v>1.835800000000001</v>
      </c>
      <c r="J23" s="16">
        <f t="shared" si="3"/>
        <v>3.671600000000002</v>
      </c>
      <c r="K23" s="75">
        <f>SUMIFS(REALIZADO[META_SVA],REALIZADO[PDV],JACARAIPE!$M$7)</f>
        <v>900</v>
      </c>
      <c r="L23" s="76">
        <f>SUMIFS(PROJEÇÃO[PROJ_SVA],PROJEÇÃO[PDV],JACARAIPE!$M$7)</f>
        <v>904.76000000000033</v>
      </c>
      <c r="M23" s="50">
        <f t="shared" si="6"/>
        <v>1.0052888888888893</v>
      </c>
      <c r="N23" s="15">
        <f>IF($M$23&gt;=FATORES!$O$17,FATORES!$Q$17,0)</f>
        <v>0.01</v>
      </c>
      <c r="O23" s="88">
        <f t="shared" si="1"/>
        <v>1.835800000000001</v>
      </c>
      <c r="P23" s="17">
        <f t="shared" si="5"/>
        <v>5.5074000000000032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700.54715000000044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2025</v>
      </c>
      <c r="D30" s="76">
        <f>_xlfn.XLOOKUP($J$7,REALIZADO[CONSULTOR],REALIZADO[AT_MOVEL])</f>
        <v>124</v>
      </c>
      <c r="E30" s="48">
        <f>IFERROR(D30/C30,0)</f>
        <v>6.123456790123457E-2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1.24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1.24</v>
      </c>
      <c r="K30" s="75">
        <f>SUMIFS(REALIZADO[META_MOVEL],REALIZADO[PDV],JACARAIPE!$M$7)</f>
        <v>10800</v>
      </c>
      <c r="L30" s="76">
        <f>SUMIFS(REALIZADO[AT_MOVEL],REALIZADO[PDV],JACARAIPE!$M$7)</f>
        <v>982.01</v>
      </c>
      <c r="M30" s="48">
        <f>IFERROR(L30/K30,0)</f>
        <v>9.0926851851851856E-2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1.24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3.2858999999999998</v>
      </c>
    </row>
    <row r="31" spans="2:20" x14ac:dyDescent="0.3">
      <c r="B31" s="45" t="s">
        <v>13</v>
      </c>
      <c r="C31" s="75">
        <f>_xlfn.XLOOKUP($J$7,REALIZADO[CONSULTOR],REALIZADO[META_FIXA])</f>
        <v>731.25</v>
      </c>
      <c r="D31" s="76">
        <f>_xlfn.XLOOKUP($J$7,REALIZADO[CONSULTOR],REALIZADO[AT_FIXA])</f>
        <v>95</v>
      </c>
      <c r="E31" s="49">
        <f>IFERROR(D31/C31,0)</f>
        <v>0.12991452991452992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0.95000000000000007</v>
      </c>
      <c r="I31" s="64">
        <f t="shared" si="8"/>
        <v>0</v>
      </c>
      <c r="J31" s="64">
        <f t="shared" ref="J31:J38" si="11">H31+I31</f>
        <v>0.95000000000000007</v>
      </c>
      <c r="K31" s="75">
        <f>SUMIFS(REALIZADO[META_FIXA],REALIZADO[PDV],JACARAIPE!$M$7)</f>
        <v>3900</v>
      </c>
      <c r="L31" s="76">
        <f>SUMIFS(REALIZADO[AT_FIXA],REALIZADO[PDV],JACARAIPE!$M$7)</f>
        <v>540.01</v>
      </c>
      <c r="M31" s="49">
        <f t="shared" ref="M31:M32" si="12">IFERROR(L31/K31,0)</f>
        <v>0.13846410256410255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0.95000000000000007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20625</v>
      </c>
      <c r="D32" s="76">
        <f>_xlfn.XLOOKUP($J$7,REALIZADO[CONSULTOR],REALIZADO[AT_SMARTPHONE])</f>
        <v>0</v>
      </c>
      <c r="E32" s="49">
        <f>IFERROR(D32/C32,0)</f>
        <v>0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</v>
      </c>
      <c r="I32" s="64">
        <f t="shared" si="8"/>
        <v>0</v>
      </c>
      <c r="J32" s="64">
        <f t="shared" si="11"/>
        <v>0</v>
      </c>
      <c r="K32" s="52">
        <f>SUMIFS(REALIZADO[META_SMARTPHONE],REALIZADO[PDV],JACARAIPE!$M$7)</f>
        <v>110000</v>
      </c>
      <c r="L32" s="77">
        <f>SUMIFS(REALIZADO[AT_SMARTPHONE],REALIZADO[PDV],JACARAIPE!$M$7)</f>
        <v>11155.05</v>
      </c>
      <c r="M32" s="49">
        <f t="shared" si="12"/>
        <v>0.10140954545454545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2812.5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SUMIFS(REALIZADO[META_ACESSORIO],REALIZADO[PDV],JACARAIPE!$M$7)</f>
        <v>15000</v>
      </c>
      <c r="L33" s="86">
        <f>SUMIFS(REALIZADO[AT_ACESSORIOS_A],REALIZADO[PDV],JACARAIPE!$M$7)</f>
        <v>0</v>
      </c>
      <c r="M33" s="114">
        <f>IFERROR((L33+L34)/K33,0)</f>
        <v>0.20653333333333335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SUMIFS(REALIZADO[AT_ACESSORIOS_B],REALIZADO[PDV],JACARAIPE!$M$7)</f>
        <v>3098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1593.75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SUMIFS(REALIZADO[META_ESSENCIAIS],REALIZADO[PDV],JACARAIPE!$M$7)</f>
        <v>8500</v>
      </c>
      <c r="L35" s="86">
        <f>SUMIFS(REALIZADO[AT_ESSENCIAIS_A],REALIZADO[PDV],JACARAIPE!$M$7)</f>
        <v>591.95000000000005</v>
      </c>
      <c r="M35" s="114">
        <f>IFERROR((L35+L36)/K35,0)</f>
        <v>0.14618823529411765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SUMIFS(REALIZADO[AT_ESSENCIAIS_B],REALIZADO[PDV],JACARAIPE!$M$7)</f>
        <v>650.65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166.875</v>
      </c>
      <c r="D37" s="81">
        <f>_xlfn.XLOOKUP($J$7,REALIZADO[CONSULTOR],REALIZADO[AT_SEGUROS])</f>
        <v>68.7</v>
      </c>
      <c r="E37" s="83">
        <f>IFERROR(D37/C37,0)</f>
        <v>0.41168539325842696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0.68700000000000006</v>
      </c>
      <c r="I37" s="64">
        <f t="shared" si="8"/>
        <v>0</v>
      </c>
      <c r="J37" s="64">
        <f t="shared" si="11"/>
        <v>0.68700000000000006</v>
      </c>
      <c r="K37" s="56">
        <f>SUMIFS(REALIZADO[META_SEGUROS],REALIZADO[PDV],JACARAIPE!$M$7)</f>
        <v>890</v>
      </c>
      <c r="L37" s="78">
        <f>SUMIFS(REALIZADO[AT_SEGUROS],REALIZADO[PDV],JACARAIPE!$M$7)</f>
        <v>155.5</v>
      </c>
      <c r="M37" s="49">
        <f t="shared" ref="M37:M38" si="14">IFERROR(L37/K37,0)</f>
        <v>0.17471910112359551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0.68700000000000006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168.75</v>
      </c>
      <c r="D38" s="57">
        <f>_xlfn.XLOOKUP($J$7,REALIZADO[CONSULTOR],REALIZADO[AT_SVA])</f>
        <v>40.89</v>
      </c>
      <c r="E38" s="82">
        <f>IFERROR(D38/C38,0)</f>
        <v>0.24231111111111112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0.40890000000000004</v>
      </c>
      <c r="I38" s="64">
        <f t="shared" si="8"/>
        <v>0</v>
      </c>
      <c r="J38" s="16">
        <f t="shared" si="11"/>
        <v>0.40890000000000004</v>
      </c>
      <c r="K38" s="75">
        <f>SUMIFS(REALIZADO[META_SVA],REALIZADO[PDV],JACARAIPE!$M$7)</f>
        <v>900</v>
      </c>
      <c r="L38" s="76">
        <f>SUMIFS(REALIZADO[AT_SVA],REALIZADO[PDV],JACARAIPE!$M$7)</f>
        <v>142.59</v>
      </c>
      <c r="M38" s="50">
        <f t="shared" si="14"/>
        <v>0.15843333333333334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0.40890000000000004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3.2858999999999998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f>_xlfn.XLOOKUP($J$7,REALIZADO[CONSULTOR],REALIZADO[META_MOVEL])</f>
        <v>2025</v>
      </c>
      <c r="D45" s="53">
        <v>2025</v>
      </c>
      <c r="E45" s="48">
        <f>IFERROR(D45/C45,0)</f>
        <v>1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162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303.75</v>
      </c>
      <c r="J45" s="9">
        <f>H45+I45</f>
        <v>465.75</v>
      </c>
      <c r="K45" s="52">
        <f>SUMIFS(REALIZADO[META_MOVEL],REALIZADO[PDV],JACARAIPE!$M$7)</f>
        <v>10800</v>
      </c>
      <c r="L45" s="53">
        <f>SUMIFS(REALIZADO[META_MOVEL],REALIZADO[PDV],JACARAIPE!$M$7)</f>
        <v>10800</v>
      </c>
      <c r="M45" s="48">
        <f>IFERROR(L45/K45,0)</f>
        <v>1</v>
      </c>
      <c r="N45" s="8">
        <f>IF($M$45&gt;=FATORES!$I$9,FATORES!$K$9,0)</f>
        <v>0.1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202.5</v>
      </c>
      <c r="P45" s="10">
        <f>J45+O45</f>
        <v>668.25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963.58000000000015</v>
      </c>
    </row>
    <row r="46" spans="2:20" x14ac:dyDescent="0.3">
      <c r="B46" s="45" t="s">
        <v>13</v>
      </c>
      <c r="C46" s="54">
        <f>_xlfn.XLOOKUP($J$7,REALIZADO[CONSULTOR],REALIZADO[META_FIXA])</f>
        <v>731.25</v>
      </c>
      <c r="D46" s="55">
        <v>732</v>
      </c>
      <c r="E46" s="49">
        <f>IFERROR(D46/C46,0)</f>
        <v>1.0010256410256411</v>
      </c>
      <c r="F46" s="12">
        <f>VLOOKUP($E$46,FATORES!$I$12:$K$14,3)</f>
        <v>0.08</v>
      </c>
      <c r="G46" s="12">
        <f>IFERROR(VLOOKUP($E$46,FATORES!$I$15:$K$16,3),0)</f>
        <v>0.15</v>
      </c>
      <c r="H46" s="64">
        <f t="shared" ref="H46:H53" si="18">D46*F46</f>
        <v>58.56</v>
      </c>
      <c r="I46" s="64">
        <f t="shared" si="16"/>
        <v>109.8</v>
      </c>
      <c r="J46" s="64">
        <f t="shared" ref="J46:J53" si="19">H46+I46</f>
        <v>168.36</v>
      </c>
      <c r="K46" s="54">
        <f>SUMIFS(REALIZADO[META_FIXA],REALIZADO[PDV],JACARAIPE!$M$7)</f>
        <v>3900</v>
      </c>
      <c r="L46" s="55">
        <f>SUMIFS(REALIZADO[META_FIXA],REALIZADO[PDV],JACARAIPE!$M$7)</f>
        <v>3900</v>
      </c>
      <c r="M46" s="49">
        <f t="shared" ref="M46:M53" si="20">IFERROR(L46/K46,0)</f>
        <v>1</v>
      </c>
      <c r="N46" s="12">
        <f>IF($M$46&gt;=FATORES!$I$17,FATORES!$K$17,0)</f>
        <v>0.15</v>
      </c>
      <c r="O46" s="88">
        <f t="shared" si="17"/>
        <v>109.8</v>
      </c>
      <c r="P46" s="13">
        <f t="shared" ref="P46:P53" si="21">J46+O46</f>
        <v>278.16000000000003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20625</v>
      </c>
      <c r="D47" s="55">
        <v>14500</v>
      </c>
      <c r="E47" s="49">
        <f>IFERROR(D47/C47,0)</f>
        <v>0.70303030303030301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7.25</v>
      </c>
      <c r="I47" s="64">
        <f t="shared" si="16"/>
        <v>0</v>
      </c>
      <c r="J47" s="64">
        <f t="shared" si="19"/>
        <v>7.25</v>
      </c>
      <c r="K47" s="54">
        <f>SUMIFS(REALIZADO[META_SMARTPHONE],REALIZADO[PDV],JACARAIPE!$M$7)</f>
        <v>110000</v>
      </c>
      <c r="L47" s="55">
        <f>SUMIFS(REALIZADO[META_SMARTPHONE],REALIZADO[PDV],JACARAIPE!$M$7)</f>
        <v>110000</v>
      </c>
      <c r="M47" s="49">
        <f t="shared" si="20"/>
        <v>1</v>
      </c>
      <c r="N47" s="12">
        <f>IF($M$47&gt;=FATORES!$B$28,FATORES!$D$28,0)</f>
        <v>2.5000000000000001E-3</v>
      </c>
      <c r="O47" s="88">
        <f t="shared" si="17"/>
        <v>0</v>
      </c>
      <c r="P47" s="13">
        <f t="shared" si="21"/>
        <v>7.25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2812.5</v>
      </c>
      <c r="D48" s="55">
        <v>1970</v>
      </c>
      <c r="E48" s="114">
        <f>IFERROR((D48+D49)/C48,0)</f>
        <v>0.70044444444444443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1.97</v>
      </c>
      <c r="I48" s="64">
        <f t="shared" si="16"/>
        <v>0</v>
      </c>
      <c r="J48" s="64">
        <f t="shared" si="19"/>
        <v>1.97</v>
      </c>
      <c r="K48" s="113">
        <f>SUMIFS(REALIZADO[META_ACESSORIO],REALIZADO[PDV],JACARAIPE!$M$7)</f>
        <v>15000</v>
      </c>
      <c r="L48" s="55">
        <f>SUMIFS(REALIZADO[META_ACESSORIO],REALIZADO[PDV],JACARAIPE!$M$7)</f>
        <v>15000</v>
      </c>
      <c r="M48" s="114">
        <f>IFERROR((L48+L49)/K48,0)</f>
        <v>1</v>
      </c>
      <c r="N48" s="12">
        <f>IF($M$48&gt;=FATORES!$B$21,FATORES!$D$21,0)</f>
        <v>5.0000000000000001E-3</v>
      </c>
      <c r="O48" s="88">
        <f t="shared" si="17"/>
        <v>0</v>
      </c>
      <c r="P48" s="13">
        <f t="shared" si="21"/>
        <v>1.97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/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f>_xlfn.XLOOKUP($J$7,REALIZADO[CONSULTOR],REALIZADO[META_ESSENCIAIS])</f>
        <v>1593.75</v>
      </c>
      <c r="D50" s="55">
        <v>1116</v>
      </c>
      <c r="E50" s="114">
        <f>IFERROR((D50+D51)/C50,0)</f>
        <v>0.70023529411764707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5.58</v>
      </c>
      <c r="I50" s="64">
        <f t="shared" si="16"/>
        <v>0</v>
      </c>
      <c r="J50" s="64">
        <f t="shared" si="19"/>
        <v>5.58</v>
      </c>
      <c r="K50" s="113">
        <f>SUMIFS(REALIZADO[META_ESSENCIAIS],REALIZADO[PDV],JACARAIPE!$M$7)</f>
        <v>8500</v>
      </c>
      <c r="L50" s="55">
        <f>SUMIFS(REALIZADO[META_ESSENCIAIS],REALIZADO[PDV],JACARAIPE!$M$7)</f>
        <v>8500</v>
      </c>
      <c r="M50" s="114">
        <f>IFERROR((L50+L51)/K50,0)</f>
        <v>1</v>
      </c>
      <c r="N50" s="12">
        <f>IF($M$50&gt;=FATORES!$B$11,FATORES!D11,0)</f>
        <v>1.4999999999999999E-2</v>
      </c>
      <c r="O50" s="88">
        <f t="shared" si="17"/>
        <v>0</v>
      </c>
      <c r="P50" s="13">
        <f t="shared" si="21"/>
        <v>5.58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/>
      <c r="M51" s="114"/>
      <c r="N51" s="12">
        <f>IF($M$50&gt;=FATORES!$B$11,FATORES!$E$11,0)</f>
        <v>0.01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f>_xlfn.XLOOKUP($J$7,REALIZADO[CONSULTOR],REALIZADO[META_SEGUROS])</f>
        <v>166.875</v>
      </c>
      <c r="D52" s="55">
        <v>117</v>
      </c>
      <c r="E52" s="49">
        <f>IFERROR(D52/C52,0)</f>
        <v>0.70112359550561798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1.17</v>
      </c>
      <c r="I52" s="64">
        <f t="shared" si="16"/>
        <v>0</v>
      </c>
      <c r="J52" s="64">
        <f t="shared" si="19"/>
        <v>1.17</v>
      </c>
      <c r="K52" s="54">
        <f>SUMIFS(REALIZADO[META_SEGUROS],REALIZADO[PDV],JACARAIPE!$M$7)</f>
        <v>890</v>
      </c>
      <c r="L52" s="55">
        <f>SUMIFS(REALIZADO[META_SEGUROS],REALIZADO[PDV],JACARAIPE!$M$7)</f>
        <v>890</v>
      </c>
      <c r="M52" s="49">
        <f t="shared" si="20"/>
        <v>1</v>
      </c>
      <c r="N52" s="12">
        <f>IF($M$52&gt;=FATORES!$O$9,FATORES!$Q$9,0)</f>
        <v>0.1</v>
      </c>
      <c r="O52" s="88">
        <f t="shared" si="17"/>
        <v>0</v>
      </c>
      <c r="P52" s="13">
        <f t="shared" si="21"/>
        <v>1.17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f>_xlfn.XLOOKUP($J$7,REALIZADO[CONSULTOR],REALIZADO[META_SVA])</f>
        <v>168.75</v>
      </c>
      <c r="D53" s="57">
        <v>120</v>
      </c>
      <c r="E53" s="50">
        <f>IFERROR(D53/C53,0)</f>
        <v>0.71111111111111114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1.2</v>
      </c>
      <c r="I53" s="64">
        <f t="shared" si="16"/>
        <v>0</v>
      </c>
      <c r="J53" s="16">
        <f t="shared" si="19"/>
        <v>1.2</v>
      </c>
      <c r="K53" s="56">
        <f>SUMIFS(REALIZADO[META_SVA],REALIZADO[PDV],JACARAIPE!$M$7)</f>
        <v>900</v>
      </c>
      <c r="L53" s="57">
        <f>SUMIFS(REALIZADO[META_SVA],REALIZADO[PDV],JACARAIPE!$M$7)</f>
        <v>900</v>
      </c>
      <c r="M53" s="50">
        <f t="shared" si="20"/>
        <v>1</v>
      </c>
      <c r="N53" s="15">
        <f>IF($M$53&gt;=FATORES!$O$17,FATORES!$Q$17,0)</f>
        <v>0.01</v>
      </c>
      <c r="O53" s="88">
        <f t="shared" si="17"/>
        <v>0</v>
      </c>
      <c r="P53" s="17">
        <f t="shared" si="21"/>
        <v>1.2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963.58000000000015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jSUwtI5LYVnwTobP6U1+cZ0t6Ll7kIZZuk/LT/gMHAgt/HKeVwB46U5sWY64OjF+YfB0UjA00LdTXSb9v3MNxA==" saltValue="iX6ttf07TptbQUREEPk88w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487" priority="22" operator="between">
      <formula>0.7</formula>
      <formula>1</formula>
    </cfRule>
    <cfRule type="cellIs" dxfId="486" priority="23" operator="greaterThanOrEqual">
      <formula>1</formula>
    </cfRule>
    <cfRule type="cellIs" dxfId="485" priority="24" operator="lessThan">
      <formula>0.7</formula>
    </cfRule>
  </conditionalFormatting>
  <conditionalFormatting sqref="E30:E33 E35 E37:E38">
    <cfRule type="cellIs" dxfId="484" priority="10" operator="between">
      <formula>0.7</formula>
      <formula>1</formula>
    </cfRule>
    <cfRule type="cellIs" dxfId="483" priority="11" operator="greaterThanOrEqual">
      <formula>1</formula>
    </cfRule>
    <cfRule type="cellIs" dxfId="482" priority="12" operator="lessThan">
      <formula>0.7</formula>
    </cfRule>
  </conditionalFormatting>
  <conditionalFormatting sqref="E45:E48 E50 E52:E53">
    <cfRule type="cellIs" dxfId="481" priority="34" operator="between">
      <formula>0.7</formula>
      <formula>1</formula>
    </cfRule>
    <cfRule type="cellIs" dxfId="480" priority="35" operator="greaterThanOrEqual">
      <formula>1</formula>
    </cfRule>
    <cfRule type="cellIs" dxfId="479" priority="36" operator="lessThan">
      <formula>0.7</formula>
    </cfRule>
  </conditionalFormatting>
  <conditionalFormatting sqref="M15:M18">
    <cfRule type="cellIs" dxfId="478" priority="16" operator="between">
      <formula>0.7</formula>
      <formula>1</formula>
    </cfRule>
    <cfRule type="cellIs" dxfId="477" priority="17" operator="greaterThanOrEqual">
      <formula>1</formula>
    </cfRule>
    <cfRule type="cellIs" dxfId="476" priority="18" operator="lessThan">
      <formula>0.7</formula>
    </cfRule>
  </conditionalFormatting>
  <conditionalFormatting sqref="M20">
    <cfRule type="cellIs" dxfId="475" priority="13" operator="between">
      <formula>0.7</formula>
      <formula>1</formula>
    </cfRule>
    <cfRule type="cellIs" dxfId="474" priority="14" operator="greaterThanOrEqual">
      <formula>1</formula>
    </cfRule>
    <cfRule type="cellIs" dxfId="473" priority="15" operator="lessThan">
      <formula>0.7</formula>
    </cfRule>
  </conditionalFormatting>
  <conditionalFormatting sqref="M22:M23">
    <cfRule type="cellIs" dxfId="472" priority="19" operator="between">
      <formula>0.7</formula>
      <formula>1</formula>
    </cfRule>
    <cfRule type="cellIs" dxfId="471" priority="20" operator="greaterThanOrEqual">
      <formula>1</formula>
    </cfRule>
    <cfRule type="cellIs" dxfId="470" priority="21" operator="lessThan">
      <formula>0.7</formula>
    </cfRule>
  </conditionalFormatting>
  <conditionalFormatting sqref="M30:M33">
    <cfRule type="cellIs" dxfId="469" priority="4" operator="between">
      <formula>0.7</formula>
      <formula>1</formula>
    </cfRule>
    <cfRule type="cellIs" dxfId="468" priority="5" operator="greaterThanOrEqual">
      <formula>1</formula>
    </cfRule>
    <cfRule type="cellIs" dxfId="467" priority="6" operator="lessThan">
      <formula>0.7</formula>
    </cfRule>
  </conditionalFormatting>
  <conditionalFormatting sqref="M35">
    <cfRule type="cellIs" dxfId="466" priority="1" operator="between">
      <formula>0.7</formula>
      <formula>1</formula>
    </cfRule>
    <cfRule type="cellIs" dxfId="465" priority="2" operator="greaterThanOrEqual">
      <formula>1</formula>
    </cfRule>
    <cfRule type="cellIs" dxfId="464" priority="3" operator="lessThan">
      <formula>0.7</formula>
    </cfRule>
  </conditionalFormatting>
  <conditionalFormatting sqref="M37:M38">
    <cfRule type="cellIs" dxfId="463" priority="7" operator="between">
      <formula>0.7</formula>
      <formula>1</formula>
    </cfRule>
    <cfRule type="cellIs" dxfId="462" priority="8" operator="greaterThanOrEqual">
      <formula>1</formula>
    </cfRule>
    <cfRule type="cellIs" dxfId="461" priority="9" operator="lessThan">
      <formula>0.7</formula>
    </cfRule>
  </conditionalFormatting>
  <conditionalFormatting sqref="M45:M48">
    <cfRule type="cellIs" dxfId="460" priority="28" operator="between">
      <formula>0.7</formula>
      <formula>1</formula>
    </cfRule>
    <cfRule type="cellIs" dxfId="459" priority="29" operator="greaterThanOrEqual">
      <formula>1</formula>
    </cfRule>
    <cfRule type="cellIs" dxfId="458" priority="30" operator="lessThan">
      <formula>0.7</formula>
    </cfRule>
  </conditionalFormatting>
  <conditionalFormatting sqref="M50">
    <cfRule type="cellIs" dxfId="457" priority="25" operator="between">
      <formula>0.7</formula>
      <formula>1</formula>
    </cfRule>
    <cfRule type="cellIs" dxfId="456" priority="26" operator="greaterThanOrEqual">
      <formula>1</formula>
    </cfRule>
    <cfRule type="cellIs" dxfId="455" priority="27" operator="lessThan">
      <formula>0.7</formula>
    </cfRule>
  </conditionalFormatting>
  <conditionalFormatting sqref="M52:M53">
    <cfRule type="cellIs" dxfId="454" priority="31" operator="between">
      <formula>0.7</formula>
      <formula>1</formula>
    </cfRule>
    <cfRule type="cellIs" dxfId="453" priority="32" operator="greaterThanOrEqual">
      <formula>1</formula>
    </cfRule>
    <cfRule type="cellIs" dxfId="452" priority="33" operator="lessThan">
      <formula>0.7</formula>
    </cfRule>
  </conditionalFormatting>
  <dataValidations count="1">
    <dataValidation type="list" allowBlank="1" showInputMessage="1" showErrorMessage="1" sqref="B8:H8" xr:uid="{9CFA2195-EC06-4D38-BCD0-F8DCDCFE3DA5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DC8BAC-E898-40F1-BF63-2570662B7897}">
          <x14:formula1>
            <xm:f>HC!$O$2:$O$6</xm:f>
          </x14:formula1>
          <xm:sqref>J7:K7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BD91-54BC-4924-8A3F-DE8123ECC3E0}">
  <dimension ref="B1:X54"/>
  <sheetViews>
    <sheetView showGridLines="0" topLeftCell="A40" workbookViewId="0">
      <selection activeCell="C45" sqref="C45:D53"/>
    </sheetView>
  </sheetViews>
  <sheetFormatPr defaultRowHeight="14.4" x14ac:dyDescent="0.3"/>
  <cols>
    <col min="1" max="1" width="2" customWidth="1"/>
    <col min="2" max="2" width="16.44140625" customWidth="1"/>
    <col min="3" max="4" width="15.44140625" customWidth="1"/>
    <col min="5" max="5" width="14.218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5.44140625" customWidth="1"/>
    <col min="13" max="13" width="14.21875" customWidth="1"/>
    <col min="14" max="14" width="20.5546875" customWidth="1"/>
    <col min="15" max="15" width="21" customWidth="1"/>
    <col min="16" max="16" width="15.21875" customWidth="1"/>
    <col min="17" max="19" width="14.5546875" customWidth="1"/>
    <col min="20" max="20" width="17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114</v>
      </c>
      <c r="K7" s="179"/>
      <c r="M7" s="178" t="s">
        <v>40</v>
      </c>
      <c r="N7" s="179"/>
      <c r="P7" s="74" t="s">
        <v>37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1607.1429000000001</v>
      </c>
      <c r="D15" s="76">
        <f>_xlfn.XLOOKUP($J$7,PROJEÇÃO[CONSULTOR],PROJEÇÃO[PROJ_MOVEL])</f>
        <v>1474.7600000000007</v>
      </c>
      <c r="E15" s="48">
        <f>IFERROR(D15/C15,0)</f>
        <v>0.91762841997435363</v>
      </c>
      <c r="F15" s="8">
        <f>VLOOKUP($E$15,FATORES!$I$4:$K$6,3)</f>
        <v>0.08</v>
      </c>
      <c r="G15" s="8">
        <f>IFERROR(VLOOKUP($E$15,FATORES!$I$7:$K$8,3),0)</f>
        <v>0</v>
      </c>
      <c r="H15" s="9">
        <f>D15*F15</f>
        <v>117.98080000000006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117.98080000000006</v>
      </c>
      <c r="K15" s="75">
        <f>SUMIFS(REALIZADO[META_MOVEL],REALIZADO[PDV],'JARDIM CAMBURI'!$M$7)</f>
        <v>4500.0001000000002</v>
      </c>
      <c r="L15" s="76">
        <f>SUMIFS(PROJEÇÃO[PROJ_MOVEL],PROJEÇÃO[PDV],'JARDIM CAMBURI'!$M$7)</f>
        <v>4657.260000000002</v>
      </c>
      <c r="M15" s="48">
        <f>IFERROR(L15/K15,0)</f>
        <v>1.0349466436678527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117.98080000000006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222.21330000000012</v>
      </c>
    </row>
    <row r="16" spans="2:24" x14ac:dyDescent="0.3">
      <c r="B16" s="45" t="s">
        <v>13</v>
      </c>
      <c r="C16" s="75">
        <f>_xlfn.XLOOKUP($J$7,REALIZADO[CONSULTOR],REALIZADO[META_FIXA])</f>
        <v>1053.5714</v>
      </c>
      <c r="D16" s="76">
        <f>_xlfn.XLOOKUP($J$7,PROJEÇÃO[CONSULTOR],PROJEÇÃO[PROJ_FIXA])</f>
        <v>1004.9700000000005</v>
      </c>
      <c r="E16" s="49">
        <f>IFERROR(D16/C16,0)</f>
        <v>0.95386985637613209</v>
      </c>
      <c r="F16" s="12">
        <f>VLOOKUP($E$16,FATORES!$I$12:$K$14,3)</f>
        <v>0.08</v>
      </c>
      <c r="G16" s="12">
        <f>IFERROR(VLOOKUP($E$16,FATORES!$I$15:$K$16,3),0)</f>
        <v>0</v>
      </c>
      <c r="H16" s="64">
        <f t="shared" ref="H16:H23" si="2">D16*F16</f>
        <v>80.39760000000004</v>
      </c>
      <c r="I16" s="64">
        <f t="shared" si="0"/>
        <v>0</v>
      </c>
      <c r="J16" s="64">
        <f t="shared" ref="J16:J23" si="3">H16+I16</f>
        <v>80.39760000000004</v>
      </c>
      <c r="K16" s="75">
        <f>SUMIFS(REALIZADO[META_FIXA],REALIZADO[PDV],'JARDIM CAMBURI'!$M$7)</f>
        <v>2949.9998999999998</v>
      </c>
      <c r="L16" s="76">
        <f>SUMIFS(PROJEÇÃO[PROJ_FIXA],PROJEÇÃO[PDV],'JARDIM CAMBURI'!$M$7)</f>
        <v>3284.9500000000016</v>
      </c>
      <c r="M16" s="49">
        <f t="shared" ref="M16:M17" si="4">IFERROR(L16/K16,0)</f>
        <v>1.113542410628557</v>
      </c>
      <c r="N16" s="12">
        <f>IF($M$17&gt;=FATORES!$I$17,FATORES!$K$17,0)</f>
        <v>0.15</v>
      </c>
      <c r="O16" s="88">
        <f t="shared" si="1"/>
        <v>0</v>
      </c>
      <c r="P16" s="13">
        <f t="shared" ref="P16:P23" si="5">J16+O16</f>
        <v>80.39760000000004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30357.142899999999</v>
      </c>
      <c r="D17" s="76">
        <f>_xlfn.XLOOKUP($J$7,PROJEÇÃO[CONSULTOR],PROJEÇÃO[PROJ_APARELHO])</f>
        <v>10544.000000000005</v>
      </c>
      <c r="E17" s="49">
        <f>IFERROR(D17/C17,0)</f>
        <v>0.3473317642155318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5.2720000000000029</v>
      </c>
      <c r="I17" s="64">
        <f t="shared" si="0"/>
        <v>0</v>
      </c>
      <c r="J17" s="64">
        <f t="shared" si="3"/>
        <v>5.2720000000000029</v>
      </c>
      <c r="K17" s="52">
        <f>SUMIFS(REALIZADO[META_SMARTPHONE],REALIZADO[PDV],'JARDIM CAMBURI'!$M$7)</f>
        <v>85000.000100000005</v>
      </c>
      <c r="L17" s="77">
        <f>SUMIFS(PROJEÇÃO[PROJ_APARELHO],PROJEÇÃO[PDV],'JARDIM CAMBURI'!$M$7)</f>
        <v>96622.000000000044</v>
      </c>
      <c r="M17" s="49">
        <f t="shared" si="4"/>
        <v>1.1367294104273775</v>
      </c>
      <c r="N17" s="12">
        <f>IF($M$17&gt;=FATORES!$B$28,FATORES!$D$28,0)</f>
        <v>2.5000000000000001E-3</v>
      </c>
      <c r="O17" s="88">
        <f t="shared" si="1"/>
        <v>0</v>
      </c>
      <c r="P17" s="13">
        <f t="shared" si="5"/>
        <v>5.2720000000000029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2107.1428999999998</v>
      </c>
      <c r="D18" s="77">
        <f>_xlfn.XLOOKUP($J$7,PROJEÇÃO[CONSULTOR],PROJEÇÃO[PROJ_ELETRO_A])</f>
        <v>0</v>
      </c>
      <c r="E18" s="140">
        <f>IFERROR((D18+D19)/C18,0)</f>
        <v>1.6496270850923314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SUMIFS(REALIZADO[META_ACESSORIO],REALIZADO[PDV],'JARDIM CAMBURI'!$M$7)</f>
        <v>5900.0000999999993</v>
      </c>
      <c r="L18" s="86">
        <f>SUMIFS(PROJEÇÃO[PROJ_ELETRO_A],PROJEÇÃO[PDV],'JARDIM CAMBURI'!$M$7)</f>
        <v>378.00000000000017</v>
      </c>
      <c r="M18" s="114">
        <f>IFERROR((L18+L19)/K18,0)</f>
        <v>1.1261016758287858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3476.0000000000014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5.2140000000000022</v>
      </c>
      <c r="I19" s="64">
        <f t="shared" si="0"/>
        <v>0</v>
      </c>
      <c r="J19" s="64">
        <f t="shared" si="3"/>
        <v>5.2140000000000022</v>
      </c>
      <c r="K19" s="142"/>
      <c r="L19" s="87">
        <f>SUMIFS(PROJEÇÃO[PROJ_ELETRO_B],PROJEÇÃO[PDV],'JARDIM CAMBURI'!$M$7)</f>
        <v>6266.0000000000027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5.2140000000000022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2107.1428999999998</v>
      </c>
      <c r="D20" s="77">
        <f>_xlfn.XLOOKUP($J$7,PROJEÇÃO[CONSULTOR],PROJEÇÃO[PROJ_ESSEN_A])</f>
        <v>692.00000000000034</v>
      </c>
      <c r="E20" s="140">
        <f>IFERROR((D20+D21)/C20,0)</f>
        <v>0.87938981262258054</v>
      </c>
      <c r="F20" s="12">
        <f>VLOOKUP($E$20,FATORES!$B$6:$E$8,3)</f>
        <v>0.01</v>
      </c>
      <c r="G20" s="12">
        <f>IFERROR(VLOOKUP($E$20,FATORES!$B$9:$E$10,3),0)</f>
        <v>0</v>
      </c>
      <c r="H20" s="64">
        <f t="shared" si="2"/>
        <v>6.9200000000000035</v>
      </c>
      <c r="I20" s="64">
        <f t="shared" si="0"/>
        <v>0</v>
      </c>
      <c r="J20" s="64">
        <f t="shared" si="3"/>
        <v>6.9200000000000035</v>
      </c>
      <c r="K20" s="141">
        <f>SUMIFS(REALIZADO[META_ESSENCIAIS],REALIZADO[PDV],'JARDIM CAMBURI'!$M$7)</f>
        <v>5900.0000999999993</v>
      </c>
      <c r="L20" s="86">
        <f>SUMIFS(PROJEÇÃO[PROJ_ESSEN_A],PROJEÇÃO[PDV],'JARDIM CAMBURI'!$M$7)</f>
        <v>2470.0000000000014</v>
      </c>
      <c r="M20" s="114">
        <f>IFERROR((L20+L21)/K20,0)</f>
        <v>1.1420338789485791</v>
      </c>
      <c r="N20" s="12">
        <f>IF($M$20&gt;=FATORES!$B$11,FATORES!$D$11,0)</f>
        <v>1.4999999999999999E-2</v>
      </c>
      <c r="O20" s="88">
        <f t="shared" si="1"/>
        <v>0</v>
      </c>
      <c r="P20" s="13">
        <f t="shared" si="5"/>
        <v>6.9200000000000035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1161.0000000000005</v>
      </c>
      <c r="E21" s="140"/>
      <c r="F21" s="12">
        <f>VLOOKUP($E$20,FATORES!$B$6:$E$8,4)</f>
        <v>4.0000000000000001E-3</v>
      </c>
      <c r="G21" s="12">
        <f>IFERROR(VLOOKUP($E$20,FATORES!$B$9:$E$10,4),0)</f>
        <v>0</v>
      </c>
      <c r="H21" s="64">
        <f t="shared" si="2"/>
        <v>4.6440000000000019</v>
      </c>
      <c r="I21" s="64">
        <f t="shared" si="0"/>
        <v>0</v>
      </c>
      <c r="J21" s="64">
        <f t="shared" si="3"/>
        <v>4.6440000000000019</v>
      </c>
      <c r="K21" s="142"/>
      <c r="L21" s="87">
        <f>SUMIFS(PROJEÇÃO[PROJ_ESSEN_B],PROJEÇÃO[PDV],'JARDIM CAMBURI'!$M$7)</f>
        <v>4268.0000000000018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4.6440000000000019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142.8571</v>
      </c>
      <c r="D22" s="81">
        <f>_xlfn.XLOOKUP($J$7,PROJEÇÃO[CONSULTOR],PROJEÇÃO[PROJ_SEGURO])</f>
        <v>33.800000000000011</v>
      </c>
      <c r="E22" s="83">
        <f>IFERROR(D22/C22,0)</f>
        <v>0.23660007098002137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0.33800000000000013</v>
      </c>
      <c r="I22" s="64">
        <f t="shared" si="0"/>
        <v>0</v>
      </c>
      <c r="J22" s="64">
        <f t="shared" si="3"/>
        <v>0.33800000000000013</v>
      </c>
      <c r="K22" s="56">
        <f>SUMIFS(REALIZADO[META_SEGUROS],REALIZADO[PDV],'JARDIM CAMBURI'!$M$7)</f>
        <v>399.99990000000003</v>
      </c>
      <c r="L22" s="78">
        <f>SUMIFS(PROJEÇÃO[PROJ_SEGURO],PROJEÇÃO[PDV],'JARDIM CAMBURI'!$M$7)</f>
        <v>446.70000000000027</v>
      </c>
      <c r="M22" s="49">
        <f t="shared" ref="M22:M23" si="6">IFERROR(L22/K22,0)</f>
        <v>1.1167502791875703</v>
      </c>
      <c r="N22" s="12">
        <f>IF($M$22&gt;=FATORES!$O$9,FATORES!$Q$9,0)</f>
        <v>0.1</v>
      </c>
      <c r="O22" s="88">
        <f t="shared" si="1"/>
        <v>0</v>
      </c>
      <c r="P22" s="13">
        <f t="shared" si="5"/>
        <v>0.33800000000000013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178.57140000000001</v>
      </c>
      <c r="D23" s="57">
        <f>_xlfn.XLOOKUP($J$7,PROJEÇÃO[CONSULTOR],PROJEÇÃO[PROJ_SVA])</f>
        <v>144.69000000000005</v>
      </c>
      <c r="E23" s="82">
        <f>IFERROR(D23/C23,0)</f>
        <v>0.81026412964226102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1.4469000000000005</v>
      </c>
      <c r="I23" s="64">
        <f t="shared" si="0"/>
        <v>0</v>
      </c>
      <c r="J23" s="16">
        <f t="shared" si="3"/>
        <v>1.4469000000000005</v>
      </c>
      <c r="K23" s="75">
        <f>SUMIFS(REALIZADO[META_SVA],REALIZADO[PDV],'JARDIM CAMBURI'!$M$7)</f>
        <v>499.99990000000003</v>
      </c>
      <c r="L23" s="76">
        <f>SUMIFS(PROJEÇÃO[PROJ_SVA],PROJEÇÃO[PDV],'JARDIM CAMBURI'!$M$7)</f>
        <v>532.75000000000023</v>
      </c>
      <c r="M23" s="50">
        <f t="shared" si="6"/>
        <v>1.0655002131000431</v>
      </c>
      <c r="N23" s="15">
        <f>IF($M$23&gt;=FATORES!$O$17,FATORES!$Q$17,0)</f>
        <v>0.01</v>
      </c>
      <c r="O23" s="88">
        <f t="shared" si="1"/>
        <v>0</v>
      </c>
      <c r="P23" s="17">
        <f t="shared" si="5"/>
        <v>1.4469000000000005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222.21330000000012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1607.1429000000001</v>
      </c>
      <c r="D30" s="76">
        <f>_xlfn.XLOOKUP($J$7,REALIZADO[CONSULTOR],REALIZADO[AT_MOVEL])</f>
        <v>0</v>
      </c>
      <c r="E30" s="48">
        <f>IFERROR(D30/C30,0)</f>
        <v>0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0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0</v>
      </c>
      <c r="K30" s="75">
        <f>SUMIFS(REALIZADO[META_MOVEL],REALIZADO[PDV],'JARDIM CAMBURI'!$M$7)</f>
        <v>4500.0001000000002</v>
      </c>
      <c r="L30" s="76">
        <f>SUMIFS(REALIZADO[AT_MOVEL],REALIZADO[PDV],'JARDIM CAMBURI'!$M$7)</f>
        <v>315.75</v>
      </c>
      <c r="M30" s="48">
        <f>IFERROR(L30/K30,0)</f>
        <v>7.0166665107407433E-2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0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4.9980000000000002</v>
      </c>
    </row>
    <row r="31" spans="2:20" x14ac:dyDescent="0.3">
      <c r="B31" s="45" t="s">
        <v>13</v>
      </c>
      <c r="C31" s="75">
        <f>_xlfn.XLOOKUP($J$7,REALIZADO[CONSULTOR],REALIZADO[META_FIXA])</f>
        <v>1053.5714</v>
      </c>
      <c r="D31" s="76">
        <f>_xlfn.XLOOKUP($J$7,REALIZADO[CONSULTOR],REALIZADO[AT_FIXA])</f>
        <v>230</v>
      </c>
      <c r="E31" s="49">
        <f>IFERROR(D31/C31,0)</f>
        <v>0.21830509066590076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2.3000000000000003</v>
      </c>
      <c r="I31" s="64">
        <f t="shared" si="8"/>
        <v>0</v>
      </c>
      <c r="J31" s="64">
        <f t="shared" ref="J31:J38" si="11">H31+I31</f>
        <v>2.3000000000000003</v>
      </c>
      <c r="K31" s="75">
        <f>SUMIFS(REALIZADO[META_FIXA],REALIZADO[PDV],'JARDIM CAMBURI'!$M$7)</f>
        <v>2949.9998999999998</v>
      </c>
      <c r="L31" s="76">
        <f>SUMIFS(REALIZADO[AT_FIXA],REALIZADO[PDV],'JARDIM CAMBURI'!$M$7)</f>
        <v>530</v>
      </c>
      <c r="M31" s="49">
        <f t="shared" ref="M31:M32" si="12">IFERROR(L31/K31,0)</f>
        <v>0.17966102303935672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2.3000000000000003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30357.142899999999</v>
      </c>
      <c r="D32" s="76">
        <f>_xlfn.XLOOKUP($J$7,REALIZADO[CONSULTOR],REALIZADO[AT_SMARTPHONE])</f>
        <v>1549</v>
      </c>
      <c r="E32" s="49">
        <f>IFERROR(D32/C32,0)</f>
        <v>5.1025882280904641E-2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0.77449999999999997</v>
      </c>
      <c r="I32" s="64">
        <f t="shared" si="8"/>
        <v>0</v>
      </c>
      <c r="J32" s="64">
        <f t="shared" si="11"/>
        <v>0.77449999999999997</v>
      </c>
      <c r="K32" s="52">
        <f>SUMIFS(REALIZADO[META_SMARTPHONE],REALIZADO[PDV],'JARDIM CAMBURI'!$M$7)</f>
        <v>85000.000100000005</v>
      </c>
      <c r="L32" s="77">
        <f>SUMIFS(REALIZADO[AT_SMARTPHONE],REALIZADO[PDV],'JARDIM CAMBURI'!$M$7)</f>
        <v>5947</v>
      </c>
      <c r="M32" s="49">
        <f t="shared" si="12"/>
        <v>6.9964705800041521E-2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0.77449999999999997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2107.1428999999998</v>
      </c>
      <c r="D33" s="77">
        <f>_xlfn.XLOOKUP($J$7,REALIZADO[CONSULTOR],REALIZADO[AT_ACESSORIOS_A])</f>
        <v>0</v>
      </c>
      <c r="E33" s="140">
        <f>IFERROR((D33+D34)/C33,0)</f>
        <v>9.4440676045274397E-2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SUMIFS(REALIZADO[META_ACESSORIO],REALIZADO[PDV],'JARDIM CAMBURI'!$M$7)</f>
        <v>5900.0000999999993</v>
      </c>
      <c r="L33" s="86">
        <f>SUMIFS(REALIZADO[AT_ACESSORIOS_A],REALIZADO[PDV],'JARDIM CAMBURI'!$M$7)</f>
        <v>0</v>
      </c>
      <c r="M33" s="114">
        <f>IFERROR((L33+L34)/K33,0)</f>
        <v>0.3128813506291297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199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9.9500000000000005E-2</v>
      </c>
      <c r="I34" s="64">
        <f t="shared" si="8"/>
        <v>0</v>
      </c>
      <c r="J34" s="64">
        <f t="shared" si="11"/>
        <v>9.9500000000000005E-2</v>
      </c>
      <c r="K34" s="142"/>
      <c r="L34" s="87">
        <f>SUMIFS(REALIZADO[AT_ACESSORIOS_B],REALIZADO[PDV],'JARDIM CAMBURI'!$M$7)</f>
        <v>1846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9.9500000000000005E-2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2107.1428999999998</v>
      </c>
      <c r="D35" s="77">
        <f>_xlfn.XLOOKUP($J$7,REALIZADO[CONSULTOR],REALIZADO[AT_ESSENCIAIS_A])</f>
        <v>178</v>
      </c>
      <c r="E35" s="140">
        <f>IFERROR((D35+D36)/C35,0)</f>
        <v>0.3061016886894572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0.89</v>
      </c>
      <c r="I35" s="64">
        <f t="shared" si="8"/>
        <v>0</v>
      </c>
      <c r="J35" s="64">
        <f t="shared" si="11"/>
        <v>0.89</v>
      </c>
      <c r="K35" s="141">
        <f>SUMIFS(REALIZADO[META_ESSENCIAIS],REALIZADO[PDV],'JARDIM CAMBURI'!$M$7)</f>
        <v>5900.0000999999993</v>
      </c>
      <c r="L35" s="86">
        <f>SUMIFS(REALIZADO[AT_ESSENCIAIS_A],REALIZADO[PDV],'JARDIM CAMBURI'!$M$7)</f>
        <v>356</v>
      </c>
      <c r="M35" s="114">
        <f>IFERROR((L35+L36)/K35,0)</f>
        <v>0.18491525110313137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0.89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467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0.93400000000000005</v>
      </c>
      <c r="I36" s="64">
        <f t="shared" si="8"/>
        <v>0</v>
      </c>
      <c r="J36" s="64">
        <f t="shared" si="11"/>
        <v>0.93400000000000005</v>
      </c>
      <c r="K36" s="142"/>
      <c r="L36" s="87">
        <f>SUMIFS(REALIZADO[AT_ESSENCIAIS_B],REALIZADO[PDV],'JARDIM CAMBURI'!$M$7)</f>
        <v>735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0.93400000000000005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142.8571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SUMIFS(REALIZADO[META_SEGUROS],REALIZADO[PDV],'JARDIM CAMBURI'!$M$7)</f>
        <v>399.99990000000003</v>
      </c>
      <c r="L37" s="78">
        <f>SUMIFS(REALIZADO[AT_SEGUROS],REALIZADO[PDV],'JARDIM CAMBURI'!$M$7)</f>
        <v>16.899999999999999</v>
      </c>
      <c r="M37" s="49">
        <f t="shared" ref="M37:M38" si="14">IFERROR(L37/K37,0)</f>
        <v>4.2250010562502632E-2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178.57140000000001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SUMIFS(REALIZADO[META_SVA],REALIZADO[PDV],'JARDIM CAMBURI'!$M$7)</f>
        <v>499.99990000000003</v>
      </c>
      <c r="L38" s="76">
        <f>SUMIFS(REALIZADO[AT_SVA],REALIZADO[PDV],'JARDIM CAMBURI'!$M$7)</f>
        <v>0</v>
      </c>
      <c r="M38" s="50">
        <f t="shared" si="14"/>
        <v>0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4.9980000000000002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/>
      <c r="D45" s="53"/>
      <c r="E45" s="48">
        <f>IFERROR(D45/C45,0)</f>
        <v>0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2">
        <v>0</v>
      </c>
      <c r="L45" s="53">
        <v>0</v>
      </c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0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/>
      <c r="D47" s="55"/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0</v>
      </c>
      <c r="I47" s="64">
        <f t="shared" si="16"/>
        <v>0</v>
      </c>
      <c r="J47" s="64">
        <f t="shared" si="19"/>
        <v>0</v>
      </c>
      <c r="K47" s="54">
        <v>0</v>
      </c>
      <c r="L47" s="55">
        <v>0</v>
      </c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/>
      <c r="D48" s="55"/>
      <c r="E48" s="114">
        <f>IFERROR((D48+D49)/C48,0)</f>
        <v>0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>
        <v>0</v>
      </c>
      <c r="L48" s="55">
        <v>0</v>
      </c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>
        <v>0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/>
      <c r="D50" s="55"/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v>0</v>
      </c>
      <c r="L50" s="55">
        <v>0</v>
      </c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>
        <v>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/>
      <c r="D52" s="55"/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</v>
      </c>
      <c r="I52" s="64">
        <f t="shared" si="16"/>
        <v>0</v>
      </c>
      <c r="J52" s="64">
        <f t="shared" si="19"/>
        <v>0</v>
      </c>
      <c r="K52" s="54">
        <v>0</v>
      </c>
      <c r="L52" s="55">
        <v>0</v>
      </c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/>
      <c r="D53" s="57"/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>
        <v>0</v>
      </c>
      <c r="L53" s="57"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0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8KGhl6LOfRc4FoBVt6IOY3mVSbIljK3K0bZ4N6K2OLYeg5cgahmp5vDx3GTV8drBOQgTt/XNsnV6ZI4vUuS6eA==" saltValue="ZbzkwESREvTTYDQ27gRcgA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451" priority="22" operator="between">
      <formula>0.7</formula>
      <formula>1</formula>
    </cfRule>
    <cfRule type="cellIs" dxfId="450" priority="23" operator="greaterThanOrEqual">
      <formula>1</formula>
    </cfRule>
    <cfRule type="cellIs" dxfId="449" priority="24" operator="lessThan">
      <formula>0.7</formula>
    </cfRule>
  </conditionalFormatting>
  <conditionalFormatting sqref="E30:E33 E35 E37:E38">
    <cfRule type="cellIs" dxfId="448" priority="10" operator="between">
      <formula>0.7</formula>
      <formula>1</formula>
    </cfRule>
    <cfRule type="cellIs" dxfId="447" priority="11" operator="greaterThanOrEqual">
      <formula>1</formula>
    </cfRule>
    <cfRule type="cellIs" dxfId="446" priority="12" operator="lessThan">
      <formula>0.7</formula>
    </cfRule>
  </conditionalFormatting>
  <conditionalFormatting sqref="E45:E48 E50 E52:E53">
    <cfRule type="cellIs" dxfId="445" priority="34" operator="between">
      <formula>0.7</formula>
      <formula>1</formula>
    </cfRule>
    <cfRule type="cellIs" dxfId="444" priority="35" operator="greaterThanOrEqual">
      <formula>1</formula>
    </cfRule>
    <cfRule type="cellIs" dxfId="443" priority="36" operator="lessThan">
      <formula>0.7</formula>
    </cfRule>
  </conditionalFormatting>
  <conditionalFormatting sqref="M15:M18">
    <cfRule type="cellIs" dxfId="442" priority="16" operator="between">
      <formula>0.7</formula>
      <formula>1</formula>
    </cfRule>
    <cfRule type="cellIs" dxfId="441" priority="17" operator="greaterThanOrEqual">
      <formula>1</formula>
    </cfRule>
    <cfRule type="cellIs" dxfId="440" priority="18" operator="lessThan">
      <formula>0.7</formula>
    </cfRule>
  </conditionalFormatting>
  <conditionalFormatting sqref="M20">
    <cfRule type="cellIs" dxfId="439" priority="13" operator="between">
      <formula>0.7</formula>
      <formula>1</formula>
    </cfRule>
    <cfRule type="cellIs" dxfId="438" priority="14" operator="greaterThanOrEqual">
      <formula>1</formula>
    </cfRule>
    <cfRule type="cellIs" dxfId="437" priority="15" operator="lessThan">
      <formula>0.7</formula>
    </cfRule>
  </conditionalFormatting>
  <conditionalFormatting sqref="M22:M23">
    <cfRule type="cellIs" dxfId="436" priority="19" operator="between">
      <formula>0.7</formula>
      <formula>1</formula>
    </cfRule>
    <cfRule type="cellIs" dxfId="435" priority="20" operator="greaterThanOrEqual">
      <formula>1</formula>
    </cfRule>
    <cfRule type="cellIs" dxfId="434" priority="21" operator="lessThan">
      <formula>0.7</formula>
    </cfRule>
  </conditionalFormatting>
  <conditionalFormatting sqref="M30:M33">
    <cfRule type="cellIs" dxfId="433" priority="4" operator="between">
      <formula>0.7</formula>
      <formula>1</formula>
    </cfRule>
    <cfRule type="cellIs" dxfId="432" priority="5" operator="greaterThanOrEqual">
      <formula>1</formula>
    </cfRule>
    <cfRule type="cellIs" dxfId="431" priority="6" operator="lessThan">
      <formula>0.7</formula>
    </cfRule>
  </conditionalFormatting>
  <conditionalFormatting sqref="M35">
    <cfRule type="cellIs" dxfId="430" priority="1" operator="between">
      <formula>0.7</formula>
      <formula>1</formula>
    </cfRule>
    <cfRule type="cellIs" dxfId="429" priority="2" operator="greaterThanOrEqual">
      <formula>1</formula>
    </cfRule>
    <cfRule type="cellIs" dxfId="428" priority="3" operator="lessThan">
      <formula>0.7</formula>
    </cfRule>
  </conditionalFormatting>
  <conditionalFormatting sqref="M37:M38">
    <cfRule type="cellIs" dxfId="427" priority="7" operator="between">
      <formula>0.7</formula>
      <formula>1</formula>
    </cfRule>
    <cfRule type="cellIs" dxfId="426" priority="8" operator="greaterThanOrEqual">
      <formula>1</formula>
    </cfRule>
    <cfRule type="cellIs" dxfId="425" priority="9" operator="lessThan">
      <formula>0.7</formula>
    </cfRule>
  </conditionalFormatting>
  <conditionalFormatting sqref="M45:M48">
    <cfRule type="cellIs" dxfId="424" priority="28" operator="between">
      <formula>0.7</formula>
      <formula>1</formula>
    </cfRule>
    <cfRule type="cellIs" dxfId="423" priority="29" operator="greaterThanOrEqual">
      <formula>1</formula>
    </cfRule>
    <cfRule type="cellIs" dxfId="422" priority="30" operator="lessThan">
      <formula>0.7</formula>
    </cfRule>
  </conditionalFormatting>
  <conditionalFormatting sqref="M50">
    <cfRule type="cellIs" dxfId="421" priority="25" operator="between">
      <formula>0.7</formula>
      <formula>1</formula>
    </cfRule>
    <cfRule type="cellIs" dxfId="420" priority="26" operator="greaterThanOrEqual">
      <formula>1</formula>
    </cfRule>
    <cfRule type="cellIs" dxfId="419" priority="27" operator="lessThan">
      <formula>0.7</formula>
    </cfRule>
  </conditionalFormatting>
  <conditionalFormatting sqref="M52:M53">
    <cfRule type="cellIs" dxfId="418" priority="31" operator="between">
      <formula>0.7</formula>
      <formula>1</formula>
    </cfRule>
    <cfRule type="cellIs" dxfId="417" priority="32" operator="greaterThanOrEqual">
      <formula>1</formula>
    </cfRule>
    <cfRule type="cellIs" dxfId="416" priority="33" operator="lessThan">
      <formula>0.7</formula>
    </cfRule>
  </conditionalFormatting>
  <dataValidations count="1">
    <dataValidation type="list" allowBlank="1" showInputMessage="1" showErrorMessage="1" sqref="B8:H8" xr:uid="{CF46D25C-E39F-45D8-9E38-6DEB04DC3410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D2C78F-DB3A-4180-8829-F02A85652BD8}">
          <x14:formula1>
            <xm:f>HC!$Q$2:$Q$5</xm:f>
          </x14:formula1>
          <xm:sqref>J7:K7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3B56-7FE0-4DD5-B2C0-DA0C5D1CBDD9}">
  <dimension ref="B1:X54"/>
  <sheetViews>
    <sheetView showGridLines="0" tabSelected="1" topLeftCell="L8" workbookViewId="0">
      <selection activeCell="V14" sqref="V14"/>
    </sheetView>
  </sheetViews>
  <sheetFormatPr defaultRowHeight="14.4" x14ac:dyDescent="0.3"/>
  <cols>
    <col min="1" max="1" width="2" customWidth="1"/>
    <col min="2" max="2" width="16.44140625" customWidth="1"/>
    <col min="3" max="4" width="15.77734375" customWidth="1"/>
    <col min="5" max="5" width="10.218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5.77734375" customWidth="1"/>
    <col min="13" max="13" width="10.21875" customWidth="1"/>
    <col min="14" max="14" width="20.5546875" customWidth="1"/>
    <col min="15" max="15" width="21" customWidth="1"/>
    <col min="16" max="16" width="15.21875" customWidth="1"/>
    <col min="17" max="19" width="15.5546875" customWidth="1"/>
    <col min="20" max="20" width="16.5546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122</v>
      </c>
      <c r="K7" s="179"/>
      <c r="M7" s="178" t="s">
        <v>46</v>
      </c>
      <c r="N7" s="179"/>
      <c r="P7" s="74" t="s">
        <v>45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2109.0909000000001</v>
      </c>
      <c r="D15" s="76">
        <f>_xlfn.XLOOKUP($J$7,PROJEÇÃO[CONSULTOR],PROJEÇÃO[PROJ_MOVEL])</f>
        <v>2681.9900000000011</v>
      </c>
      <c r="E15" s="48">
        <f>IFERROR(D15/C15,0)</f>
        <v>1.2716331951363504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214.55920000000009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402.29850000000016</v>
      </c>
      <c r="J15" s="9">
        <f>H15+I15</f>
        <v>616.85770000000025</v>
      </c>
      <c r="K15" s="75">
        <f>SUMIFS(REALIZADO[META_MOVEL],REALIZADO[PDV],LARANJEIRAS!$M$7)</f>
        <v>11599.999899999999</v>
      </c>
      <c r="L15" s="76">
        <f>SUMIFS(PROJEÇÃO[PROJ_MOVEL],PROJEÇÃO[PDV],LARANJEIRAS!$M$7)</f>
        <v>9454.7000000000044</v>
      </c>
      <c r="M15" s="48">
        <f>IFERROR(L15/K15,0)</f>
        <v>0.81506035185396897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616.85770000000025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1188.462770000001</v>
      </c>
    </row>
    <row r="16" spans="2:24" x14ac:dyDescent="0.3">
      <c r="B16" s="45" t="s">
        <v>13</v>
      </c>
      <c r="C16" s="75">
        <f>_xlfn.XLOOKUP($J$7,REALIZADO[CONSULTOR],REALIZADO[META_FIXA])</f>
        <v>909.09090000000003</v>
      </c>
      <c r="D16" s="76">
        <f>_xlfn.XLOOKUP($J$7,PROJEÇÃO[CONSULTOR],PROJEÇÃO[PROJ_FIXA])</f>
        <v>1120.0000000000005</v>
      </c>
      <c r="E16" s="49">
        <f>IFERROR(D16/C16,0)</f>
        <v>1.2320000123200006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89.600000000000037</v>
      </c>
      <c r="I16" s="64">
        <f t="shared" si="0"/>
        <v>168.00000000000006</v>
      </c>
      <c r="J16" s="64">
        <f t="shared" ref="J16:J23" si="3">H16+I16</f>
        <v>257.60000000000008</v>
      </c>
      <c r="K16" s="75">
        <f>SUMIFS(REALIZADO[META_FIXA],REALIZADO[PDV],LARANJEIRAS!$M$7)</f>
        <v>4999.9998999999998</v>
      </c>
      <c r="L16" s="76">
        <f>SUMIFS(PROJEÇÃO[PROJ_FIXA],PROJEÇÃO[PDV],LARANJEIRAS!$M$7)</f>
        <v>4468.9900000000016</v>
      </c>
      <c r="M16" s="49">
        <f t="shared" ref="M16:M17" si="4">IFERROR(L16/K16,0)</f>
        <v>0.89379801787596069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257.60000000000008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23636.363600000001</v>
      </c>
      <c r="D17" s="76">
        <f>_xlfn.XLOOKUP($J$7,PROJEÇÃO[CONSULTOR],PROJEÇÃO[PROJ_APARELHO])</f>
        <v>24194.000000000011</v>
      </c>
      <c r="E17" s="49">
        <f>IFERROR(D17/C17,0)</f>
        <v>1.0235923092670656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36.291000000000018</v>
      </c>
      <c r="I17" s="64">
        <f t="shared" si="0"/>
        <v>48.388000000000019</v>
      </c>
      <c r="J17" s="64">
        <f t="shared" si="3"/>
        <v>84.67900000000003</v>
      </c>
      <c r="K17" s="52">
        <f>SUMIFS(REALIZADO[META_SMARTPHONE],REALIZADO[PDV],LARANJEIRAS!$M$7)</f>
        <v>129999.99979999999</v>
      </c>
      <c r="L17" s="77">
        <f>SUMIFS(PROJEÇÃO[PROJ_APARELHO],PROJEÇÃO[PDV],LARANJEIRAS!$M$7)</f>
        <v>117310.00000000006</v>
      </c>
      <c r="M17" s="49">
        <f t="shared" si="4"/>
        <v>0.90238461677289994</v>
      </c>
      <c r="N17" s="12">
        <f>IF($M$17&gt;=FATORES!$B$28,FATORES!$D$28,0)</f>
        <v>0</v>
      </c>
      <c r="O17" s="88">
        <f t="shared" si="1"/>
        <v>0</v>
      </c>
      <c r="P17" s="13">
        <f t="shared" si="5"/>
        <v>84.67900000000003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2527.2727</v>
      </c>
      <c r="D18" s="77">
        <f>_xlfn.XLOOKUP($J$7,PROJEÇÃO[CONSULTOR],PROJEÇÃO[PROJ_ELETRO_A])</f>
        <v>0</v>
      </c>
      <c r="E18" s="140">
        <f>IFERROR((D18+D19)/C18,0)</f>
        <v>1.0382733924993537</v>
      </c>
      <c r="F18" s="12">
        <f>VLOOKUP($E$18,FATORES!$B$16:$E$18,3)</f>
        <v>3.0000000000000001E-3</v>
      </c>
      <c r="G18" s="12">
        <f>IFERROR(VLOOKUP($E$18,FATORES!$B$19:$E$20,3),0)</f>
        <v>1.2E-2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SUMIFS(REALIZADO[META_ACESSORIO],REALIZADO[PDV],LARANJEIRAS!$M$7)</f>
        <v>13899.999899999999</v>
      </c>
      <c r="L18" s="86">
        <f>SUMIFS(PROJEÇÃO[PROJ_ELETRO_A],PROJEÇÃO[PDV],LARANJEIRAS!$M$7)</f>
        <v>577.00000000000023</v>
      </c>
      <c r="M18" s="114">
        <f>IFERROR((L18+L19)/K18,0)</f>
        <v>1.2193525267579324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2624.0000000000014</v>
      </c>
      <c r="E19" s="140"/>
      <c r="F19" s="12">
        <f>VLOOKUP($E$18,FATORES!$B$16:$E$18,4)</f>
        <v>1.5E-3</v>
      </c>
      <c r="G19" s="12">
        <f>IFERROR(VLOOKUP($E$18,FATORES!$B$19:$E$20,4),0)</f>
        <v>6.0000000000000001E-3</v>
      </c>
      <c r="H19" s="64">
        <f t="shared" si="2"/>
        <v>3.9360000000000022</v>
      </c>
      <c r="I19" s="64">
        <f t="shared" si="0"/>
        <v>15.744000000000009</v>
      </c>
      <c r="J19" s="64">
        <f t="shared" si="3"/>
        <v>19.68000000000001</v>
      </c>
      <c r="K19" s="142"/>
      <c r="L19" s="87">
        <f>SUMIFS(PROJEÇÃO[PROJ_ELETRO_B],PROJEÇÃO[PDV],LARANJEIRAS!$M$7)</f>
        <v>16372.000000000007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19.68000000000001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1290.9091000000001</v>
      </c>
      <c r="D20" s="77">
        <f>_xlfn.XLOOKUP($J$7,PROJEÇÃO[CONSULTOR],PROJEÇÃO[PROJ_ESSEN_A])</f>
        <v>661.00000000000034</v>
      </c>
      <c r="E20" s="140">
        <f>IFERROR((D20+D21)/C20,0)</f>
        <v>1.0659154854512998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9.9150000000000045</v>
      </c>
      <c r="I20" s="64">
        <f t="shared" si="0"/>
        <v>26.440000000000015</v>
      </c>
      <c r="J20" s="64">
        <f t="shared" si="3"/>
        <v>36.355000000000018</v>
      </c>
      <c r="K20" s="141">
        <f>SUMIFS(REALIZADO[META_ESSENCIAIS],REALIZADO[PDV],LARANJEIRAS!$M$7)</f>
        <v>7100.0001000000002</v>
      </c>
      <c r="L20" s="86">
        <f>SUMIFS(PROJEÇÃO[PROJ_ESSEN_A],PROJEÇÃO[PDV],LARANJEIRAS!$M$7)</f>
        <v>3573.0000000000018</v>
      </c>
      <c r="M20" s="114">
        <f>IFERROR((L20+L21)/K20,0)</f>
        <v>0.94788731059313691</v>
      </c>
      <c r="N20" s="12">
        <f>IF($M$20&gt;=FATORES!$B$11,FATORES!$D$11,0)</f>
        <v>0</v>
      </c>
      <c r="O20" s="88">
        <f t="shared" si="1"/>
        <v>0</v>
      </c>
      <c r="P20" s="13">
        <f t="shared" si="5"/>
        <v>36.355000000000018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715.00000000000034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7.1500000000000039</v>
      </c>
      <c r="I21" s="64">
        <f t="shared" si="0"/>
        <v>10.725000000000005</v>
      </c>
      <c r="J21" s="64">
        <f t="shared" si="3"/>
        <v>17.875000000000007</v>
      </c>
      <c r="K21" s="142"/>
      <c r="L21" s="87">
        <f>SUMIFS(PROJEÇÃO[PROJ_ESSEN_B],PROJEÇÃO[PDV],LARANJEIRAS!$M$7)</f>
        <v>3157.0000000000014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17.875000000000007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123.63639999999999</v>
      </c>
      <c r="D22" s="81">
        <f>_xlfn.XLOOKUP($J$7,PROJEÇÃO[CONSULTOR],PROJEÇÃO[PROJ_SEGURO])</f>
        <v>163.90000000000009</v>
      </c>
      <c r="E22" s="83">
        <f>IFERROR(D22/C22,0)</f>
        <v>1.3256613748054789</v>
      </c>
      <c r="F22" s="83">
        <f>VLOOKUP($E$22,FATORES!$O$4:$Q$6,3)</f>
        <v>0.05</v>
      </c>
      <c r="G22" s="12">
        <f>IFERROR(VLOOKUP($E$22,FATORES!$O$7:$Q$8,3),0)</f>
        <v>0.2</v>
      </c>
      <c r="H22" s="64">
        <f t="shared" si="2"/>
        <v>8.1950000000000056</v>
      </c>
      <c r="I22" s="64">
        <f t="shared" si="0"/>
        <v>32.780000000000022</v>
      </c>
      <c r="J22" s="64">
        <f t="shared" si="3"/>
        <v>40.97500000000003</v>
      </c>
      <c r="K22" s="56">
        <f>SUMIFS(REALIZADO[META_SEGUROS],REALIZADO[PDV],LARANJEIRAS!$M$7)</f>
        <v>680.00019999999995</v>
      </c>
      <c r="L22" s="78">
        <f>SUMIFS(PROJEÇÃO[PROJ_SEGURO],PROJEÇÃO[PDV],LARANJEIRAS!$M$7)</f>
        <v>629.90000000000032</v>
      </c>
      <c r="M22" s="49">
        <f t="shared" ref="M22:M23" si="6">IFERROR(L22/K22,0)</f>
        <v>0.92632325696374851</v>
      </c>
      <c r="N22" s="12">
        <f>IF($M$22&gt;=FATORES!$O$9,FATORES!$Q$9,0)</f>
        <v>0</v>
      </c>
      <c r="O22" s="88">
        <f t="shared" si="1"/>
        <v>0</v>
      </c>
      <c r="P22" s="13">
        <f t="shared" si="5"/>
        <v>40.97500000000003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145.4545</v>
      </c>
      <c r="D23" s="57">
        <f>_xlfn.XLOOKUP($J$7,PROJEÇÃO[CONSULTOR],PROJEÇÃO[PROJ_SVA])</f>
        <v>213.3000000000001</v>
      </c>
      <c r="E23" s="82">
        <f>IFERROR(D23/C23,0)</f>
        <v>1.4664379582618627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2.1330000000000009</v>
      </c>
      <c r="I23" s="64">
        <f t="shared" si="0"/>
        <v>2.1330000000000009</v>
      </c>
      <c r="J23" s="16">
        <f t="shared" si="3"/>
        <v>4.2660000000000018</v>
      </c>
      <c r="K23" s="75">
        <f>SUMIFS(REALIZADO[META_SVA],REALIZADO[PDV],LARANJEIRAS!$M$7)</f>
        <v>799.99990000000003</v>
      </c>
      <c r="L23" s="76">
        <f>SUMIFS(PROJEÇÃO[PROJ_SVA],PROJEÇÃO[PDV],LARANJEIRAS!$M$7)</f>
        <v>1105.9000000000003</v>
      </c>
      <c r="M23" s="50">
        <f t="shared" si="6"/>
        <v>1.3823751727968969</v>
      </c>
      <c r="N23" s="15">
        <f>IF($M$23&gt;=FATORES!$O$17,FATORES!$Q$17,0)</f>
        <v>0.01</v>
      </c>
      <c r="O23" s="88">
        <f t="shared" si="1"/>
        <v>2.1330000000000009</v>
      </c>
      <c r="P23" s="17">
        <f t="shared" si="5"/>
        <v>6.3990000000000027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1080.4207000000008</v>
      </c>
      <c r="Q24" s="69">
        <f t="shared" ref="Q24:R24" si="7">SUM(Q15:Q23)</f>
        <v>0</v>
      </c>
      <c r="R24" s="69">
        <f t="shared" si="7"/>
        <v>0</v>
      </c>
      <c r="S24" s="70">
        <f>IF($P$7="ARIEL",IF(MIN(E15,E17,E18,E19,E20,E22,E23)&gt;=100%,SUM(P24:R24)*S15,""),IF(MIN(E15:E23)&gt;=100%,SUM(P24:R24)*S15,""))</f>
        <v>108.04207000000008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2109.0909000000001</v>
      </c>
      <c r="D30" s="76">
        <f>_xlfn.XLOOKUP($J$7,REALIZADO[CONSULTOR],REALIZADO[AT_MOVEL])</f>
        <v>925.03</v>
      </c>
      <c r="E30" s="48">
        <f>IFERROR(D30/C30,0)</f>
        <v>0.43859181223530952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9.2502999999999993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9.2502999999999993</v>
      </c>
      <c r="K30" s="75">
        <f>SUMIFS(REALIZADO[META_MOVEL],REALIZADO[PDV],LARANJEIRAS!$M$7)</f>
        <v>11599.999899999999</v>
      </c>
      <c r="L30" s="76">
        <f>SUMIFS(REALIZADO[AT_MOVEL],REALIZADO[PDV],LARANJEIRAS!$M$7)</f>
        <v>1615.01</v>
      </c>
      <c r="M30" s="48">
        <f>IFERROR(L30/K30,0)</f>
        <v>0.13922500120021555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9.2502999999999993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16.375799999999998</v>
      </c>
    </row>
    <row r="31" spans="2:20" x14ac:dyDescent="0.3">
      <c r="B31" s="45" t="s">
        <v>13</v>
      </c>
      <c r="C31" s="75">
        <f>_xlfn.XLOOKUP($J$7,REALIZADO[CONSULTOR],REALIZADO[META_FIXA])</f>
        <v>909.09090000000003</v>
      </c>
      <c r="D31" s="76">
        <f>_xlfn.XLOOKUP($J$7,REALIZADO[CONSULTOR],REALIZADO[AT_FIXA])</f>
        <v>340</v>
      </c>
      <c r="E31" s="49">
        <f>IFERROR(D31/C31,0)</f>
        <v>0.37400000374000003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3.4</v>
      </c>
      <c r="I31" s="64">
        <f t="shared" si="8"/>
        <v>0</v>
      </c>
      <c r="J31" s="64">
        <f t="shared" ref="J31:J38" si="11">H31+I31</f>
        <v>3.4</v>
      </c>
      <c r="K31" s="75">
        <f>SUMIFS(REALIZADO[META_FIXA],REALIZADO[PDV],LARANJEIRAS!$M$7)</f>
        <v>4999.9998999999998</v>
      </c>
      <c r="L31" s="76">
        <f>SUMIFS(REALIZADO[AT_FIXA],REALIZADO[PDV],LARANJEIRAS!$M$7)</f>
        <v>865</v>
      </c>
      <c r="M31" s="49">
        <f t="shared" ref="M31:M32" si="12">IFERROR(L31/K31,0)</f>
        <v>0.17300000346000008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3.4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23636.363600000001</v>
      </c>
      <c r="D32" s="76">
        <f>_xlfn.XLOOKUP($J$7,REALIZADO[CONSULTOR],REALIZADO[AT_SMARTPHONE])</f>
        <v>1599</v>
      </c>
      <c r="E32" s="49">
        <f>IFERROR(D32/C32,0)</f>
        <v>6.7650000104076916E-2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0.79949999999999999</v>
      </c>
      <c r="I32" s="64">
        <f t="shared" si="8"/>
        <v>0</v>
      </c>
      <c r="J32" s="64">
        <f t="shared" si="11"/>
        <v>0.79949999999999999</v>
      </c>
      <c r="K32" s="52">
        <f>SUMIFS(REALIZADO[META_SMARTPHONE],REALIZADO[PDV],LARANJEIRAS!$M$7)</f>
        <v>129999.99979999999</v>
      </c>
      <c r="L32" s="77">
        <f>SUMIFS(REALIZADO[AT_SMARTPHONE],REALIZADO[PDV],LARANJEIRAS!$M$7)</f>
        <v>18294</v>
      </c>
      <c r="M32" s="49">
        <f t="shared" si="12"/>
        <v>0.14072307713957397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0.79949999999999999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2527.2727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SUMIFS(REALIZADO[META_ACESSORIO],REALIZADO[PDV],LARANJEIRAS!$M$7)</f>
        <v>13899.999899999999</v>
      </c>
      <c r="L33" s="86">
        <f>SUMIFS(REALIZADO[AT_ACESSORIOS_A],REALIZADO[PDV],LARANJEIRAS!$M$7)</f>
        <v>0</v>
      </c>
      <c r="M33" s="114">
        <f>IFERROR((L33+L34)/K33,0)</f>
        <v>0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SUMIFS(REALIZADO[AT_ACESSORIOS_B],REALIZADO[PDV],LARANJEIRAS!$M$7)</f>
        <v>0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1290.9091000000001</v>
      </c>
      <c r="D35" s="77">
        <f>_xlfn.XLOOKUP($J$7,REALIZADO[CONSULTOR],REALIZADO[AT_ESSENCIAIS_A])</f>
        <v>454</v>
      </c>
      <c r="E35" s="140">
        <f>IFERROR((D35+D36)/C35,0)</f>
        <v>0.4516197151294386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2.27</v>
      </c>
      <c r="I35" s="64">
        <f t="shared" si="8"/>
        <v>0</v>
      </c>
      <c r="J35" s="64">
        <f t="shared" si="11"/>
        <v>2.27</v>
      </c>
      <c r="K35" s="141">
        <f>SUMIFS(REALIZADO[META_ESSENCIAIS],REALIZADO[PDV],LARANJEIRAS!$M$7)</f>
        <v>7100.0001000000002</v>
      </c>
      <c r="L35" s="86">
        <f>SUMIFS(REALIZADO[AT_ESSENCIAIS_A],REALIZADO[PDV],LARANJEIRAS!$M$7)</f>
        <v>730</v>
      </c>
      <c r="M35" s="114">
        <f>IFERROR((L35+L36)/K35,0)</f>
        <v>0.18394365938107521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2.27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129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0.25800000000000001</v>
      </c>
      <c r="I36" s="64">
        <f t="shared" si="8"/>
        <v>0</v>
      </c>
      <c r="J36" s="64">
        <f t="shared" si="11"/>
        <v>0.25800000000000001</v>
      </c>
      <c r="K36" s="142"/>
      <c r="L36" s="87">
        <f>SUMIFS(REALIZADO[AT_ESSENCIAIS_B],REALIZADO[PDV],LARANJEIRAS!$M$7)</f>
        <v>576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0.25800000000000001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123.63639999999999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SUMIFS(REALIZADO[META_SEGUROS],REALIZADO[PDV],LARANJEIRAS!$M$7)</f>
        <v>680.00019999999995</v>
      </c>
      <c r="L37" s="78">
        <f>SUMIFS(REALIZADO[AT_SEGUROS],REALIZADO[PDV],LARANJEIRAS!$M$7)</f>
        <v>0</v>
      </c>
      <c r="M37" s="49">
        <f t="shared" ref="M37:M38" si="14">IFERROR(L37/K37,0)</f>
        <v>0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145.4545</v>
      </c>
      <c r="D38" s="57">
        <f>_xlfn.XLOOKUP($J$7,REALIZADO[CONSULTOR],REALIZADO[AT_SVA])</f>
        <v>39.799999999999997</v>
      </c>
      <c r="E38" s="82">
        <f>IFERROR(D38/C38,0)</f>
        <v>0.27362508550783921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0.39799999999999996</v>
      </c>
      <c r="I38" s="64">
        <f t="shared" si="8"/>
        <v>0</v>
      </c>
      <c r="J38" s="16">
        <f t="shared" si="11"/>
        <v>0.39799999999999996</v>
      </c>
      <c r="K38" s="75">
        <f>SUMIFS(REALIZADO[META_SVA],REALIZADO[PDV],LARANJEIRAS!$M$7)</f>
        <v>799.99990000000003</v>
      </c>
      <c r="L38" s="76">
        <f>SUMIFS(REALIZADO[AT_SVA],REALIZADO[PDV],LARANJEIRAS!$M$7)</f>
        <v>79.699999999999989</v>
      </c>
      <c r="M38" s="50">
        <f t="shared" si="14"/>
        <v>9.9625012453126535E-2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0.39799999999999996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16.375799999999998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2067</v>
      </c>
      <c r="D45" s="53">
        <v>2068</v>
      </c>
      <c r="E45" s="48">
        <f>IFERROR(D45/C45,0)</f>
        <v>1.000483792936623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165.44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310.2</v>
      </c>
      <c r="J45" s="9">
        <f>H45+I45</f>
        <v>475.64</v>
      </c>
      <c r="K45" s="52">
        <v>6200</v>
      </c>
      <c r="L45" s="53">
        <v>6241</v>
      </c>
      <c r="M45" s="48">
        <f>IFERROR(L45/K45,0)</f>
        <v>1.0066129032258064</v>
      </c>
      <c r="N45" s="8">
        <f>IF($M$45&gt;=FATORES!$I$9,FATORES!$K$9,0)</f>
        <v>0.1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206.8</v>
      </c>
      <c r="P45" s="10">
        <f>J45+O45</f>
        <v>682.44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1563</v>
      </c>
    </row>
    <row r="46" spans="2:20" x14ac:dyDescent="0.3">
      <c r="B46" s="45" t="s">
        <v>13</v>
      </c>
      <c r="C46" s="54">
        <v>1067</v>
      </c>
      <c r="D46" s="55">
        <v>1149</v>
      </c>
      <c r="E46" s="49">
        <f>IFERROR(D46/C46,0)</f>
        <v>1.0768509840674789</v>
      </c>
      <c r="F46" s="12">
        <f>VLOOKUP($E$46,FATORES!$I$12:$K$14,3)</f>
        <v>0.08</v>
      </c>
      <c r="G46" s="12">
        <f>IFERROR(VLOOKUP($E$46,FATORES!$I$15:$K$16,3),0)</f>
        <v>0.15</v>
      </c>
      <c r="H46" s="64">
        <f t="shared" ref="H46:H53" si="18">D46*F46</f>
        <v>91.92</v>
      </c>
      <c r="I46" s="64">
        <f t="shared" si="16"/>
        <v>172.35</v>
      </c>
      <c r="J46" s="64">
        <f t="shared" ref="J46:J53" si="19">H46+I46</f>
        <v>264.27</v>
      </c>
      <c r="K46" s="54">
        <v>3200</v>
      </c>
      <c r="L46" s="55">
        <v>3300</v>
      </c>
      <c r="M46" s="49">
        <f t="shared" ref="M46:M53" si="20">IFERROR(L46/K46,0)</f>
        <v>1.03125</v>
      </c>
      <c r="N46" s="12">
        <f>IF($M$46&gt;=FATORES!$I$17,FATORES!$K$17,0)</f>
        <v>0.15</v>
      </c>
      <c r="O46" s="88">
        <f t="shared" si="17"/>
        <v>172.35</v>
      </c>
      <c r="P46" s="13">
        <f t="shared" ref="P46:P53" si="21">J46+O46</f>
        <v>436.62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26334</v>
      </c>
      <c r="D47" s="55">
        <v>27000</v>
      </c>
      <c r="E47" s="49">
        <f>IFERROR(D47/C47,0)</f>
        <v>1.0252904989747096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40.5</v>
      </c>
      <c r="I47" s="64">
        <f t="shared" si="16"/>
        <v>54</v>
      </c>
      <c r="J47" s="64">
        <f t="shared" si="19"/>
        <v>94.5</v>
      </c>
      <c r="K47" s="54">
        <v>79000</v>
      </c>
      <c r="L47" s="55">
        <v>79001</v>
      </c>
      <c r="M47" s="49">
        <f t="shared" si="20"/>
        <v>1.0000126582278481</v>
      </c>
      <c r="N47" s="12">
        <f>IF($M$47&gt;=FATORES!$B$28,FATORES!$D$28,0)</f>
        <v>2.5000000000000001E-3</v>
      </c>
      <c r="O47" s="88">
        <f t="shared" si="17"/>
        <v>67.5</v>
      </c>
      <c r="P47" s="13">
        <f t="shared" si="21"/>
        <v>162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3400</v>
      </c>
      <c r="D48" s="55">
        <v>1000</v>
      </c>
      <c r="E48" s="114">
        <f>IFERROR((D48+D49)/C48,0)</f>
        <v>1.0588235294117647</v>
      </c>
      <c r="F48" s="12">
        <f>VLOOKUP($E$48,FATORES!$B$16:$E$18,3)</f>
        <v>3.0000000000000001E-3</v>
      </c>
      <c r="G48" s="12">
        <f>IFERROR(VLOOKUP($E$48,FATORES!$B$19:$E$20,3),0)</f>
        <v>1.2E-2</v>
      </c>
      <c r="H48" s="64">
        <f t="shared" si="18"/>
        <v>3</v>
      </c>
      <c r="I48" s="64">
        <f t="shared" si="16"/>
        <v>12</v>
      </c>
      <c r="J48" s="64">
        <f t="shared" si="19"/>
        <v>15</v>
      </c>
      <c r="K48" s="113">
        <v>10200</v>
      </c>
      <c r="L48" s="55">
        <v>9095</v>
      </c>
      <c r="M48" s="114">
        <f>IFERROR((L48+L49)/K48,0)</f>
        <v>1.009313725490196</v>
      </c>
      <c r="N48" s="12">
        <f>IF($M$48&gt;=FATORES!$B$21,FATORES!$D$21,0)</f>
        <v>5.0000000000000001E-3</v>
      </c>
      <c r="O48" s="88">
        <f t="shared" si="17"/>
        <v>5</v>
      </c>
      <c r="P48" s="13">
        <f t="shared" si="21"/>
        <v>20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2600</v>
      </c>
      <c r="E49" s="114"/>
      <c r="F49" s="12">
        <f>VLOOKUP($E$48,FATORES!$B$16:$E$18,4)</f>
        <v>1.5E-3</v>
      </c>
      <c r="G49" s="12">
        <f>IFERROR(VLOOKUP($E$48,FATORES!$B$19:$E$20,4),0)</f>
        <v>6.0000000000000001E-3</v>
      </c>
      <c r="H49" s="64">
        <f t="shared" si="18"/>
        <v>3.9</v>
      </c>
      <c r="I49" s="64">
        <f t="shared" si="16"/>
        <v>15.6</v>
      </c>
      <c r="J49" s="64">
        <f t="shared" si="19"/>
        <v>19.5</v>
      </c>
      <c r="K49" s="113"/>
      <c r="L49" s="55">
        <v>1200</v>
      </c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19.5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2167</v>
      </c>
      <c r="D50" s="55">
        <v>1000</v>
      </c>
      <c r="E50" s="114">
        <f>IFERROR((D50+D51)/C50,0)</f>
        <v>1.375173050299954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15</v>
      </c>
      <c r="I50" s="64">
        <f t="shared" si="16"/>
        <v>40</v>
      </c>
      <c r="J50" s="64">
        <f t="shared" si="19"/>
        <v>55</v>
      </c>
      <c r="K50" s="113">
        <v>6500</v>
      </c>
      <c r="L50" s="55">
        <v>1000</v>
      </c>
      <c r="M50" s="114">
        <f>IFERROR((L50+L51)/K50,0)</f>
        <v>1.0024615384615385</v>
      </c>
      <c r="N50" s="12">
        <f>IF($M$50&gt;=FATORES!$B$11,FATORES!D11,0)</f>
        <v>1.4999999999999999E-2</v>
      </c>
      <c r="O50" s="88">
        <f t="shared" si="17"/>
        <v>15</v>
      </c>
      <c r="P50" s="13">
        <f t="shared" si="21"/>
        <v>70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1980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19.8</v>
      </c>
      <c r="I51" s="64">
        <f t="shared" si="16"/>
        <v>29.7</v>
      </c>
      <c r="J51" s="64">
        <f t="shared" si="19"/>
        <v>49.5</v>
      </c>
      <c r="K51" s="113"/>
      <c r="L51" s="55">
        <v>5516</v>
      </c>
      <c r="M51" s="114"/>
      <c r="N51" s="12">
        <f>IF($M$50&gt;=FATORES!$B$11,FATORES!$E$11,0)</f>
        <v>0.01</v>
      </c>
      <c r="O51" s="88">
        <f t="shared" si="17"/>
        <v>0</v>
      </c>
      <c r="P51" s="13">
        <f t="shared" si="21"/>
        <v>49.5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194</v>
      </c>
      <c r="D52" s="55">
        <v>291</v>
      </c>
      <c r="E52" s="49">
        <f>IFERROR(D52/C52,0)</f>
        <v>1.5</v>
      </c>
      <c r="F52" s="12">
        <f>VLOOKUP($E$52,FATORES!$O$4:$Q$6,3)</f>
        <v>0.05</v>
      </c>
      <c r="G52" s="12">
        <f>IFERROR(VLOOKUP($E$52,FATORES!$O$7:$Q$8,3),0)</f>
        <v>0.25</v>
      </c>
      <c r="H52" s="64">
        <f t="shared" si="18"/>
        <v>14.55</v>
      </c>
      <c r="I52" s="64">
        <f t="shared" si="16"/>
        <v>72.75</v>
      </c>
      <c r="J52" s="64">
        <f t="shared" si="19"/>
        <v>87.3</v>
      </c>
      <c r="K52" s="54">
        <v>580</v>
      </c>
      <c r="L52" s="55">
        <v>636</v>
      </c>
      <c r="M52" s="49">
        <f t="shared" si="20"/>
        <v>1.096551724137931</v>
      </c>
      <c r="N52" s="12">
        <f>IF($M$52&gt;=FATORES!$O$9,FATORES!$Q$9,0)</f>
        <v>0.1</v>
      </c>
      <c r="O52" s="88">
        <f t="shared" si="17"/>
        <v>29.1</v>
      </c>
      <c r="P52" s="13">
        <f t="shared" si="21"/>
        <v>116.4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217</v>
      </c>
      <c r="D53" s="57">
        <v>218</v>
      </c>
      <c r="E53" s="50">
        <f>IFERROR(D53/C53,0)</f>
        <v>1.0046082949308757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2.1800000000000002</v>
      </c>
      <c r="I53" s="64">
        <f t="shared" si="16"/>
        <v>2.1800000000000002</v>
      </c>
      <c r="J53" s="16">
        <f t="shared" si="19"/>
        <v>4.3600000000000003</v>
      </c>
      <c r="K53" s="56">
        <v>650</v>
      </c>
      <c r="L53" s="57">
        <v>797</v>
      </c>
      <c r="M53" s="50">
        <f t="shared" si="20"/>
        <v>1.2261538461538461</v>
      </c>
      <c r="N53" s="15">
        <f>IF($M$53&gt;=FATORES!$O$17,FATORES!$Q$17,0)</f>
        <v>0.01</v>
      </c>
      <c r="O53" s="88">
        <f t="shared" si="17"/>
        <v>2.1800000000000002</v>
      </c>
      <c r="P53" s="17">
        <f t="shared" si="21"/>
        <v>6.5400000000000009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1563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m2v/rP9waUxiN2lj5Z09NQnBlpuMTPI3AfqiP4JyoOrzbjRtrepiqCLR23QYzqHHuNdlpkP6Mxvo3m/QobzVXQ==" saltValue="g9Ve2vbuLkmgfk8pHh6SXg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415" priority="22" operator="between">
      <formula>0.7</formula>
      <formula>1</formula>
    </cfRule>
    <cfRule type="cellIs" dxfId="414" priority="23" operator="greaterThanOrEqual">
      <formula>1</formula>
    </cfRule>
    <cfRule type="cellIs" dxfId="413" priority="24" operator="lessThan">
      <formula>0.7</formula>
    </cfRule>
  </conditionalFormatting>
  <conditionalFormatting sqref="E30:E33 E35 E37:E38">
    <cfRule type="cellIs" dxfId="412" priority="10" operator="between">
      <formula>0.7</formula>
      <formula>1</formula>
    </cfRule>
    <cfRule type="cellIs" dxfId="411" priority="11" operator="greaterThanOrEqual">
      <formula>1</formula>
    </cfRule>
    <cfRule type="cellIs" dxfId="410" priority="12" operator="lessThan">
      <formula>0.7</formula>
    </cfRule>
  </conditionalFormatting>
  <conditionalFormatting sqref="E45:E48 E50 E52:E53">
    <cfRule type="cellIs" dxfId="409" priority="34" operator="between">
      <formula>0.7</formula>
      <formula>1</formula>
    </cfRule>
    <cfRule type="cellIs" dxfId="408" priority="35" operator="greaterThanOrEqual">
      <formula>1</formula>
    </cfRule>
    <cfRule type="cellIs" dxfId="407" priority="36" operator="lessThan">
      <formula>0.7</formula>
    </cfRule>
  </conditionalFormatting>
  <conditionalFormatting sqref="M15:M18">
    <cfRule type="cellIs" dxfId="406" priority="16" operator="between">
      <formula>0.7</formula>
      <formula>1</formula>
    </cfRule>
    <cfRule type="cellIs" dxfId="405" priority="17" operator="greaterThanOrEqual">
      <formula>1</formula>
    </cfRule>
    <cfRule type="cellIs" dxfId="404" priority="18" operator="lessThan">
      <formula>0.7</formula>
    </cfRule>
  </conditionalFormatting>
  <conditionalFormatting sqref="M20">
    <cfRule type="cellIs" dxfId="403" priority="13" operator="between">
      <formula>0.7</formula>
      <formula>1</formula>
    </cfRule>
    <cfRule type="cellIs" dxfId="402" priority="14" operator="greaterThanOrEqual">
      <formula>1</formula>
    </cfRule>
    <cfRule type="cellIs" dxfId="401" priority="15" operator="lessThan">
      <formula>0.7</formula>
    </cfRule>
  </conditionalFormatting>
  <conditionalFormatting sqref="M22:M23">
    <cfRule type="cellIs" dxfId="400" priority="19" operator="between">
      <formula>0.7</formula>
      <formula>1</formula>
    </cfRule>
    <cfRule type="cellIs" dxfId="399" priority="20" operator="greaterThanOrEqual">
      <formula>1</formula>
    </cfRule>
    <cfRule type="cellIs" dxfId="398" priority="21" operator="lessThan">
      <formula>0.7</formula>
    </cfRule>
  </conditionalFormatting>
  <conditionalFormatting sqref="M30:M33">
    <cfRule type="cellIs" dxfId="397" priority="4" operator="between">
      <formula>0.7</formula>
      <formula>1</formula>
    </cfRule>
    <cfRule type="cellIs" dxfId="396" priority="5" operator="greaterThanOrEqual">
      <formula>1</formula>
    </cfRule>
    <cfRule type="cellIs" dxfId="395" priority="6" operator="lessThan">
      <formula>0.7</formula>
    </cfRule>
  </conditionalFormatting>
  <conditionalFormatting sqref="M35">
    <cfRule type="cellIs" dxfId="394" priority="1" operator="between">
      <formula>0.7</formula>
      <formula>1</formula>
    </cfRule>
    <cfRule type="cellIs" dxfId="393" priority="2" operator="greaterThanOrEqual">
      <formula>1</formula>
    </cfRule>
    <cfRule type="cellIs" dxfId="392" priority="3" operator="lessThan">
      <formula>0.7</formula>
    </cfRule>
  </conditionalFormatting>
  <conditionalFormatting sqref="M37:M38">
    <cfRule type="cellIs" dxfId="391" priority="7" operator="between">
      <formula>0.7</formula>
      <formula>1</formula>
    </cfRule>
    <cfRule type="cellIs" dxfId="390" priority="8" operator="greaterThanOrEqual">
      <formula>1</formula>
    </cfRule>
    <cfRule type="cellIs" dxfId="389" priority="9" operator="lessThan">
      <formula>0.7</formula>
    </cfRule>
  </conditionalFormatting>
  <conditionalFormatting sqref="M45:M48">
    <cfRule type="cellIs" dxfId="388" priority="28" operator="between">
      <formula>0.7</formula>
      <formula>1</formula>
    </cfRule>
    <cfRule type="cellIs" dxfId="387" priority="29" operator="greaterThanOrEqual">
      <formula>1</formula>
    </cfRule>
    <cfRule type="cellIs" dxfId="386" priority="30" operator="lessThan">
      <formula>0.7</formula>
    </cfRule>
  </conditionalFormatting>
  <conditionalFormatting sqref="M50">
    <cfRule type="cellIs" dxfId="385" priority="25" operator="between">
      <formula>0.7</formula>
      <formula>1</formula>
    </cfRule>
    <cfRule type="cellIs" dxfId="384" priority="26" operator="greaterThanOrEqual">
      <formula>1</formula>
    </cfRule>
    <cfRule type="cellIs" dxfId="383" priority="27" operator="lessThan">
      <formula>0.7</formula>
    </cfRule>
  </conditionalFormatting>
  <conditionalFormatting sqref="M52:M53">
    <cfRule type="cellIs" dxfId="382" priority="31" operator="between">
      <formula>0.7</formula>
      <formula>1</formula>
    </cfRule>
    <cfRule type="cellIs" dxfId="381" priority="32" operator="greaterThanOrEqual">
      <formula>1</formula>
    </cfRule>
    <cfRule type="cellIs" dxfId="380" priority="33" operator="lessThan">
      <formula>0.7</formula>
    </cfRule>
  </conditionalFormatting>
  <dataValidations count="1">
    <dataValidation type="list" allowBlank="1" showInputMessage="1" showErrorMessage="1" sqref="B8:H8" xr:uid="{854D9ACB-3525-41B9-B822-ED60BC6760E3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C8E223-74B9-41A3-99C0-E3AF53AB03DE}">
          <x14:formula1>
            <xm:f>HC!$S$2:$S$8</xm:f>
          </x14:formula1>
          <xm:sqref>J7:K7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7F55-F97B-4AB6-8079-C1A74B249EE2}">
  <dimension ref="B1:X54"/>
  <sheetViews>
    <sheetView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4" width="16.5546875" customWidth="1"/>
    <col min="5" max="5" width="14.4414062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5546875" customWidth="1"/>
    <col min="13" max="13" width="14.44140625" customWidth="1"/>
    <col min="14" max="14" width="20.5546875" customWidth="1"/>
    <col min="15" max="15" width="21" customWidth="1"/>
    <col min="16" max="16" width="15.21875" customWidth="1"/>
    <col min="17" max="19" width="14.21875" customWidth="1"/>
    <col min="20" max="20" width="18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163</v>
      </c>
      <c r="K7" s="179"/>
      <c r="M7" s="178" t="s">
        <v>33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1105.3846000000001</v>
      </c>
      <c r="D15" s="76">
        <f>_xlfn.XLOOKUP($J$7,PROJEÇÃO[CONSULTOR],PROJEÇÃO[PROJ_MOVEL])</f>
        <v>1483.0000000000007</v>
      </c>
      <c r="E15" s="48">
        <f>IFERROR(D15/C15,0)</f>
        <v>1.3416144932722969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118.64000000000006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222.4500000000001</v>
      </c>
      <c r="J15" s="9">
        <f>H15+I15</f>
        <v>341.09000000000015</v>
      </c>
      <c r="K15" s="75">
        <f>SUMIFS(REALIZADO[META_MOVEL],REALIZADO[PDV],QUISSAMA!$M$7)</f>
        <v>4790</v>
      </c>
      <c r="L15" s="76">
        <f>SUMIFS(PROJEÇÃO[PROJ_MOVEL],PROJEÇÃO[PDV],QUISSAMA!$M$7)</f>
        <v>5233.7700000000023</v>
      </c>
      <c r="M15" s="48">
        <f>IFERROR(L15/K15,0)</f>
        <v>1.0926450939457206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148.30000000000007</v>
      </c>
      <c r="P15" s="10">
        <f>J15+O15</f>
        <v>489.39000000000021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813.05862000000047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SUMIFS(REALIZADO[META_FIXA],REALIZADO[PDV],QUISSAMA!$M$7)</f>
        <v>0</v>
      </c>
      <c r="L16" s="76">
        <f>SUMIFS(PROJEÇÃO[PROJ_FIXA],PROJEÇÃO[PDV],QUISSAMA!$M$7)</f>
        <v>0</v>
      </c>
      <c r="M16" s="49">
        <f t="shared" ref="M16:M17" si="4">IFERROR(L16/K16,0)</f>
        <v>0</v>
      </c>
      <c r="N16" s="12">
        <f>IF($M$17&gt;=FATORES!$I$17,FATORES!$K$17,0)</f>
        <v>0.15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12000</v>
      </c>
      <c r="D17" s="76">
        <f>_xlfn.XLOOKUP($J$7,PROJEÇÃO[CONSULTOR],PROJEÇÃO[PROJ_APARELHO])</f>
        <v>14470.000000000007</v>
      </c>
      <c r="E17" s="49">
        <f>IFERROR(D17/C17,0)</f>
        <v>1.205833333333334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21.705000000000013</v>
      </c>
      <c r="I17" s="64">
        <f t="shared" si="0"/>
        <v>28.940000000000015</v>
      </c>
      <c r="J17" s="64">
        <f t="shared" si="3"/>
        <v>50.645000000000024</v>
      </c>
      <c r="K17" s="52">
        <f>SUMIFS(REALIZADO[META_SMARTPHONE],REALIZADO[PDV],QUISSAMA!$M$7)</f>
        <v>52000</v>
      </c>
      <c r="L17" s="77">
        <f>SUMIFS(PROJEÇÃO[PROJ_APARELHO],PROJEÇÃO[PDV],QUISSAMA!$M$7)</f>
        <v>71687.000000000029</v>
      </c>
      <c r="M17" s="49">
        <f t="shared" si="4"/>
        <v>1.3785961538461544</v>
      </c>
      <c r="N17" s="12">
        <f>IF($M$17&gt;=FATORES!$B$28,FATORES!$D$28,0)</f>
        <v>2.5000000000000001E-3</v>
      </c>
      <c r="O17" s="88">
        <f t="shared" si="1"/>
        <v>36.175000000000018</v>
      </c>
      <c r="P17" s="13">
        <f t="shared" si="5"/>
        <v>86.82000000000005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1176.9231</v>
      </c>
      <c r="D18" s="77">
        <f>_xlfn.XLOOKUP($J$7,PROJEÇÃO[CONSULTOR],PROJEÇÃO[PROJ_ELETRO_A])</f>
        <v>199.00000000000009</v>
      </c>
      <c r="E18" s="140">
        <f>IFERROR((D18+D19)/C18,0)</f>
        <v>2.6203921054825088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0.59700000000000031</v>
      </c>
      <c r="I18" s="64">
        <f t="shared" si="0"/>
        <v>2.7860000000000014</v>
      </c>
      <c r="J18" s="64">
        <f t="shared" si="3"/>
        <v>3.3830000000000018</v>
      </c>
      <c r="K18" s="141">
        <f>SUMIFS(REALIZADO[META_ACESSORIO],REALIZADO[PDV],QUISSAMA!$M$7)</f>
        <v>5100.0001000000002</v>
      </c>
      <c r="L18" s="86">
        <f>SUMIFS(PROJEÇÃO[PROJ_ELETRO_A],PROJEÇÃO[PDV],QUISSAMA!$M$7)</f>
        <v>378.00000000000017</v>
      </c>
      <c r="M18" s="114">
        <f>IFERROR((L18+L19)/K18,0)</f>
        <v>1.8343136895232617</v>
      </c>
      <c r="N18" s="12">
        <f>IF($M$18&gt;=FATORES!$B$21,FATORES!$D$21,0)</f>
        <v>5.0000000000000001E-3</v>
      </c>
      <c r="O18" s="88">
        <f t="shared" si="1"/>
        <v>0.99500000000000044</v>
      </c>
      <c r="P18" s="13">
        <f t="shared" si="5"/>
        <v>4.3780000000000019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2885.0000000000014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4.3275000000000023</v>
      </c>
      <c r="I19" s="64">
        <f t="shared" si="0"/>
        <v>20.195000000000011</v>
      </c>
      <c r="J19" s="64">
        <f t="shared" si="3"/>
        <v>24.522500000000015</v>
      </c>
      <c r="K19" s="142"/>
      <c r="L19" s="87">
        <f>SUMIFS(PROJEÇÃO[PROJ_ELETRO_B],PROJEÇÃO[PDV],QUISSAMA!$M$7)</f>
        <v>8977.0000000000036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24.522500000000015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1084.6153999999999</v>
      </c>
      <c r="D20" s="77">
        <f>_xlfn.XLOOKUP($J$7,PROJEÇÃO[CONSULTOR],PROJEÇÃO[PROJ_ESSEN_A])</f>
        <v>771.00000000000034</v>
      </c>
      <c r="E20" s="140">
        <f>IFERROR((D20+D21)/C20,0)</f>
        <v>1.2492907624214082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11.565000000000005</v>
      </c>
      <c r="I20" s="64">
        <f t="shared" si="0"/>
        <v>30.840000000000014</v>
      </c>
      <c r="J20" s="64">
        <f t="shared" si="3"/>
        <v>42.405000000000015</v>
      </c>
      <c r="K20" s="141">
        <f>SUMIFS(REALIZADO[META_ESSENCIAIS],REALIZADO[PDV],QUISSAMA!$M$7)</f>
        <v>4700</v>
      </c>
      <c r="L20" s="86">
        <f>SUMIFS(PROJEÇÃO[PROJ_ESSEN_A],PROJEÇÃO[PDV],QUISSAMA!$M$7)</f>
        <v>2710.0000000000014</v>
      </c>
      <c r="M20" s="114">
        <f>IFERROR((L20+L21)/K20,0)</f>
        <v>1.1765957446808517</v>
      </c>
      <c r="N20" s="12">
        <f>IF($M$20&gt;=FATORES!$B$11,FATORES!$D$11,0)</f>
        <v>1.4999999999999999E-2</v>
      </c>
      <c r="O20" s="88">
        <f t="shared" si="1"/>
        <v>11.565000000000005</v>
      </c>
      <c r="P20" s="13">
        <f t="shared" si="5"/>
        <v>53.97000000000002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584.00000000000023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5.8400000000000025</v>
      </c>
      <c r="I21" s="64">
        <f t="shared" si="0"/>
        <v>8.7600000000000033</v>
      </c>
      <c r="J21" s="64">
        <f t="shared" si="3"/>
        <v>14.600000000000005</v>
      </c>
      <c r="K21" s="142"/>
      <c r="L21" s="87">
        <f>SUMIFS(PROJEÇÃO[PROJ_ESSEN_B],PROJEÇÃO[PDV],QUISSAMA!$M$7)</f>
        <v>2820.0000000000014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14.600000000000005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92.307699999999997</v>
      </c>
      <c r="D22" s="81">
        <f>_xlfn.XLOOKUP($J$7,PROJEÇÃO[CONSULTOR],PROJEÇÃO[PROJ_SEGURO])</f>
        <v>154.30000000000007</v>
      </c>
      <c r="E22" s="83">
        <f>IFERROR(D22/C22,0)</f>
        <v>1.6715831940347345</v>
      </c>
      <c r="F22" s="83">
        <f>VLOOKUP($E$22,FATORES!$O$4:$Q$6,3)</f>
        <v>0.05</v>
      </c>
      <c r="G22" s="12">
        <f>IFERROR(VLOOKUP($E$22,FATORES!$O$7:$Q$8,3),0)</f>
        <v>0.25</v>
      </c>
      <c r="H22" s="64">
        <f t="shared" si="2"/>
        <v>7.7150000000000034</v>
      </c>
      <c r="I22" s="64">
        <f t="shared" si="0"/>
        <v>38.575000000000017</v>
      </c>
      <c r="J22" s="64">
        <f t="shared" si="3"/>
        <v>46.29000000000002</v>
      </c>
      <c r="K22" s="56">
        <f>SUMIFS(REALIZADO[META_SEGUROS],REALIZADO[PDV],QUISSAMA!$M$7)</f>
        <v>400.00010000000003</v>
      </c>
      <c r="L22" s="78">
        <f>SUMIFS(PROJEÇÃO[PROJ_SEGURO],PROJEÇÃO[PDV],QUISSAMA!$M$7)</f>
        <v>518.20000000000027</v>
      </c>
      <c r="M22" s="49">
        <f t="shared" ref="M22:M23" si="6">IFERROR(L22/K22,0)</f>
        <v>1.2954996761250817</v>
      </c>
      <c r="N22" s="12">
        <f>IF($M$22&gt;=FATORES!$O$9,FATORES!$Q$9,0)</f>
        <v>0.1</v>
      </c>
      <c r="O22" s="88">
        <f t="shared" si="1"/>
        <v>15.430000000000007</v>
      </c>
      <c r="P22" s="13">
        <f t="shared" si="5"/>
        <v>61.720000000000027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105</v>
      </c>
      <c r="D23" s="57">
        <f>_xlfn.XLOOKUP($J$7,PROJEÇÃO[CONSULTOR],PROJEÇÃO[PROJ_SVA])</f>
        <v>124.79000000000005</v>
      </c>
      <c r="E23" s="82">
        <f>IFERROR(D23/C23,0)</f>
        <v>1.1884761904761909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1.2479000000000005</v>
      </c>
      <c r="I23" s="64">
        <f t="shared" si="0"/>
        <v>1.2479000000000005</v>
      </c>
      <c r="J23" s="16">
        <f t="shared" si="3"/>
        <v>2.4958000000000009</v>
      </c>
      <c r="K23" s="75">
        <f>SUMIFS(REALIZADO[META_SVA],REALIZADO[PDV],QUISSAMA!$M$7)</f>
        <v>455</v>
      </c>
      <c r="L23" s="76">
        <f>SUMIFS(PROJEÇÃO[PROJ_SVA],PROJEÇÃO[PDV],QUISSAMA!$M$7)</f>
        <v>515.02000000000021</v>
      </c>
      <c r="M23" s="50">
        <f t="shared" si="6"/>
        <v>1.1319120879120883</v>
      </c>
      <c r="N23" s="15">
        <f>IF($M$23&gt;=FATORES!$O$17,FATORES!$Q$17,0)</f>
        <v>0.01</v>
      </c>
      <c r="O23" s="88">
        <f t="shared" si="1"/>
        <v>1.2479000000000005</v>
      </c>
      <c r="P23" s="17">
        <f t="shared" si="5"/>
        <v>3.7437000000000014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739.14420000000041</v>
      </c>
      <c r="Q24" s="69">
        <f t="shared" ref="Q24:R24" si="7">SUM(Q15:Q23)</f>
        <v>0</v>
      </c>
      <c r="R24" s="69">
        <f t="shared" si="7"/>
        <v>0</v>
      </c>
      <c r="S24" s="70">
        <f>IF($P$7="ARIEL",IF(MIN(E15,E17,E18,E19,E20,E22,E23)&gt;=100%,SUM(P24:R24)*S15,""),IF(MIN(E15:E23)&gt;=100%,SUM(P24:R24)*S15,""))</f>
        <v>73.91442000000005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1105.3846000000001</v>
      </c>
      <c r="D30" s="76">
        <f>_xlfn.XLOOKUP($J$7,REALIZADO[CONSULTOR],REALIZADO[AT_MOVEL])</f>
        <v>13</v>
      </c>
      <c r="E30" s="48">
        <f>IFERROR(D30/C30,0)</f>
        <v>1.1760612550600034E-2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0.13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0.13</v>
      </c>
      <c r="K30" s="75">
        <f>SUMIFS(REALIZADO[META_MOVEL],REALIZADO[PDV],QUISSAMA!$M$7)</f>
        <v>4790</v>
      </c>
      <c r="L30" s="76">
        <f>SUMIFS(REALIZADO[AT_MOVEL],REALIZADO[PDV],QUISSAMA!$M$7)</f>
        <v>555</v>
      </c>
      <c r="M30" s="48">
        <f>IFERROR(L30/K30,0)</f>
        <v>0.11586638830897704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0.13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2.665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SUMIFS(REALIZADO[META_FIXA],REALIZADO[PDV],QUISSAMA!$M$7)</f>
        <v>0</v>
      </c>
      <c r="L31" s="76">
        <f>SUMIFS(REALIZADO[AT_FIXA],REALIZADO[PDV],QUISSAMA!$M$7)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12000</v>
      </c>
      <c r="D32" s="76">
        <f>_xlfn.XLOOKUP($J$7,REALIZADO[CONSULTOR],REALIZADO[AT_SMARTPHONE])</f>
        <v>2398</v>
      </c>
      <c r="E32" s="49">
        <f>IFERROR(D32/C32,0)</f>
        <v>0.19983333333333334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1.1990000000000001</v>
      </c>
      <c r="I32" s="64">
        <f t="shared" si="8"/>
        <v>0</v>
      </c>
      <c r="J32" s="64">
        <f t="shared" si="11"/>
        <v>1.1990000000000001</v>
      </c>
      <c r="K32" s="52">
        <f>SUMIFS(REALIZADO[META_SMARTPHONE],REALIZADO[PDV],QUISSAMA!$M$7)</f>
        <v>52000</v>
      </c>
      <c r="L32" s="77">
        <f>SUMIFS(REALIZADO[AT_SMARTPHONE],REALIZADO[PDV],QUISSAMA!$M$7)</f>
        <v>9383</v>
      </c>
      <c r="M32" s="49">
        <f t="shared" si="12"/>
        <v>0.18044230769230768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1.1990000000000001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1176.9231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SUMIFS(REALIZADO[META_ACESSORIO],REALIZADO[PDV],QUISSAMA!$M$7)</f>
        <v>5100.0001000000002</v>
      </c>
      <c r="L33" s="86">
        <f>SUMIFS(REALIZADO[AT_ACESSORIOS_A],REALIZADO[PDV],QUISSAMA!$M$7)</f>
        <v>0</v>
      </c>
      <c r="M33" s="114">
        <f>IFERROR((L33+L34)/K33,0)</f>
        <v>4.8627450026912745E-2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SUMIFS(REALIZADO[AT_ACESSORIOS_B],REALIZADO[PDV],QUISSAMA!$M$7)</f>
        <v>248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1084.6153999999999</v>
      </c>
      <c r="D35" s="77">
        <f>_xlfn.XLOOKUP($J$7,REALIZADO[CONSULTOR],REALIZADO[AT_ESSENCIAIS_A])</f>
        <v>188</v>
      </c>
      <c r="E35" s="140">
        <f>IFERROR((D35+D36)/C35,0)</f>
        <v>0.35588651977465935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0.94000000000000006</v>
      </c>
      <c r="I35" s="64">
        <f t="shared" si="8"/>
        <v>0</v>
      </c>
      <c r="J35" s="64">
        <f t="shared" si="11"/>
        <v>0.94000000000000006</v>
      </c>
      <c r="K35" s="141">
        <f>SUMIFS(REALIZADO[META_ESSENCIAIS],REALIZADO[PDV],QUISSAMA!$M$7)</f>
        <v>4700</v>
      </c>
      <c r="L35" s="86">
        <f>SUMIFS(REALIZADO[AT_ESSENCIAIS_A],REALIZADO[PDV],QUISSAMA!$M$7)</f>
        <v>593</v>
      </c>
      <c r="M35" s="114">
        <f>IFERROR((L35+L36)/K35,0)</f>
        <v>0.24404255319148938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0.94000000000000006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198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0.39600000000000002</v>
      </c>
      <c r="I36" s="64">
        <f t="shared" si="8"/>
        <v>0</v>
      </c>
      <c r="J36" s="64">
        <f t="shared" si="11"/>
        <v>0.39600000000000002</v>
      </c>
      <c r="K36" s="142"/>
      <c r="L36" s="87">
        <f>SUMIFS(REALIZADO[AT_ESSENCIAIS_B],REALIZADO[PDV],QUISSAMA!$M$7)</f>
        <v>554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0.39600000000000002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92.307699999999997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SUMIFS(REALIZADO[META_SEGUROS],REALIZADO[PDV],QUISSAMA!$M$7)</f>
        <v>400.00010000000003</v>
      </c>
      <c r="L37" s="78">
        <f>SUMIFS(REALIZADO[AT_SEGUROS],REALIZADO[PDV],QUISSAMA!$M$7)</f>
        <v>153.6</v>
      </c>
      <c r="M37" s="49">
        <f t="shared" ref="M37:M38" si="14">IFERROR(L37/K37,0)</f>
        <v>0.38399990400002393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105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SUMIFS(REALIZADO[META_SVA],REALIZADO[PDV],QUISSAMA!$M$7)</f>
        <v>455</v>
      </c>
      <c r="L38" s="76">
        <f>SUMIFS(REALIZADO[AT_SVA],REALIZADO[PDV],QUISSAMA!$M$7)</f>
        <v>144.87</v>
      </c>
      <c r="M38" s="50">
        <f t="shared" si="14"/>
        <v>0.31839560439560438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2.665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3650.76</v>
      </c>
      <c r="D45" s="53">
        <v>5317.45</v>
      </c>
      <c r="E45" s="48">
        <f>IFERROR(D45/C45,0)</f>
        <v>1.4565323384719893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425.39600000000002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797.61749999999995</v>
      </c>
      <c r="J45" s="9">
        <f>H45+I45</f>
        <v>1223.0135</v>
      </c>
      <c r="K45" s="52">
        <v>7900</v>
      </c>
      <c r="L45" s="53">
        <v>8077.44</v>
      </c>
      <c r="M45" s="48">
        <f>IFERROR(L45/K45,0)</f>
        <v>1.0224607594936708</v>
      </c>
      <c r="N45" s="8">
        <f>IF($M$45&gt;=FATORES!$I$9,FATORES!$K$9,0)</f>
        <v>0.1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531.745</v>
      </c>
      <c r="P45" s="10">
        <f>J45+O45</f>
        <v>1754.7584999999999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2875.2575000000002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/>
      <c r="L46" s="55"/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36969.699999999997</v>
      </c>
      <c r="D47" s="55">
        <v>58685</v>
      </c>
      <c r="E47" s="49">
        <f>IFERROR(D47/C47,0)</f>
        <v>1.5873810174277856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88.027500000000003</v>
      </c>
      <c r="I47" s="64">
        <f t="shared" si="16"/>
        <v>117.37</v>
      </c>
      <c r="J47" s="64">
        <f t="shared" si="19"/>
        <v>205.39750000000001</v>
      </c>
      <c r="K47" s="54">
        <v>80000</v>
      </c>
      <c r="L47" s="55">
        <v>81828</v>
      </c>
      <c r="M47" s="49">
        <f t="shared" si="20"/>
        <v>1.02285</v>
      </c>
      <c r="N47" s="12">
        <f>IF($M$47&gt;=FATORES!$B$28,FATORES!$D$28,0)</f>
        <v>2.5000000000000001E-3</v>
      </c>
      <c r="O47" s="88">
        <f t="shared" si="17"/>
        <v>146.71250000000001</v>
      </c>
      <c r="P47" s="13">
        <f t="shared" si="21"/>
        <v>352.11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4667.42</v>
      </c>
      <c r="D48" s="55">
        <v>9365</v>
      </c>
      <c r="E48" s="114">
        <f>IFERROR((D48+D49)/C48,0)</f>
        <v>2.006461814021451</v>
      </c>
      <c r="F48" s="12">
        <f>VLOOKUP($E$48,FATORES!$B$16:$E$18,3)</f>
        <v>3.0000000000000001E-3</v>
      </c>
      <c r="G48" s="12">
        <f>IFERROR(VLOOKUP($E$48,FATORES!$B$19:$E$20,3),0)</f>
        <v>1.4E-2</v>
      </c>
      <c r="H48" s="64">
        <f t="shared" si="18"/>
        <v>28.094999999999999</v>
      </c>
      <c r="I48" s="64">
        <f t="shared" si="16"/>
        <v>131.11000000000001</v>
      </c>
      <c r="J48" s="64">
        <f t="shared" si="19"/>
        <v>159.20500000000001</v>
      </c>
      <c r="K48" s="113">
        <v>10100</v>
      </c>
      <c r="L48" s="55">
        <v>13859</v>
      </c>
      <c r="M48" s="114">
        <f>IFERROR((L48+L49)/K48,0)</f>
        <v>1.3721782178217823</v>
      </c>
      <c r="N48" s="12">
        <f>IF($M$48&gt;=FATORES!$B$21,FATORES!$D$21,0)</f>
        <v>5.0000000000000001E-3</v>
      </c>
      <c r="O48" s="88">
        <f t="shared" si="17"/>
        <v>46.825000000000003</v>
      </c>
      <c r="P48" s="13">
        <f t="shared" si="21"/>
        <v>206.03000000000003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1.5E-3</v>
      </c>
      <c r="G49" s="12">
        <f>IFERROR(VLOOKUP($E$48,FATORES!$B$19:$E$20,4),0)</f>
        <v>7.0000000000000001E-3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/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3928.03</v>
      </c>
      <c r="D50" s="55">
        <v>5562</v>
      </c>
      <c r="E50" s="114">
        <f>IFERROR((D50+D51)/C50,0)</f>
        <v>1.415976965552707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83.429999999999993</v>
      </c>
      <c r="I50" s="64">
        <f t="shared" si="16"/>
        <v>222.48000000000002</v>
      </c>
      <c r="J50" s="64">
        <f t="shared" si="19"/>
        <v>305.91000000000003</v>
      </c>
      <c r="K50" s="113">
        <v>8500</v>
      </c>
      <c r="L50" s="55">
        <v>8586</v>
      </c>
      <c r="M50" s="114">
        <f>IFERROR((L50+L51)/K50,0)</f>
        <v>1.0101176470588236</v>
      </c>
      <c r="N50" s="12">
        <f>IF($M$50&gt;=FATORES!$B$11,FATORES!D11,0)</f>
        <v>1.4999999999999999E-2</v>
      </c>
      <c r="O50" s="88">
        <f t="shared" si="17"/>
        <v>83.429999999999993</v>
      </c>
      <c r="P50" s="13">
        <f t="shared" si="21"/>
        <v>389.34000000000003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/>
      <c r="M51" s="114"/>
      <c r="N51" s="12">
        <f>IF($M$50&gt;=FATORES!$B$11,FATORES!$E$11,0)</f>
        <v>0.01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365.08</v>
      </c>
      <c r="D52" s="55">
        <v>457.5</v>
      </c>
      <c r="E52" s="49">
        <f>IFERROR(D52/C52,0)</f>
        <v>1.2531499945217488</v>
      </c>
      <c r="F52" s="12">
        <f>VLOOKUP($E$52,FATORES!$O$4:$Q$6,3)</f>
        <v>0.05</v>
      </c>
      <c r="G52" s="12">
        <f>IFERROR(VLOOKUP($E$52,FATORES!$O$7:$Q$8,3),0)</f>
        <v>0.2</v>
      </c>
      <c r="H52" s="64">
        <f t="shared" si="18"/>
        <v>22.875</v>
      </c>
      <c r="I52" s="64">
        <f t="shared" si="16"/>
        <v>91.5</v>
      </c>
      <c r="J52" s="64">
        <f t="shared" si="19"/>
        <v>114.375</v>
      </c>
      <c r="K52" s="54">
        <v>790</v>
      </c>
      <c r="L52" s="55">
        <v>838.4</v>
      </c>
      <c r="M52" s="49">
        <f t="shared" si="20"/>
        <v>1.0612658227848102</v>
      </c>
      <c r="N52" s="12">
        <f>IF($M$52&gt;=FATORES!$O$9,FATORES!$Q$9,0)</f>
        <v>0.1</v>
      </c>
      <c r="O52" s="88">
        <f t="shared" si="17"/>
        <v>45.75</v>
      </c>
      <c r="P52" s="13">
        <f t="shared" si="21"/>
        <v>160.125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323.48</v>
      </c>
      <c r="D53" s="57">
        <v>429.8</v>
      </c>
      <c r="E53" s="50">
        <f>IFERROR(D53/C53,0)</f>
        <v>1.3286756522814394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4.298</v>
      </c>
      <c r="I53" s="64">
        <f t="shared" si="16"/>
        <v>4.298</v>
      </c>
      <c r="J53" s="16">
        <f t="shared" si="19"/>
        <v>8.5960000000000001</v>
      </c>
      <c r="K53" s="56">
        <v>700</v>
      </c>
      <c r="L53" s="57">
        <v>819.99</v>
      </c>
      <c r="M53" s="50">
        <f t="shared" si="20"/>
        <v>1.1714142857142857</v>
      </c>
      <c r="N53" s="15">
        <f>IF($M$53&gt;=FATORES!$O$17,FATORES!$Q$17,0)</f>
        <v>0.01</v>
      </c>
      <c r="O53" s="88">
        <f t="shared" si="17"/>
        <v>4.298</v>
      </c>
      <c r="P53" s="17">
        <f t="shared" si="21"/>
        <v>12.894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2875.2575000000002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W89rVzLfnxsm8z8ItSGp3CBkKvRxUiGXTwVBDkbsAY+a7V5fUoEs8MQn97sYepslz8JWWSjEO+bgsjxnovZCQw==" saltValue="iy8YmODsvzgHQ3m47ss01Q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379" priority="22" operator="between">
      <formula>0.7</formula>
      <formula>1</formula>
    </cfRule>
    <cfRule type="cellIs" dxfId="378" priority="23" operator="greaterThanOrEqual">
      <formula>1</formula>
    </cfRule>
    <cfRule type="cellIs" dxfId="377" priority="24" operator="lessThan">
      <formula>0.7</formula>
    </cfRule>
  </conditionalFormatting>
  <conditionalFormatting sqref="E30:E33 E35 E37:E38">
    <cfRule type="cellIs" dxfId="376" priority="10" operator="between">
      <formula>0.7</formula>
      <formula>1</formula>
    </cfRule>
    <cfRule type="cellIs" dxfId="375" priority="11" operator="greaterThanOrEqual">
      <formula>1</formula>
    </cfRule>
    <cfRule type="cellIs" dxfId="374" priority="12" operator="lessThan">
      <formula>0.7</formula>
    </cfRule>
  </conditionalFormatting>
  <conditionalFormatting sqref="E45:E48 E50 E52:E53">
    <cfRule type="cellIs" dxfId="373" priority="34" operator="between">
      <formula>0.7</formula>
      <formula>1</formula>
    </cfRule>
    <cfRule type="cellIs" dxfId="372" priority="35" operator="greaterThanOrEqual">
      <formula>1</formula>
    </cfRule>
    <cfRule type="cellIs" dxfId="371" priority="36" operator="lessThan">
      <formula>0.7</formula>
    </cfRule>
  </conditionalFormatting>
  <conditionalFormatting sqref="M15:M18">
    <cfRule type="cellIs" dxfId="370" priority="16" operator="between">
      <formula>0.7</formula>
      <formula>1</formula>
    </cfRule>
    <cfRule type="cellIs" dxfId="369" priority="17" operator="greaterThanOrEqual">
      <formula>1</formula>
    </cfRule>
    <cfRule type="cellIs" dxfId="368" priority="18" operator="lessThan">
      <formula>0.7</formula>
    </cfRule>
  </conditionalFormatting>
  <conditionalFormatting sqref="M20">
    <cfRule type="cellIs" dxfId="367" priority="13" operator="between">
      <formula>0.7</formula>
      <formula>1</formula>
    </cfRule>
    <cfRule type="cellIs" dxfId="366" priority="14" operator="greaterThanOrEqual">
      <formula>1</formula>
    </cfRule>
    <cfRule type="cellIs" dxfId="365" priority="15" operator="lessThan">
      <formula>0.7</formula>
    </cfRule>
  </conditionalFormatting>
  <conditionalFormatting sqref="M22:M23">
    <cfRule type="cellIs" dxfId="364" priority="19" operator="between">
      <formula>0.7</formula>
      <formula>1</formula>
    </cfRule>
    <cfRule type="cellIs" dxfId="363" priority="20" operator="greaterThanOrEqual">
      <formula>1</formula>
    </cfRule>
    <cfRule type="cellIs" dxfId="362" priority="21" operator="lessThan">
      <formula>0.7</formula>
    </cfRule>
  </conditionalFormatting>
  <conditionalFormatting sqref="M30:M33">
    <cfRule type="cellIs" dxfId="361" priority="4" operator="between">
      <formula>0.7</formula>
      <formula>1</formula>
    </cfRule>
    <cfRule type="cellIs" dxfId="360" priority="5" operator="greaterThanOrEqual">
      <formula>1</formula>
    </cfRule>
    <cfRule type="cellIs" dxfId="359" priority="6" operator="lessThan">
      <formula>0.7</formula>
    </cfRule>
  </conditionalFormatting>
  <conditionalFormatting sqref="M35">
    <cfRule type="cellIs" dxfId="358" priority="1" operator="between">
      <formula>0.7</formula>
      <formula>1</formula>
    </cfRule>
    <cfRule type="cellIs" dxfId="357" priority="2" operator="greaterThanOrEqual">
      <formula>1</formula>
    </cfRule>
    <cfRule type="cellIs" dxfId="356" priority="3" operator="lessThan">
      <formula>0.7</formula>
    </cfRule>
  </conditionalFormatting>
  <conditionalFormatting sqref="M37:M38">
    <cfRule type="cellIs" dxfId="355" priority="7" operator="between">
      <formula>0.7</formula>
      <formula>1</formula>
    </cfRule>
    <cfRule type="cellIs" dxfId="354" priority="8" operator="greaterThanOrEqual">
      <formula>1</formula>
    </cfRule>
    <cfRule type="cellIs" dxfId="353" priority="9" operator="lessThan">
      <formula>0.7</formula>
    </cfRule>
  </conditionalFormatting>
  <conditionalFormatting sqref="M45:M48">
    <cfRule type="cellIs" dxfId="352" priority="28" operator="between">
      <formula>0.7</formula>
      <formula>1</formula>
    </cfRule>
    <cfRule type="cellIs" dxfId="351" priority="29" operator="greaterThanOrEqual">
      <formula>1</formula>
    </cfRule>
    <cfRule type="cellIs" dxfId="350" priority="30" operator="lessThan">
      <formula>0.7</formula>
    </cfRule>
  </conditionalFormatting>
  <conditionalFormatting sqref="M50">
    <cfRule type="cellIs" dxfId="349" priority="25" operator="between">
      <formula>0.7</formula>
      <formula>1</formula>
    </cfRule>
    <cfRule type="cellIs" dxfId="348" priority="26" operator="greaterThanOrEqual">
      <formula>1</formula>
    </cfRule>
    <cfRule type="cellIs" dxfId="347" priority="27" operator="lessThan">
      <formula>0.7</formula>
    </cfRule>
  </conditionalFormatting>
  <conditionalFormatting sqref="M52:M53">
    <cfRule type="cellIs" dxfId="346" priority="31" operator="between">
      <formula>0.7</formula>
      <formula>1</formula>
    </cfRule>
    <cfRule type="cellIs" dxfId="345" priority="32" operator="greaterThanOrEqual">
      <formula>1</formula>
    </cfRule>
    <cfRule type="cellIs" dxfId="344" priority="33" operator="lessThan">
      <formula>0.7</formula>
    </cfRule>
  </conditionalFormatting>
  <dataValidations count="1">
    <dataValidation type="list" allowBlank="1" showInputMessage="1" showErrorMessage="1" sqref="B8:H8" xr:uid="{B790DEB8-21EA-47FC-829D-5ECE7054A751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4DF488-7412-4DE7-BA4B-5015B6532911}">
          <x14:formula1>
            <xm:f>HC!$AI$2:$AI$5</xm:f>
          </x14:formula1>
          <xm:sqref>J7:K7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13D6-3F67-4B95-9A87-4E3CF9DA2FA4}">
  <dimension ref="B1:X54"/>
  <sheetViews>
    <sheetView topLeftCell="A31"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4" width="17.5546875" customWidth="1"/>
    <col min="5" max="5" width="13.55468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7.5546875" customWidth="1"/>
    <col min="13" max="13" width="13.5546875" customWidth="1"/>
    <col min="14" max="14" width="20.5546875" customWidth="1"/>
    <col min="15" max="15" width="21" customWidth="1"/>
    <col min="16" max="16" width="15.21875" customWidth="1"/>
    <col min="17" max="20" width="14.5546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95</v>
      </c>
      <c r="K7" s="179"/>
      <c r="M7" s="178" t="s">
        <v>39</v>
      </c>
      <c r="N7" s="179"/>
      <c r="P7" s="74" t="s">
        <v>37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2530.3029999999999</v>
      </c>
      <c r="D15" s="76">
        <f>_xlfn.XLOOKUP($J$7,PROJEÇÃO[CONSULTOR],PROJEÇÃO[PROJ_MOVEL])</f>
        <v>3017.0000000000014</v>
      </c>
      <c r="E15" s="48">
        <f>IFERROR(D15/C15,0)</f>
        <v>1.1923473196688308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241.36000000000013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452.55000000000018</v>
      </c>
      <c r="J15" s="9">
        <f>H15+I15</f>
        <v>693.91000000000031</v>
      </c>
      <c r="K15" s="75">
        <f>SUMIFS(REALIZADO[META_MOVEL],REALIZADO[PDV],GLORIA!$M$7)</f>
        <v>16699.999799999998</v>
      </c>
      <c r="L15" s="76">
        <f>SUMIFS(PROJEÇÃO[PROJ_MOVEL],PROJEÇÃO[PDV],GLORIA!$M$7)</f>
        <v>11488.350000000004</v>
      </c>
      <c r="M15" s="48">
        <f>IFERROR(L15/K15,0)</f>
        <v>0.68792515793922382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693.91000000000031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1636.2027000000007</v>
      </c>
    </row>
    <row r="16" spans="2:24" x14ac:dyDescent="0.3">
      <c r="B16" s="45" t="s">
        <v>13</v>
      </c>
      <c r="C16" s="75">
        <f>_xlfn.XLOOKUP($J$7,REALIZADO[CONSULTOR],REALIZADO[META_FIXA])</f>
        <v>1378.7879</v>
      </c>
      <c r="D16" s="76">
        <f>_xlfn.XLOOKUP($J$7,PROJEÇÃO[CONSULTOR],PROJEÇÃO[PROJ_FIXA])</f>
        <v>1965.0000000000009</v>
      </c>
      <c r="E16" s="49">
        <f>IFERROR(D16/C16,0)</f>
        <v>1.4251648132392232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157.20000000000007</v>
      </c>
      <c r="I16" s="64">
        <f t="shared" si="0"/>
        <v>294.75000000000011</v>
      </c>
      <c r="J16" s="64">
        <f t="shared" ref="J16:J23" si="3">H16+I16</f>
        <v>451.95000000000016</v>
      </c>
      <c r="K16" s="75">
        <f>SUMIFS(REALIZADO[META_FIXA],REALIZADO[PDV],GLORIA!$M$7)</f>
        <v>9100.0000999999993</v>
      </c>
      <c r="L16" s="76">
        <f>SUMIFS(PROJEÇÃO[PROJ_FIXA],PROJEÇÃO[PDV],GLORIA!$M$7)</f>
        <v>6669.970000000003</v>
      </c>
      <c r="M16" s="49">
        <f t="shared" ref="M16:M17" si="4">IFERROR(L16/K16,0)</f>
        <v>0.7329637282091902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451.95000000000016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30303.030299999999</v>
      </c>
      <c r="D17" s="76">
        <f>_xlfn.XLOOKUP($J$7,PROJEÇÃO[CONSULTOR],PROJEÇÃO[PROJ_APARELHO])</f>
        <v>37799.000000000015</v>
      </c>
      <c r="E17" s="49">
        <f>IFERROR(D17/C17,0)</f>
        <v>1.2473670001247372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56.698500000000024</v>
      </c>
      <c r="I17" s="64">
        <f t="shared" si="0"/>
        <v>75.598000000000027</v>
      </c>
      <c r="J17" s="64">
        <f t="shared" si="3"/>
        <v>132.29650000000004</v>
      </c>
      <c r="K17" s="52">
        <f>SUMIFS(REALIZADO[META_SMARTPHONE],REALIZADO[PDV],GLORIA!$M$7)</f>
        <v>200000</v>
      </c>
      <c r="L17" s="77">
        <f>SUMIFS(PROJEÇÃO[PROJ_APARELHO],PROJEÇÃO[PDV],GLORIA!$M$7)</f>
        <v>143380.05000000005</v>
      </c>
      <c r="M17" s="49">
        <f t="shared" si="4"/>
        <v>0.71690025000000024</v>
      </c>
      <c r="N17" s="12">
        <f>IF($M$17&gt;=FATORES!$B$28,FATORES!$D$28,0)</f>
        <v>0</v>
      </c>
      <c r="O17" s="88">
        <f t="shared" si="1"/>
        <v>0</v>
      </c>
      <c r="P17" s="13">
        <f t="shared" si="5"/>
        <v>132.29650000000004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3863.6363999999999</v>
      </c>
      <c r="D18" s="77">
        <f>_xlfn.XLOOKUP($J$7,PROJEÇÃO[CONSULTOR],PROJEÇÃO[PROJ_ELETRO_A])</f>
        <v>39.000000000000014</v>
      </c>
      <c r="E18" s="140">
        <f>IFERROR((D18+D19)/C18,0)</f>
        <v>1.1885176358727758</v>
      </c>
      <c r="F18" s="12">
        <f>VLOOKUP($E$18,FATORES!$B$16:$E$18,3)</f>
        <v>3.0000000000000001E-3</v>
      </c>
      <c r="G18" s="12">
        <f>IFERROR(VLOOKUP($E$18,FATORES!$B$19:$E$20,3),0)</f>
        <v>1.2E-2</v>
      </c>
      <c r="H18" s="64">
        <f t="shared" si="2"/>
        <v>0.11700000000000005</v>
      </c>
      <c r="I18" s="64">
        <f t="shared" si="0"/>
        <v>0.46800000000000019</v>
      </c>
      <c r="J18" s="64">
        <f t="shared" si="3"/>
        <v>0.58500000000000019</v>
      </c>
      <c r="K18" s="141">
        <f>SUMIFS(REALIZADO[META_ACESSORIO],REALIZADO[PDV],GLORIA!$M$7)</f>
        <v>25500.000199999999</v>
      </c>
      <c r="L18" s="86">
        <f>SUMIFS(PROJEÇÃO[PROJ_ELETRO_A],PROJEÇÃO[PDV],GLORIA!$M$7)</f>
        <v>2996.0000000000014</v>
      </c>
      <c r="M18" s="114">
        <f>IFERROR((L18+L19)/K18,0)</f>
        <v>0.90713724778715921</v>
      </c>
      <c r="N18" s="12">
        <f>IF($M$18&gt;=FATORES!$B$21,FATORES!$D$21,0)</f>
        <v>0</v>
      </c>
      <c r="O18" s="88">
        <f t="shared" si="1"/>
        <v>0</v>
      </c>
      <c r="P18" s="13">
        <f t="shared" si="5"/>
        <v>0.58500000000000019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4553.0000000000018</v>
      </c>
      <c r="E19" s="140"/>
      <c r="F19" s="12">
        <f>VLOOKUP($E$18,FATORES!$B$16:$E$18,4)</f>
        <v>1.5E-3</v>
      </c>
      <c r="G19" s="12">
        <f>IFERROR(VLOOKUP($E$18,FATORES!$B$19:$E$20,4),0)</f>
        <v>6.0000000000000001E-3</v>
      </c>
      <c r="H19" s="64">
        <f t="shared" si="2"/>
        <v>6.829500000000003</v>
      </c>
      <c r="I19" s="64">
        <f t="shared" si="0"/>
        <v>27.318000000000012</v>
      </c>
      <c r="J19" s="64">
        <f t="shared" si="3"/>
        <v>34.147500000000015</v>
      </c>
      <c r="K19" s="142"/>
      <c r="L19" s="87">
        <f>SUMIFS(PROJEÇÃO[PROJ_ELETRO_B],PROJEÇÃO[PDV],GLORIA!$M$7)</f>
        <v>20136.000000000007</v>
      </c>
      <c r="M19" s="114"/>
      <c r="N19" s="12">
        <f>IF($M$18&gt;=FATORES!$B$21,FATORES!$E$21,0)</f>
        <v>0</v>
      </c>
      <c r="O19" s="88">
        <f t="shared" si="1"/>
        <v>0</v>
      </c>
      <c r="P19" s="13">
        <f t="shared" si="5"/>
        <v>34.147500000000015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1500</v>
      </c>
      <c r="D20" s="77">
        <f>_xlfn.XLOOKUP($J$7,PROJEÇÃO[CONSULTOR],PROJEÇÃO[PROJ_ESSEN_A])</f>
        <v>1057.0000000000005</v>
      </c>
      <c r="E20" s="140">
        <f>IFERROR((D20+D21)/C20,0)</f>
        <v>1.3513333333333339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15.855000000000006</v>
      </c>
      <c r="I20" s="64">
        <f t="shared" si="0"/>
        <v>42.280000000000022</v>
      </c>
      <c r="J20" s="64">
        <f t="shared" si="3"/>
        <v>58.135000000000026</v>
      </c>
      <c r="K20" s="141">
        <f>SUMIFS(REALIZADO[META_ESSENCIAIS],REALIZADO[PDV],GLORIA!$M$7)</f>
        <v>9900</v>
      </c>
      <c r="L20" s="86">
        <f>SUMIFS(PROJEÇÃO[PROJ_ESSEN_A],PROJEÇÃO[PDV],GLORIA!$M$7)</f>
        <v>5348.550000000002</v>
      </c>
      <c r="M20" s="114">
        <f>IFERROR((L20+L21)/K20,0)</f>
        <v>1.0103282828282831</v>
      </c>
      <c r="N20" s="12">
        <f>IF($M$20&gt;=FATORES!$B$11,FATORES!$D$11,0)</f>
        <v>1.4999999999999999E-2</v>
      </c>
      <c r="O20" s="88">
        <f t="shared" si="1"/>
        <v>15.855000000000006</v>
      </c>
      <c r="P20" s="13">
        <f t="shared" si="5"/>
        <v>73.990000000000038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970.00000000000045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9.7000000000000046</v>
      </c>
      <c r="I21" s="64">
        <f t="shared" si="0"/>
        <v>14.550000000000006</v>
      </c>
      <c r="J21" s="64">
        <f t="shared" si="3"/>
        <v>24.250000000000011</v>
      </c>
      <c r="K21" s="142"/>
      <c r="L21" s="87">
        <f>SUMIFS(PROJEÇÃO[PROJ_ESSEN_B],PROJEÇÃO[PDV],GLORIA!$M$7)</f>
        <v>4653.7000000000016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24.250000000000011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227.27269999999999</v>
      </c>
      <c r="D22" s="81">
        <f>_xlfn.XLOOKUP($J$7,PROJEÇÃO[CONSULTOR],PROJEÇÃO[PROJ_SEGURO])</f>
        <v>279.80000000000013</v>
      </c>
      <c r="E22" s="83">
        <f>IFERROR(D22/C22,0)</f>
        <v>1.2311201477344182</v>
      </c>
      <c r="F22" s="83">
        <f>VLOOKUP($E$22,FATORES!$O$4:$Q$6,3)</f>
        <v>0.05</v>
      </c>
      <c r="G22" s="12">
        <f>IFERROR(VLOOKUP($E$22,FATORES!$O$7:$Q$8,3),0)</f>
        <v>0.2</v>
      </c>
      <c r="H22" s="64">
        <f t="shared" si="2"/>
        <v>13.990000000000007</v>
      </c>
      <c r="I22" s="64">
        <f t="shared" si="0"/>
        <v>55.960000000000029</v>
      </c>
      <c r="J22" s="64">
        <f t="shared" si="3"/>
        <v>69.950000000000031</v>
      </c>
      <c r="K22" s="56">
        <f>SUMIFS(REALIZADO[META_SEGUROS],REALIZADO[PDV],GLORIA!$M$7)</f>
        <v>1499.9997999999998</v>
      </c>
      <c r="L22" s="78">
        <f>SUMIFS(PROJEÇÃO[PROJ_SEGURO],PROJEÇÃO[PDV],GLORIA!$M$7)</f>
        <v>1242.7000000000007</v>
      </c>
      <c r="M22" s="49">
        <f t="shared" ref="M22:M23" si="6">IFERROR(L22/K22,0)</f>
        <v>0.82846677712890415</v>
      </c>
      <c r="N22" s="12">
        <f>IF($M$22&gt;=FATORES!$O$9,FATORES!$Q$9,0)</f>
        <v>0</v>
      </c>
      <c r="O22" s="88">
        <f t="shared" si="1"/>
        <v>0</v>
      </c>
      <c r="P22" s="13">
        <f t="shared" si="5"/>
        <v>69.950000000000031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151.51519999999999</v>
      </c>
      <c r="D23" s="57">
        <f>_xlfn.XLOOKUP($J$7,PROJEÇÃO[CONSULTOR],PROJEÇÃO[PROJ_SVA])</f>
        <v>212.60000000000008</v>
      </c>
      <c r="E23" s="82">
        <f>IFERROR(D23/C23,0)</f>
        <v>1.4031595509889443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2.1260000000000008</v>
      </c>
      <c r="I23" s="64">
        <f t="shared" si="0"/>
        <v>2.1260000000000008</v>
      </c>
      <c r="J23" s="16">
        <f t="shared" si="3"/>
        <v>4.2520000000000016</v>
      </c>
      <c r="K23" s="75">
        <f>SUMIFS(REALIZADO[META_SVA],REALIZADO[PDV],GLORIA!$M$7)</f>
        <v>1000.0002999999999</v>
      </c>
      <c r="L23" s="76">
        <f>SUMIFS(PROJEÇÃO[PROJ_SVA],PROJEÇÃO[PDV],GLORIA!$M$7)</f>
        <v>1061.0900000000006</v>
      </c>
      <c r="M23" s="50">
        <f t="shared" si="6"/>
        <v>1.0610896816730961</v>
      </c>
      <c r="N23" s="15">
        <f>IF($M$23&gt;=FATORES!$O$17,FATORES!$Q$17,0)</f>
        <v>0.01</v>
      </c>
      <c r="O23" s="88">
        <f t="shared" si="1"/>
        <v>2.1260000000000008</v>
      </c>
      <c r="P23" s="17">
        <f t="shared" si="5"/>
        <v>6.3780000000000019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1487.4570000000006</v>
      </c>
      <c r="Q24" s="69">
        <f t="shared" ref="Q24:R24" si="7">SUM(Q15:Q23)</f>
        <v>0</v>
      </c>
      <c r="R24" s="69">
        <f t="shared" si="7"/>
        <v>0</v>
      </c>
      <c r="S24" s="70">
        <f>IF($P$7="ARIEL",IF(MIN(E15,E17,E18,E19,E20,E22,E23)&gt;=100%,SUM(P24:R24)*S15,""),IF(MIN(E15:E23)&gt;=100%,SUM(P24:R24)*S15,""))</f>
        <v>148.74570000000006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2530.3029999999999</v>
      </c>
      <c r="D30" s="76">
        <f>_xlfn.XLOOKUP($J$7,REALIZADO[CONSULTOR],REALIZADO[AT_MOVEL])</f>
        <v>389</v>
      </c>
      <c r="E30" s="48">
        <f>IFERROR(D30/C30,0)</f>
        <v>0.15373652878726382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3.89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3.89</v>
      </c>
      <c r="K30" s="75">
        <f>SUMIFS(REALIZADO[META_MOVEL],REALIZADO[PDV],GLORIA!$M$7)</f>
        <v>16699.999799999998</v>
      </c>
      <c r="L30" s="76">
        <f>SUMIFS(REALIZADO[AT_MOVEL],REALIZADO[PDV],GLORIA!$M$7)</f>
        <v>881.99</v>
      </c>
      <c r="M30" s="48">
        <f>IFERROR(L30/K30,0)</f>
        <v>5.2813773087590103E-2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3.89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14.588500000000002</v>
      </c>
    </row>
    <row r="31" spans="2:20" x14ac:dyDescent="0.3">
      <c r="B31" s="45" t="s">
        <v>13</v>
      </c>
      <c r="C31" s="75">
        <f>_xlfn.XLOOKUP($J$7,REALIZADO[CONSULTOR],REALIZADO[META_FIXA])</f>
        <v>1378.7879</v>
      </c>
      <c r="D31" s="76">
        <f>_xlfn.XLOOKUP($J$7,REALIZADO[CONSULTOR],REALIZADO[AT_FIXA])</f>
        <v>450</v>
      </c>
      <c r="E31" s="49">
        <f>IFERROR(D31/C31,0)</f>
        <v>0.3263736213524937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4.5</v>
      </c>
      <c r="I31" s="64">
        <f t="shared" si="8"/>
        <v>0</v>
      </c>
      <c r="J31" s="64">
        <f t="shared" ref="J31:J38" si="11">H31+I31</f>
        <v>4.5</v>
      </c>
      <c r="K31" s="75">
        <f>SUMIFS(REALIZADO[META_FIXA],REALIZADO[PDV],GLORIA!$M$7)</f>
        <v>9100.0000999999993</v>
      </c>
      <c r="L31" s="76">
        <f>SUMIFS(REALIZADO[AT_FIXA],REALIZADO[PDV],GLORIA!$M$7)</f>
        <v>900</v>
      </c>
      <c r="M31" s="49">
        <f t="shared" ref="M31:M32" si="12">IFERROR(L31/K31,0)</f>
        <v>9.8901097814273656E-2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4.5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30303.030299999999</v>
      </c>
      <c r="D32" s="76">
        <f>_xlfn.XLOOKUP($J$7,REALIZADO[CONSULTOR],REALIZADO[AT_SMARTPHONE])</f>
        <v>5999</v>
      </c>
      <c r="E32" s="49">
        <f>IFERROR(D32/C32,0)</f>
        <v>0.1979670000197967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2.9995000000000003</v>
      </c>
      <c r="I32" s="64">
        <f t="shared" si="8"/>
        <v>0</v>
      </c>
      <c r="J32" s="64">
        <f t="shared" si="11"/>
        <v>2.9995000000000003</v>
      </c>
      <c r="K32" s="52">
        <f>SUMIFS(REALIZADO[META_SMARTPHONE],REALIZADO[PDV],GLORIA!$M$7)</f>
        <v>200000</v>
      </c>
      <c r="L32" s="77">
        <f>SUMIFS(REALIZADO[AT_SMARTPHONE],REALIZADO[PDV],GLORIA!$M$7)</f>
        <v>20645</v>
      </c>
      <c r="M32" s="49">
        <f t="shared" si="12"/>
        <v>0.103225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2.9995000000000003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3863.6363999999999</v>
      </c>
      <c r="D33" s="77">
        <f>_xlfn.XLOOKUP($J$7,REALIZADO[CONSULTOR],REALIZADO[AT_ACESSORIOS_A])</f>
        <v>0</v>
      </c>
      <c r="E33" s="140">
        <f>IFERROR((D33+D34)/C33,0)</f>
        <v>0.82797646279551562</v>
      </c>
      <c r="F33" s="12">
        <f>VLOOKUP($E$33,FATORES!$B$16:$E$18,3)</f>
        <v>2E-3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SUMIFS(REALIZADO[META_ACESSORIO],REALIZADO[PDV],GLORIA!$M$7)</f>
        <v>25500.000199999999</v>
      </c>
      <c r="L33" s="86">
        <f>SUMIFS(REALIZADO[AT_ACESSORIOS_A],REALIZADO[PDV],GLORIA!$M$7)</f>
        <v>0</v>
      </c>
      <c r="M33" s="114">
        <f>IFERROR((L33+L34)/K33,0)</f>
        <v>0.31423529165305658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3199</v>
      </c>
      <c r="E34" s="140"/>
      <c r="F34" s="12">
        <f>VLOOKUP($E$33,FATORES!$B$16:$E$18,4)</f>
        <v>1E-3</v>
      </c>
      <c r="G34" s="12">
        <f>IFERROR(VLOOKUP($E$33,FATORES!$B$19:$E$20,4),0)</f>
        <v>0</v>
      </c>
      <c r="H34" s="64">
        <f t="shared" si="10"/>
        <v>3.1990000000000003</v>
      </c>
      <c r="I34" s="64">
        <f t="shared" si="8"/>
        <v>0</v>
      </c>
      <c r="J34" s="64">
        <f t="shared" si="11"/>
        <v>3.1990000000000003</v>
      </c>
      <c r="K34" s="142"/>
      <c r="L34" s="87">
        <f>SUMIFS(REALIZADO[AT_ACESSORIOS_B],REALIZADO[PDV],GLORIA!$M$7)</f>
        <v>8013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3.1990000000000003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1500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SUMIFS(REALIZADO[META_ESSENCIAIS],REALIZADO[PDV],GLORIA!$M$7)</f>
        <v>9900</v>
      </c>
      <c r="L35" s="86">
        <f>SUMIFS(REALIZADO[AT_ESSENCIAIS_A],REALIZADO[PDV],GLORIA!$M$7)</f>
        <v>398.55</v>
      </c>
      <c r="M35" s="114">
        <f>IFERROR((L35+L36)/K35,0)</f>
        <v>9.5984848484848478E-2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SUMIFS(REALIZADO[AT_ESSENCIAIS_B],REALIZADO[PDV],GLORIA!$M$7)</f>
        <v>551.70000000000005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227.27269999999999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SUMIFS(REALIZADO[META_SEGUROS],REALIZADO[PDV],GLORIA!$M$7)</f>
        <v>1499.9997999999998</v>
      </c>
      <c r="L37" s="78">
        <f>SUMIFS(REALIZADO[AT_SEGUROS],REALIZADO[PDV],GLORIA!$M$7)</f>
        <v>85.6</v>
      </c>
      <c r="M37" s="49">
        <f t="shared" ref="M37:M38" si="14">IFERROR(L37/K37,0)</f>
        <v>5.7066674275556575E-2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151.51519999999999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SUMIFS(REALIZADO[META_SVA],REALIZADO[PDV],GLORIA!$M$7)</f>
        <v>1000.0002999999999</v>
      </c>
      <c r="L38" s="76">
        <f>SUMIFS(REALIZADO[AT_SVA],REALIZADO[PDV],GLORIA!$M$7)</f>
        <v>264.89999999999998</v>
      </c>
      <c r="M38" s="50">
        <f t="shared" si="14"/>
        <v>0.26489992053002381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14.588500000000002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/>
      <c r="D45" s="53"/>
      <c r="E45" s="48">
        <f>IFERROR(D45/C45,0)</f>
        <v>0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2"/>
      <c r="L45" s="53"/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0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/>
      <c r="L46" s="55"/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/>
      <c r="D47" s="55"/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0</v>
      </c>
      <c r="I47" s="64">
        <f t="shared" si="16"/>
        <v>0</v>
      </c>
      <c r="J47" s="64">
        <f t="shared" si="19"/>
        <v>0</v>
      </c>
      <c r="K47" s="54"/>
      <c r="L47" s="55"/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/>
      <c r="D48" s="55"/>
      <c r="E48" s="114">
        <f>IFERROR((D48+D49)/C48,0)</f>
        <v>0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/>
      <c r="L48" s="55"/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/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/>
      <c r="D50" s="55"/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/>
      <c r="L50" s="55"/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/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/>
      <c r="D52" s="55"/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</v>
      </c>
      <c r="I52" s="64">
        <f t="shared" si="16"/>
        <v>0</v>
      </c>
      <c r="J52" s="64">
        <f t="shared" si="19"/>
        <v>0</v>
      </c>
      <c r="K52" s="54"/>
      <c r="L52" s="55"/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/>
      <c r="D53" s="57"/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/>
      <c r="L53" s="57"/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0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hpkl1cBv19bCevRMQ4I5PysHWu0PEWLCqVQVwq30fZfs8NAsYt9EP3TlGCInuLBdcVLXmn12ldmomlK4WcfMAg==" saltValue="5vrRnqUFG6GdXc/oGm1ZzQ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343" priority="22" operator="between">
      <formula>0.7</formula>
      <formula>1</formula>
    </cfRule>
    <cfRule type="cellIs" dxfId="342" priority="23" operator="greaterThanOrEqual">
      <formula>1</formula>
    </cfRule>
    <cfRule type="cellIs" dxfId="341" priority="24" operator="lessThan">
      <formula>0.7</formula>
    </cfRule>
  </conditionalFormatting>
  <conditionalFormatting sqref="E30:E33 E35 E37:E38">
    <cfRule type="cellIs" dxfId="340" priority="10" operator="between">
      <formula>0.7</formula>
      <formula>1</formula>
    </cfRule>
    <cfRule type="cellIs" dxfId="339" priority="11" operator="greaterThanOrEqual">
      <formula>1</formula>
    </cfRule>
    <cfRule type="cellIs" dxfId="338" priority="12" operator="lessThan">
      <formula>0.7</formula>
    </cfRule>
  </conditionalFormatting>
  <conditionalFormatting sqref="E45:E48 E50 E52:E53">
    <cfRule type="cellIs" dxfId="337" priority="34" operator="between">
      <formula>0.7</formula>
      <formula>1</formula>
    </cfRule>
    <cfRule type="cellIs" dxfId="336" priority="35" operator="greaterThanOrEqual">
      <formula>1</formula>
    </cfRule>
    <cfRule type="cellIs" dxfId="335" priority="36" operator="lessThan">
      <formula>0.7</formula>
    </cfRule>
  </conditionalFormatting>
  <conditionalFormatting sqref="M15:M18">
    <cfRule type="cellIs" dxfId="334" priority="16" operator="between">
      <formula>0.7</formula>
      <formula>1</formula>
    </cfRule>
    <cfRule type="cellIs" dxfId="333" priority="17" operator="greaterThanOrEqual">
      <formula>1</formula>
    </cfRule>
    <cfRule type="cellIs" dxfId="332" priority="18" operator="lessThan">
      <formula>0.7</formula>
    </cfRule>
  </conditionalFormatting>
  <conditionalFormatting sqref="M20">
    <cfRule type="cellIs" dxfId="331" priority="13" operator="between">
      <formula>0.7</formula>
      <formula>1</formula>
    </cfRule>
    <cfRule type="cellIs" dxfId="330" priority="14" operator="greaterThanOrEqual">
      <formula>1</formula>
    </cfRule>
    <cfRule type="cellIs" dxfId="329" priority="15" operator="lessThan">
      <formula>0.7</formula>
    </cfRule>
  </conditionalFormatting>
  <conditionalFormatting sqref="M22:M23">
    <cfRule type="cellIs" dxfId="328" priority="19" operator="between">
      <formula>0.7</formula>
      <formula>1</formula>
    </cfRule>
    <cfRule type="cellIs" dxfId="327" priority="20" operator="greaterThanOrEqual">
      <formula>1</formula>
    </cfRule>
    <cfRule type="cellIs" dxfId="326" priority="21" operator="lessThan">
      <formula>0.7</formula>
    </cfRule>
  </conditionalFormatting>
  <conditionalFormatting sqref="M30:M33">
    <cfRule type="cellIs" dxfId="325" priority="4" operator="between">
      <formula>0.7</formula>
      <formula>1</formula>
    </cfRule>
    <cfRule type="cellIs" dxfId="324" priority="5" operator="greaterThanOrEqual">
      <formula>1</formula>
    </cfRule>
    <cfRule type="cellIs" dxfId="323" priority="6" operator="lessThan">
      <formula>0.7</formula>
    </cfRule>
  </conditionalFormatting>
  <conditionalFormatting sqref="M35">
    <cfRule type="cellIs" dxfId="322" priority="1" operator="between">
      <formula>0.7</formula>
      <formula>1</formula>
    </cfRule>
    <cfRule type="cellIs" dxfId="321" priority="2" operator="greaterThanOrEqual">
      <formula>1</formula>
    </cfRule>
    <cfRule type="cellIs" dxfId="320" priority="3" operator="lessThan">
      <formula>0.7</formula>
    </cfRule>
  </conditionalFormatting>
  <conditionalFormatting sqref="M37:M38">
    <cfRule type="cellIs" dxfId="319" priority="7" operator="between">
      <formula>0.7</formula>
      <formula>1</formula>
    </cfRule>
    <cfRule type="cellIs" dxfId="318" priority="8" operator="greaterThanOrEqual">
      <formula>1</formula>
    </cfRule>
    <cfRule type="cellIs" dxfId="317" priority="9" operator="lessThan">
      <formula>0.7</formula>
    </cfRule>
  </conditionalFormatting>
  <conditionalFormatting sqref="M45:M48">
    <cfRule type="cellIs" dxfId="316" priority="28" operator="between">
      <formula>0.7</formula>
      <formula>1</formula>
    </cfRule>
    <cfRule type="cellIs" dxfId="315" priority="29" operator="greaterThanOrEqual">
      <formula>1</formula>
    </cfRule>
    <cfRule type="cellIs" dxfId="314" priority="30" operator="lessThan">
      <formula>0.7</formula>
    </cfRule>
  </conditionalFormatting>
  <conditionalFormatting sqref="M50">
    <cfRule type="cellIs" dxfId="313" priority="25" operator="between">
      <formula>0.7</formula>
      <formula>1</formula>
    </cfRule>
    <cfRule type="cellIs" dxfId="312" priority="26" operator="greaterThanOrEqual">
      <formula>1</formula>
    </cfRule>
    <cfRule type="cellIs" dxfId="311" priority="27" operator="lessThan">
      <formula>0.7</formula>
    </cfRule>
  </conditionalFormatting>
  <conditionalFormatting sqref="M52:M53">
    <cfRule type="cellIs" dxfId="310" priority="31" operator="between">
      <formula>0.7</formula>
      <formula>1</formula>
    </cfRule>
    <cfRule type="cellIs" dxfId="309" priority="32" operator="greaterThanOrEqual">
      <formula>1</formula>
    </cfRule>
    <cfRule type="cellIs" dxfId="308" priority="33" operator="lessThan">
      <formula>0.7</formula>
    </cfRule>
  </conditionalFormatting>
  <dataValidations disablePrompts="1" count="1">
    <dataValidation type="list" allowBlank="1" showInputMessage="1" showErrorMessage="1" sqref="B8:H8" xr:uid="{30DBDEF8-6446-4B32-8425-170E744D0BD2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1DE72AF-B04E-4967-B2AE-B3488C68BE40}">
          <x14:formula1>
            <xm:f>HC!$I$2:$I$10</xm:f>
          </x14:formula1>
          <xm:sqref>J7:K7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D57A-233F-4FE2-B433-478E772560C4}">
  <dimension ref="A1:AO11"/>
  <sheetViews>
    <sheetView topLeftCell="E1" workbookViewId="0">
      <selection activeCell="E7" sqref="E7"/>
    </sheetView>
  </sheetViews>
  <sheetFormatPr defaultRowHeight="14.4" x14ac:dyDescent="0.3"/>
  <cols>
    <col min="1" max="1" width="30.77734375" bestFit="1" customWidth="1"/>
    <col min="3" max="3" width="32.44140625" bestFit="1" customWidth="1"/>
    <col min="5" max="5" width="28" bestFit="1" customWidth="1"/>
    <col min="7" max="7" width="27" bestFit="1" customWidth="1"/>
    <col min="9" max="9" width="30.77734375" bestFit="1" customWidth="1"/>
    <col min="11" max="11" width="34" bestFit="1" customWidth="1"/>
    <col min="13" max="13" width="35.77734375" bestFit="1" customWidth="1"/>
    <col min="15" max="15" width="32.5546875" bestFit="1" customWidth="1"/>
    <col min="17" max="17" width="44" bestFit="1" customWidth="1"/>
    <col min="19" max="19" width="26.21875" bestFit="1" customWidth="1"/>
    <col min="21" max="21" width="31" bestFit="1" customWidth="1"/>
    <col min="23" max="23" width="34.77734375" bestFit="1" customWidth="1"/>
    <col min="25" max="25" width="32.77734375" bestFit="1" customWidth="1"/>
    <col min="27" max="27" width="32" bestFit="1" customWidth="1"/>
    <col min="29" max="29" width="36.77734375" bestFit="1" customWidth="1"/>
    <col min="31" max="31" width="31.21875" bestFit="1" customWidth="1"/>
    <col min="33" max="33" width="32.77734375" bestFit="1" customWidth="1"/>
    <col min="35" max="35" width="34.21875" bestFit="1" customWidth="1"/>
    <col min="37" max="37" width="29.21875" bestFit="1" customWidth="1"/>
    <col min="39" max="39" width="30.77734375" bestFit="1" customWidth="1"/>
    <col min="41" max="41" width="30.77734375" bestFit="1" customWidth="1"/>
  </cols>
  <sheetData>
    <row r="1" spans="1:41" x14ac:dyDescent="0.3">
      <c r="A1" t="s">
        <v>27</v>
      </c>
      <c r="C1" t="s">
        <v>29</v>
      </c>
      <c r="E1" t="s">
        <v>36</v>
      </c>
      <c r="G1" t="s">
        <v>38</v>
      </c>
      <c r="I1" t="s">
        <v>39</v>
      </c>
      <c r="K1" t="s">
        <v>30</v>
      </c>
      <c r="M1" t="s">
        <v>43</v>
      </c>
      <c r="O1" t="s">
        <v>44</v>
      </c>
      <c r="Q1" t="s">
        <v>40</v>
      </c>
      <c r="S1" t="s">
        <v>46</v>
      </c>
      <c r="U1" t="s">
        <v>47</v>
      </c>
      <c r="W1" t="s">
        <v>41</v>
      </c>
      <c r="Y1" t="s">
        <v>31</v>
      </c>
      <c r="AA1" t="s">
        <v>48</v>
      </c>
      <c r="AC1" t="s">
        <v>42</v>
      </c>
      <c r="AE1" t="s">
        <v>32</v>
      </c>
      <c r="AG1" t="s">
        <v>49</v>
      </c>
      <c r="AI1" t="s">
        <v>33</v>
      </c>
      <c r="AK1" t="s">
        <v>34</v>
      </c>
      <c r="AM1" t="s">
        <v>35</v>
      </c>
      <c r="AO1" t="s">
        <v>50</v>
      </c>
    </row>
    <row r="2" spans="1:41" x14ac:dyDescent="0.3">
      <c r="A2" t="str" cm="1">
        <f t="array" ref="A2:A5">_xlfn._xlws.FILTER([1]REALIZADO!$A:$A,[1]REALIZADO!$B:$B=$A$1)</f>
        <v>EVELYN MAVYE SILVEIRA</v>
      </c>
      <c r="C2" t="str" cm="1">
        <f t="array" ref="C2:C5">_xlfn._xlws.FILTER([1]REALIZADO!$A:$A,[1]REALIZADO!$B:$B=$C$1)</f>
        <v>ALISSON PAULO SILVA</v>
      </c>
      <c r="E2" t="str" cm="1">
        <f t="array" ref="E2:E4">_xlfn._xlws.FILTER([1]REALIZADO!$A:$A,[1]REALIZADO!$B:$B=$E$1)</f>
        <v>ALICE COSTALONGA COLLI</v>
      </c>
      <c r="G2" t="str" cm="1">
        <f t="array" ref="G2:G5">_xlfn._xlws.FILTER([1]REALIZADO!$A:$A,[1]REALIZADO!$B:$B=$G$1)</f>
        <v>BARBARA BORGES OLIVEIRA</v>
      </c>
      <c r="I2" t="str" cm="1">
        <f t="array" ref="I2:I8">_xlfn._xlws.FILTER([1]REALIZADO!$A:$A,[1]REALIZADO!$B:$B=$I$1)</f>
        <v>BIANCA SALES SILVA</v>
      </c>
      <c r="K2" t="str" cm="1">
        <f t="array" ref="K2:K4">_xlfn._xlws.FILTER([1]REALIZADO!$A:$A,[1]REALIZADO!$B:$B=$K$1)</f>
        <v>HEMILLY NUNES FERREIRA</v>
      </c>
      <c r="M2" t="str" cm="1">
        <f t="array" ref="M2:M5">_xlfn._xlws.FILTER([1]REALIZADO!$A:$A,[1]REALIZADO!$B:$B=$M$1)</f>
        <v>JOHANN RAMOS SCHEIDEGGER</v>
      </c>
      <c r="O2" t="str" cm="1">
        <f t="array" ref="O2:O6">_xlfn._xlws.FILTER([1]REALIZADO!$A:$A,[1]REALIZADO!$B:$B=$O$1)</f>
        <v>HEMILLY LAVYNNE RODRIGUES GAMA</v>
      </c>
      <c r="Q2" t="str" cm="1">
        <f t="array" ref="Q2:Q5">_xlfn._xlws.FILTER([1]REALIZADO!$A:$A,[1]REALIZADO!$B:$B=$Q$1)</f>
        <v>ARTHUR BARBOSA SCHMIDT DE OLIVEIRA</v>
      </c>
      <c r="S2" t="str" cm="1">
        <f t="array" ref="S2:S8">_xlfn._xlws.FILTER([1]REALIZADO!$A:$A,[1]REALIZADO!$B:$B=$S$1)</f>
        <v>AGATHA TEIXEIRA TARABAL</v>
      </c>
      <c r="U2" t="str" cm="1">
        <f t="array" ref="U2:U5">_xlfn._xlws.FILTER([1]REALIZADO!$A:$A,[1]REALIZADO!$B:$B=$U$1)</f>
        <v>BRENDA FAGUNDES DE SOUZA</v>
      </c>
      <c r="W2" t="str" cm="1">
        <f t="array" ref="W2:W9">_xlfn._xlws.FILTER([1]REALIZADO!$A:$A,[1]REALIZADO!$B:$B=$W$1)</f>
        <v>GABRIEL RODRIGUES DE AZEVEDO</v>
      </c>
      <c r="Y2" t="str" cm="1">
        <f t="array" ref="Y2:Y4">_xlfn._xlws.FILTER([1]REALIZADO!$A:$A,[1]REALIZADO!$B:$B=$Y$1)</f>
        <v>JOÃO PEDRO MACHADO ZACARIAS</v>
      </c>
      <c r="AA2" t="str" cm="1">
        <f t="array" ref="AA2:AA11">_xlfn._xlws.FILTER([1]REALIZADO!$A:$A,[1]REALIZADO!$B:$B=$AA$1)</f>
        <v>ANA LUÍSA GOMES SANTANA</v>
      </c>
      <c r="AC2" t="str" cm="1">
        <f t="array" ref="AC2:AC7">_xlfn._xlws.FILTER([1]REALIZADO!$A:$A,[1]REALIZADO!$B:$B=$AC$1)</f>
        <v>RAFAEL ARCHANJO CADORINI</v>
      </c>
      <c r="AE2" t="str" cm="1">
        <f t="array" ref="AE2:AE6">_xlfn._xlws.FILTER([1]REALIZADO!$A:$A,[1]REALIZADO!$B:$B=$AE$1)</f>
        <v>LAÍZA MATEUS ROCHA</v>
      </c>
      <c r="AG2" t="str" cm="1">
        <f t="array" ref="AG2:AG3">_xlfn._xlws.FILTER([1]REALIZADO!$A:$A,[1]REALIZADO!$B:$B=$AG$1)</f>
        <v>RAYTNER CHRISTIAN SOARES SANTANA</v>
      </c>
      <c r="AI2" t="str" cm="1">
        <f t="array" ref="AI2:AI5">_xlfn._xlws.FILTER([1]REALIZADO!$A:$A,[1]REALIZADO!$B:$B=$AI$1)</f>
        <v>ANNA CLARA DIAS MEDEIROS BATISTA</v>
      </c>
      <c r="AK2" t="str" cm="1">
        <f t="array" ref="AK2:AK4">_xlfn._xlws.FILTER([1]REALIZADO!$A:$A,[1]REALIZADO!$B:$B=$AK$1)</f>
        <v>EMANUELE GOMES COSTA</v>
      </c>
      <c r="AM2" t="str" cm="1">
        <f t="array" ref="AM2:AM4">_xlfn._xlws.FILTER([1]REALIZADO!$A:$A,[1]REALIZADO!$B:$B=$AM$1)</f>
        <v>MICHELLE DA FONTE GARCIA</v>
      </c>
      <c r="AO2" t="str" cm="1">
        <f t="array" ref="AO2:AO8">_xlfn._xlws.FILTER([1]REALIZADO!$A:$A,[1]REALIZADO!$B:$B=$AO$1)</f>
        <v>ARTHUR GONÇALVES MILED MONTEIRO</v>
      </c>
    </row>
    <row r="3" spans="1:41" x14ac:dyDescent="0.3">
      <c r="A3" t="str">
        <v>GABRIEL PINHEIRO BORGES</v>
      </c>
      <c r="C3" t="str">
        <v>GIAN BATISTA BRANCO</v>
      </c>
      <c r="E3" t="str">
        <v>TAHINA PAHINS COELHO</v>
      </c>
      <c r="G3" t="str">
        <v>SAFYRA GOMES QUINTILIANO</v>
      </c>
      <c r="I3" t="str">
        <v>GYSELLA MOURA COSTA</v>
      </c>
      <c r="K3" t="str">
        <v>MARYA HEDUARDA SARTORE ALVES</v>
      </c>
      <c r="M3" t="str">
        <v>MARIA FERNANDA XAVIER GONÇALVES</v>
      </c>
      <c r="O3" t="str">
        <v>FELIPE GOMES RICIERI</v>
      </c>
      <c r="Q3" t="str">
        <v>REBECA RODRIGUES FIGUEIREDO DA SILVA</v>
      </c>
      <c r="S3" t="str">
        <v>LAVINIA MONTEIRO ALMEIDA</v>
      </c>
      <c r="U3" t="str">
        <v>IORANA CERQUEIRA DOS SANTOS</v>
      </c>
      <c r="W3" t="str">
        <v>FELIPE MARTINS DA SILVA</v>
      </c>
      <c r="Y3" t="str">
        <v>LIDIA DE OLIVEIRA GONÇALVES ATAIDE</v>
      </c>
      <c r="AA3" t="str">
        <v>DANIEL ROSA NUNES</v>
      </c>
      <c r="AC3" t="str">
        <v>SÂMELLA ELYZA BARBOZA LAGASSE</v>
      </c>
      <c r="AE3" t="str">
        <v>NOEMI BATISTA DOS SANTOS</v>
      </c>
      <c r="AG3" t="str">
        <v>NICOLE MARTA PEREIRA BRAGA</v>
      </c>
      <c r="AI3" t="str">
        <v>GABRIELA DE BARCELLOS DOMINGUES</v>
      </c>
      <c r="AK3" t="str">
        <v>VITÓRIA ROMERO SILVA DE SOUZA</v>
      </c>
      <c r="AM3" t="str">
        <v>NATALIA  ALVES RICARDO VICENTE</v>
      </c>
      <c r="AO3" t="str">
        <v>CAMILE NUNES MARQUES DE OLIVEIRA</v>
      </c>
    </row>
    <row r="4" spans="1:41" x14ac:dyDescent="0.3">
      <c r="A4" t="str">
        <v>MILENA SILVA MARTINS</v>
      </c>
      <c r="C4" t="str">
        <v>SHIRLEY SILVA MOREIRA</v>
      </c>
      <c r="E4" t="str">
        <v xml:space="preserve">GUSTAVO SANTOS MONTE MOR </v>
      </c>
      <c r="G4" t="str">
        <v>RODRIGO ARAUJO BRAU</v>
      </c>
      <c r="I4" t="str">
        <v>KLEYDSON NASCIMENTO DE JESUS</v>
      </c>
      <c r="K4" t="str">
        <v>WILIVIM FELICIO ANTÔNIO DAMASCENO</v>
      </c>
      <c r="M4" t="str">
        <v>MATHEUS FERREIRA DE CASTRO</v>
      </c>
      <c r="O4" t="str">
        <v>WESLEY FILIPE MICAEL DA SILVA</v>
      </c>
      <c r="Q4" t="str">
        <v>ÁLIFFER PEREIRA SARMENTO</v>
      </c>
      <c r="S4" t="str">
        <v>EDUARDO FERREIRA PEREIRA</v>
      </c>
      <c r="U4" t="str">
        <v>WEVERSON CARVALHO</v>
      </c>
      <c r="W4" t="str">
        <v>GUILHERME PRADO TEIXEIRA</v>
      </c>
      <c r="Y4" t="str">
        <v>RAQUEL ROSA RODRIGUES</v>
      </c>
      <c r="AA4" t="str">
        <v>HUDSON MARIANI</v>
      </c>
      <c r="AC4" t="str">
        <v>LOHAINA EMANUELLY PIOTZ</v>
      </c>
      <c r="AE4" t="str">
        <v>PAULO JOSE DIAS GOMES</v>
      </c>
      <c r="AI4" t="str">
        <v>ROSANA GOMES DE SOUZA GONCALVES</v>
      </c>
      <c r="AK4" t="str">
        <v>LAIS BERNARDINO GONÇALVES</v>
      </c>
      <c r="AM4" t="str">
        <v>GEISIMARY MARTINS GOMES PENNA</v>
      </c>
      <c r="AO4" t="str">
        <v>JENNIFFER BURMANN CORREIA</v>
      </c>
    </row>
    <row r="5" spans="1:41" x14ac:dyDescent="0.3">
      <c r="A5" t="str">
        <v>ANA CAROLINA XAVIER GONÇALVES</v>
      </c>
      <c r="C5" t="str">
        <v>JANERSON VICTOR GONÇALVES AZEVEDO</v>
      </c>
      <c r="G5" t="str">
        <v>VIVIANI SILVA CIMA</v>
      </c>
      <c r="I5" t="str">
        <v>MARYHANY DA SILVA LIMA</v>
      </c>
      <c r="M5" t="str">
        <v>JEANE DE OLIVEIRA SILVA</v>
      </c>
      <c r="O5" t="str">
        <v>STEFANY GOMES MASCARENHAS</v>
      </c>
      <c r="Q5" t="str">
        <v>KALINCA EMANUELY LOPES ALVES</v>
      </c>
      <c r="S5" t="str">
        <v>LUCAS DO SANTOS SILVA</v>
      </c>
      <c r="U5" t="str">
        <v>FABIANO RODRIGUES CLAUDIANO</v>
      </c>
      <c r="W5" t="str">
        <v>OTAVIO CUNHA RODRIGUES</v>
      </c>
      <c r="AA5" t="str">
        <v>LILIAN ARCANJO PESSOA</v>
      </c>
      <c r="AC5" t="str">
        <v>ELIENARIA AMARO DIAS</v>
      </c>
      <c r="AE5" t="str">
        <v>RYAN ALVES FERNANDES</v>
      </c>
      <c r="AI5" t="str">
        <v>NICOLAS LIMA DA SILVA AZEREDO</v>
      </c>
      <c r="AO5" t="str">
        <v>LAVINIA FERREIRA MONTARROYOS PEREIRA</v>
      </c>
    </row>
    <row r="6" spans="1:41" x14ac:dyDescent="0.3">
      <c r="I6" t="str">
        <v>CARLOS LUCAS FREIRE SANTANA PEREIRA</v>
      </c>
      <c r="O6" t="str">
        <v>ZION LOUREIRO SIMOES</v>
      </c>
      <c r="S6" t="str">
        <v>NICOLAS TEIXEIRA PIMENTEL</v>
      </c>
      <c r="W6" t="str">
        <v>SYMONTON BENÍCIO LANA</v>
      </c>
      <c r="AA6" t="str">
        <v>LIVYA KUHN DE OLIVEIRA</v>
      </c>
      <c r="AC6" t="str">
        <v>BRUNA NEGRIS MARTINS</v>
      </c>
      <c r="AE6" t="str">
        <v>DJALMA XAVIER SILVA NETO</v>
      </c>
      <c r="AO6" t="str">
        <v>WELLINGTON BOTELHO MOTA</v>
      </c>
    </row>
    <row r="7" spans="1:41" x14ac:dyDescent="0.3">
      <c r="I7" t="str">
        <v>THABATA ALVES DA SILVA SANTOS</v>
      </c>
      <c r="S7" t="str">
        <v>MATEUS DA SILVA CARLOS DE MELLO</v>
      </c>
      <c r="W7" t="str">
        <v>RYAN MARQUES ALVES SILVA</v>
      </c>
      <c r="AA7" t="str">
        <v>MARIA VITÓRIA DE LUCENA SOUSA</v>
      </c>
      <c r="AC7" t="str">
        <v>GUSTAVO RODRIGUES PAULINO</v>
      </c>
      <c r="AO7" t="str">
        <v>PEDRO HENRIK TAVARES CORREIA</v>
      </c>
    </row>
    <row r="8" spans="1:41" x14ac:dyDescent="0.3">
      <c r="I8" t="str">
        <v>VITORIA CRISTINA GOMES DA SILVA</v>
      </c>
      <c r="S8" t="str">
        <v>MAURICIO ALVES DOS SANTOS</v>
      </c>
      <c r="W8" t="str">
        <v>MARCIO BATISTA DE SOUZA</v>
      </c>
      <c r="AA8" t="str">
        <v>PAMELA ADÃO DIAS</v>
      </c>
      <c r="AO8" t="str">
        <v>CARLOS EDUARDO DOS REIS SILVA</v>
      </c>
    </row>
    <row r="9" spans="1:41" x14ac:dyDescent="0.3">
      <c r="W9" t="str">
        <v>ADELINE BISPO SOUZA</v>
      </c>
      <c r="AA9" t="str">
        <v>RAFAEL BISPO DE SOUZA</v>
      </c>
    </row>
    <row r="10" spans="1:41" x14ac:dyDescent="0.3">
      <c r="AA10" t="str">
        <v>ERICLES FRANCA RIBEIRO DE SOUZA</v>
      </c>
    </row>
    <row r="11" spans="1:41" x14ac:dyDescent="0.3">
      <c r="AA11" t="str">
        <v>FILIPI ANTONIO TEIXEIRA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B66B-DC1A-4E25-8755-A9218B2BACB1}">
  <dimension ref="B1:X54"/>
  <sheetViews>
    <sheetView showGridLines="0" topLeftCell="H11" workbookViewId="0">
      <selection activeCell="J16" sqref="J16"/>
    </sheetView>
  </sheetViews>
  <sheetFormatPr defaultRowHeight="14.4" x14ac:dyDescent="0.3"/>
  <cols>
    <col min="1" max="1" width="2" customWidth="1"/>
    <col min="2" max="2" width="16.44140625" customWidth="1"/>
    <col min="3" max="4" width="17.77734375" customWidth="1"/>
    <col min="5" max="5" width="13.44140625" bestFit="1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7.77734375" customWidth="1"/>
    <col min="13" max="13" width="11.21875" bestFit="1" customWidth="1"/>
    <col min="14" max="14" width="20.5546875" customWidth="1"/>
    <col min="15" max="15" width="21" customWidth="1"/>
    <col min="16" max="16" width="15.21875" customWidth="1"/>
    <col min="17" max="19" width="14" customWidth="1"/>
    <col min="20" max="20" width="18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150</v>
      </c>
      <c r="K7" s="179"/>
      <c r="M7" s="178" t="s">
        <v>42</v>
      </c>
      <c r="N7" s="179"/>
      <c r="P7" s="74" t="s">
        <v>37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2716.6667000000002</v>
      </c>
      <c r="D15" s="76">
        <f>_xlfn.XLOOKUP($J$7,PROJEÇÃO[CONSULTOR],PROJEÇÃO[PROJ_MOVEL])</f>
        <v>3432.9500000000003</v>
      </c>
      <c r="E15" s="48">
        <f>IFERROR(D15/C15,0)</f>
        <v>1.2636625611820544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274.63600000000002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514.9425</v>
      </c>
      <c r="J15" s="9">
        <f>H15+I15</f>
        <v>789.57850000000008</v>
      </c>
      <c r="K15" s="75">
        <f>SUMIFS(REALIZADO[META_MOVEL],REALIZADO[PDV],'NORTE SUL'!$M$7)</f>
        <v>8150.0001000000011</v>
      </c>
      <c r="L15" s="76">
        <f>SUMIFS(PROJEÇÃO[PROJ_MOVEL],PROJEÇÃO[PDV],'NORTE SUL'!$M$7)</f>
        <v>7815.4300000000021</v>
      </c>
      <c r="M15" s="48">
        <f>IFERROR(L15/K15,0)</f>
        <v>0.95894845449143018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789.57850000000008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3528.6981400000013</v>
      </c>
    </row>
    <row r="16" spans="2:24" x14ac:dyDescent="0.3">
      <c r="B16" s="45" t="s">
        <v>13</v>
      </c>
      <c r="C16" s="75">
        <f>_xlfn.XLOOKUP($J$7,REALIZADO[CONSULTOR],REALIZADO[META_FIXA])</f>
        <v>1533.3333</v>
      </c>
      <c r="D16" s="76">
        <f>_xlfn.XLOOKUP($J$7,PROJEÇÃO[CONSULTOR],PROJEÇÃO[PROJ_FIXA])</f>
        <v>2794.9800000000014</v>
      </c>
      <c r="E16" s="49">
        <f>IFERROR(D16/C16,0)</f>
        <v>1.8228130831046332</v>
      </c>
      <c r="F16" s="12">
        <f>VLOOKUP($E$16,FATORES!$I$12:$K$14,3)</f>
        <v>0.08</v>
      </c>
      <c r="G16" s="12">
        <f>IFERROR(VLOOKUP($E$16,FATORES!$I$15:$K$16,3),0)</f>
        <v>0.2</v>
      </c>
      <c r="H16" s="64">
        <f t="shared" ref="H16:H23" si="2">D16*F16</f>
        <v>223.59840000000011</v>
      </c>
      <c r="I16" s="64">
        <f t="shared" si="0"/>
        <v>558.99600000000032</v>
      </c>
      <c r="J16" s="64">
        <f t="shared" ref="J16:J23" si="3">H16+I16</f>
        <v>782.59440000000041</v>
      </c>
      <c r="K16" s="75">
        <f>SUMIFS(REALIZADO[META_FIXA],REALIZADO[PDV],'NORTE SUL'!$M$7)</f>
        <v>4599.9998999999998</v>
      </c>
      <c r="L16" s="76">
        <f>SUMIFS(PROJEÇÃO[PROJ_FIXA],PROJEÇÃO[PDV],'NORTE SUL'!$M$7)</f>
        <v>6174.970000000003</v>
      </c>
      <c r="M16" s="49">
        <f t="shared" ref="M16:M17" si="4">IFERROR(L16/K16,0)</f>
        <v>1.3423848117909749</v>
      </c>
      <c r="N16" s="12">
        <f>IF($M$17&gt;=FATORES!$I$17,FATORES!$K$17,0)</f>
        <v>0.15</v>
      </c>
      <c r="O16" s="88">
        <f t="shared" si="1"/>
        <v>419.24700000000018</v>
      </c>
      <c r="P16" s="13">
        <f t="shared" ref="P16:P23" si="5">J16+O16</f>
        <v>1201.8414000000007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69666.666700000002</v>
      </c>
      <c r="D17" s="76">
        <f>_xlfn.XLOOKUP($J$7,PROJEÇÃO[CONSULTOR],PROJEÇÃO[PROJ_APARELHO])</f>
        <v>118328.00000000006</v>
      </c>
      <c r="E17" s="49">
        <f>IFERROR(D17/C17,0)</f>
        <v>1.698488037464839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177.4920000000001</v>
      </c>
      <c r="I17" s="64">
        <f t="shared" si="0"/>
        <v>236.65600000000012</v>
      </c>
      <c r="J17" s="64">
        <f t="shared" si="3"/>
        <v>414.14800000000025</v>
      </c>
      <c r="K17" s="52">
        <f>SUMIFS(REALIZADO[META_SMARTPHONE],REALIZADO[PDV],'NORTE SUL'!$M$7)</f>
        <v>209000.0001</v>
      </c>
      <c r="L17" s="77">
        <f>SUMIFS(PROJEÇÃO[PROJ_APARELHO],PROJEÇÃO[PDV],'NORTE SUL'!$M$7)</f>
        <v>210012.00000000009</v>
      </c>
      <c r="M17" s="49">
        <f t="shared" si="4"/>
        <v>1.0048421047823726</v>
      </c>
      <c r="N17" s="12">
        <f>IF($M$17&gt;=FATORES!$B$28,FATORES!$D$28,0)</f>
        <v>2.5000000000000001E-3</v>
      </c>
      <c r="O17" s="88">
        <f t="shared" si="1"/>
        <v>295.82000000000016</v>
      </c>
      <c r="P17" s="13">
        <f t="shared" si="5"/>
        <v>709.96800000000042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4750</v>
      </c>
      <c r="D18" s="77">
        <f>_xlfn.XLOOKUP($J$7,PROJEÇÃO[CONSULTOR],PROJEÇÃO[PROJ_ELETRO_A])</f>
        <v>596.00000000000023</v>
      </c>
      <c r="E18" s="140">
        <f>IFERROR((D18+D19)/C18,0)</f>
        <v>1.6600000000000008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1.7880000000000007</v>
      </c>
      <c r="I18" s="64">
        <f t="shared" si="0"/>
        <v>8.344000000000003</v>
      </c>
      <c r="J18" s="64">
        <f t="shared" si="3"/>
        <v>10.132000000000003</v>
      </c>
      <c r="K18" s="141">
        <f>SUMIFS(REALIZADO[META_ACESSORIO],REALIZADO[PDV],'NORTE SUL'!$M$7)</f>
        <v>14250</v>
      </c>
      <c r="L18" s="86">
        <f>SUMIFS(PROJEÇÃO[PROJ_ELETRO_A],PROJEÇÃO[PDV],'NORTE SUL'!$M$7)</f>
        <v>1629.0000000000005</v>
      </c>
      <c r="M18" s="114">
        <f>IFERROR((L18+L19)/K18,0)</f>
        <v>1.4689824561403513</v>
      </c>
      <c r="N18" s="12">
        <f>IF($M$18&gt;=FATORES!$B$21,FATORES!$D$21,0)</f>
        <v>5.0000000000000001E-3</v>
      </c>
      <c r="O18" s="88">
        <f t="shared" si="1"/>
        <v>2.9800000000000013</v>
      </c>
      <c r="P18" s="13">
        <f t="shared" si="5"/>
        <v>13.112000000000005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7289.0000000000036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10.933500000000006</v>
      </c>
      <c r="I19" s="64">
        <f t="shared" si="0"/>
        <v>51.023000000000025</v>
      </c>
      <c r="J19" s="64">
        <f t="shared" si="3"/>
        <v>61.956500000000034</v>
      </c>
      <c r="K19" s="142"/>
      <c r="L19" s="87">
        <f>SUMIFS(PROJEÇÃO[PROJ_ELETRO_B],PROJEÇÃO[PDV],'NORTE SUL'!$M$7)</f>
        <v>19304.000000000007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61.956500000000034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3666.6667000000002</v>
      </c>
      <c r="D20" s="77">
        <f>_xlfn.XLOOKUP($J$7,PROJEÇÃO[CONSULTOR],PROJEÇÃO[PROJ_ESSEN_A])</f>
        <v>1868.0000000000009</v>
      </c>
      <c r="E20" s="140">
        <f>IFERROR((D20+D21)/C20,0)</f>
        <v>1.4353636233148765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28.020000000000014</v>
      </c>
      <c r="I20" s="64">
        <f t="shared" si="0"/>
        <v>74.720000000000041</v>
      </c>
      <c r="J20" s="64">
        <f t="shared" si="3"/>
        <v>102.74000000000005</v>
      </c>
      <c r="K20" s="141">
        <f>SUMIFS(REALIZADO[META_ESSENCIAIS],REALIZADO[PDV],'NORTE SUL'!$M$7)</f>
        <v>11000.000100000001</v>
      </c>
      <c r="L20" s="86">
        <f>SUMIFS(PROJEÇÃO[PROJ_ESSEN_A],PROJEÇÃO[PDV],'NORTE SUL'!$M$7)</f>
        <v>4082.0000000000018</v>
      </c>
      <c r="M20" s="114">
        <f>IFERROR((L20+L21)/K20,0)</f>
        <v>1.0489999904636367</v>
      </c>
      <c r="N20" s="12">
        <f>IF($M$20&gt;=FATORES!$B$11,FATORES!$D$11,0)</f>
        <v>1.4999999999999999E-2</v>
      </c>
      <c r="O20" s="88">
        <f t="shared" si="1"/>
        <v>28.020000000000014</v>
      </c>
      <c r="P20" s="13">
        <f t="shared" si="5"/>
        <v>130.76000000000008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3395.0000000000014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33.950000000000017</v>
      </c>
      <c r="I21" s="64">
        <f t="shared" si="0"/>
        <v>50.925000000000018</v>
      </c>
      <c r="J21" s="64">
        <f t="shared" si="3"/>
        <v>84.875000000000028</v>
      </c>
      <c r="K21" s="142"/>
      <c r="L21" s="87">
        <f>SUMIFS(PROJEÇÃO[PROJ_ESSEN_B],PROJEÇÃO[PDV],'NORTE SUL'!$M$7)</f>
        <v>7457.0000000000027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84.875000000000028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296.66669999999999</v>
      </c>
      <c r="D22" s="81">
        <f>_xlfn.XLOOKUP($J$7,PROJEÇÃO[CONSULTOR],PROJEÇÃO[PROJ_SEGURO])</f>
        <v>511.4000000000002</v>
      </c>
      <c r="E22" s="83">
        <f>IFERROR(D22/C22,0)</f>
        <v>1.723820031031458</v>
      </c>
      <c r="F22" s="83">
        <f>VLOOKUP($E$22,FATORES!$O$4:$Q$6,3)</f>
        <v>0.05</v>
      </c>
      <c r="G22" s="12">
        <f>IFERROR(VLOOKUP($E$22,FATORES!$O$7:$Q$8,3),0)</f>
        <v>0.25</v>
      </c>
      <c r="H22" s="64">
        <f t="shared" si="2"/>
        <v>25.570000000000011</v>
      </c>
      <c r="I22" s="64">
        <f t="shared" si="0"/>
        <v>127.85000000000005</v>
      </c>
      <c r="J22" s="64">
        <f t="shared" si="3"/>
        <v>153.42000000000007</v>
      </c>
      <c r="K22" s="56">
        <f>SUMIFS(REALIZADO[META_SEGUROS],REALIZADO[PDV],'NORTE SUL'!$M$7)</f>
        <v>890.00009999999997</v>
      </c>
      <c r="L22" s="78">
        <f>SUMIFS(PROJEÇÃO[PROJ_SEGURO],PROJEÇÃO[PDV],'NORTE SUL'!$M$7)</f>
        <v>936.40000000000043</v>
      </c>
      <c r="M22" s="49">
        <f t="shared" ref="M22:M23" si="6">IFERROR(L22/K22,0)</f>
        <v>1.0521347132432912</v>
      </c>
      <c r="N22" s="12">
        <f>IF($M$22&gt;=FATORES!$O$9,FATORES!$Q$9,0)</f>
        <v>0.1</v>
      </c>
      <c r="O22" s="88">
        <f t="shared" si="1"/>
        <v>51.140000000000022</v>
      </c>
      <c r="P22" s="13">
        <f t="shared" si="5"/>
        <v>204.56000000000009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300</v>
      </c>
      <c r="D23" s="57">
        <f>_xlfn.XLOOKUP($J$7,PROJEÇÃO[CONSULTOR],PROJEÇÃO[PROJ_SVA])</f>
        <v>375.2000000000001</v>
      </c>
      <c r="E23" s="82">
        <f>IFERROR(D23/C23,0)</f>
        <v>1.250666666666667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3.7520000000000011</v>
      </c>
      <c r="I23" s="64">
        <f t="shared" si="0"/>
        <v>3.7520000000000011</v>
      </c>
      <c r="J23" s="16">
        <f t="shared" si="3"/>
        <v>7.5040000000000022</v>
      </c>
      <c r="K23" s="75">
        <f>SUMIFS(REALIZADO[META_SVA],REALIZADO[PDV],'NORTE SUL'!$M$7)</f>
        <v>900</v>
      </c>
      <c r="L23" s="76">
        <f>SUMIFS(PROJEÇÃO[PROJ_SVA],PROJEÇÃO[PDV],'NORTE SUL'!$M$7)</f>
        <v>1010.1900000000003</v>
      </c>
      <c r="M23" s="50">
        <f t="shared" si="6"/>
        <v>1.1224333333333336</v>
      </c>
      <c r="N23" s="15">
        <f>IF($M$23&gt;=FATORES!$O$17,FATORES!$Q$17,0)</f>
        <v>0.01</v>
      </c>
      <c r="O23" s="88">
        <f t="shared" si="1"/>
        <v>3.7520000000000011</v>
      </c>
      <c r="P23" s="17">
        <f t="shared" si="5"/>
        <v>11.256000000000004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3207.9074000000014</v>
      </c>
      <c r="Q24" s="69">
        <f t="shared" ref="Q24:R24" si="7">SUM(Q15:Q23)</f>
        <v>0</v>
      </c>
      <c r="R24" s="69">
        <f t="shared" si="7"/>
        <v>0</v>
      </c>
      <c r="S24" s="70">
        <f>IF($P$7="ARIEL",IF(MIN(E15,E17,E18,E19,E20,E22,E23)&gt;=100%,SUM(P24:R24)*S15,""),IF(MIN(E15:E23)&gt;=100%,SUM(P24:R24)*S15,""))</f>
        <v>320.79074000000014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2716.6667000000002</v>
      </c>
      <c r="D30" s="76">
        <f>_xlfn.XLOOKUP($J$7,REALIZADO[CONSULTOR],REALIZADO[AT_MOVEL])</f>
        <v>313.95999999999998</v>
      </c>
      <c r="E30" s="48">
        <f>IFERROR(D30/C30,0)</f>
        <v>0.11556809674149573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3.1395999999999997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3.1395999999999997</v>
      </c>
      <c r="K30" s="75">
        <f>SUMIFS(REALIZADO[META_MOVEL],REALIZADO[PDV],'NORTE SUL'!$M$7)</f>
        <v>8150.0001000000011</v>
      </c>
      <c r="L30" s="76">
        <f>SUMIFS(REALIZADO[AT_MOVEL],REALIZADO[PDV],'NORTE SUL'!$M$7)</f>
        <v>902.96</v>
      </c>
      <c r="M30" s="48">
        <f>IFERROR(L30/K30,0)</f>
        <v>0.11079263667739095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3.1395999999999997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12.3741</v>
      </c>
    </row>
    <row r="31" spans="2:20" x14ac:dyDescent="0.3">
      <c r="B31" s="45" t="s">
        <v>13</v>
      </c>
      <c r="C31" s="75">
        <f>_xlfn.XLOOKUP($J$7,REALIZADO[CONSULTOR],REALIZADO[META_FIXA])</f>
        <v>1533.3333</v>
      </c>
      <c r="D31" s="76">
        <f>_xlfn.XLOOKUP($J$7,REALIZADO[CONSULTOR],REALIZADO[AT_FIXA])</f>
        <v>80</v>
      </c>
      <c r="E31" s="49">
        <f>IFERROR(D31/C31,0)</f>
        <v>5.2173914177693785E-2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0.8</v>
      </c>
      <c r="I31" s="64">
        <f t="shared" si="8"/>
        <v>0</v>
      </c>
      <c r="J31" s="64">
        <f t="shared" ref="J31:J38" si="11">H31+I31</f>
        <v>0.8</v>
      </c>
      <c r="K31" s="75">
        <f>SUMIFS(REALIZADO[META_FIXA],REALIZADO[PDV],'NORTE SUL'!$M$7)</f>
        <v>4599.9998999999998</v>
      </c>
      <c r="L31" s="76">
        <f>SUMIFS(REALIZADO[AT_FIXA],REALIZADO[PDV],'NORTE SUL'!$M$7)</f>
        <v>290</v>
      </c>
      <c r="M31" s="49">
        <f t="shared" ref="M31:M32" si="12">IFERROR(L31/K31,0)</f>
        <v>6.3043479631379989E-2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0.8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69666.666700000002</v>
      </c>
      <c r="D32" s="76">
        <f>_xlfn.XLOOKUP($J$7,REALIZADO[CONSULTOR],REALIZADO[AT_SMARTPHONE])</f>
        <v>12347</v>
      </c>
      <c r="E32" s="49">
        <f>IFERROR(D32/C32,0)</f>
        <v>0.17722966498697146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6.1734999999999998</v>
      </c>
      <c r="I32" s="64">
        <f t="shared" si="8"/>
        <v>0</v>
      </c>
      <c r="J32" s="64">
        <f t="shared" si="11"/>
        <v>6.1734999999999998</v>
      </c>
      <c r="K32" s="52">
        <f>SUMIFS(REALIZADO[META_SMARTPHONE],REALIZADO[PDV],'NORTE SUL'!$M$7)</f>
        <v>209000.0001</v>
      </c>
      <c r="L32" s="77">
        <f>SUMIFS(REALIZADO[AT_SMARTPHONE],REALIZADO[PDV],'NORTE SUL'!$M$7)</f>
        <v>15046</v>
      </c>
      <c r="M32" s="49">
        <f t="shared" si="12"/>
        <v>7.199043058756438E-2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6.1734999999999998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4750</v>
      </c>
      <c r="D33" s="77">
        <f>_xlfn.XLOOKUP($J$7,REALIZADO[CONSULTOR],REALIZADO[AT_ACESSORIOS_A])</f>
        <v>0</v>
      </c>
      <c r="E33" s="140">
        <f>IFERROR((D33+D34)/C33,0)</f>
        <v>0.31115789473684208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SUMIFS(REALIZADO[META_ACESSORIO],REALIZADO[PDV],'NORTE SUL'!$M$7)</f>
        <v>14250</v>
      </c>
      <c r="L33" s="86">
        <f>SUMIFS(REALIZADO[AT_ACESSORIOS_A],REALIZADO[PDV],'NORTE SUL'!$M$7)</f>
        <v>0</v>
      </c>
      <c r="M33" s="114">
        <f>IFERROR((L33+L34)/K33,0)</f>
        <v>0.20954385964912281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1478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0.73899999999999999</v>
      </c>
      <c r="I34" s="64">
        <f t="shared" si="8"/>
        <v>0</v>
      </c>
      <c r="J34" s="64">
        <f t="shared" si="11"/>
        <v>0.73899999999999999</v>
      </c>
      <c r="K34" s="142"/>
      <c r="L34" s="87">
        <f>SUMIFS(REALIZADO[AT_ACESSORIOS_B],REALIZADO[PDV],'NORTE SUL'!$M$7)</f>
        <v>2986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0.73899999999999999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3666.6667000000002</v>
      </c>
      <c r="D35" s="77">
        <f>_xlfn.XLOOKUP($J$7,REALIZADO[CONSULTOR],REALIZADO[AT_ESSENCIAIS_A])</f>
        <v>138</v>
      </c>
      <c r="E35" s="140">
        <f>IFERROR((D35+D36)/C35,0)</f>
        <v>0.15109090771735537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0.69000000000000006</v>
      </c>
      <c r="I35" s="64">
        <f t="shared" si="8"/>
        <v>0</v>
      </c>
      <c r="J35" s="64">
        <f t="shared" si="11"/>
        <v>0.69000000000000006</v>
      </c>
      <c r="K35" s="141">
        <f>SUMIFS(REALIZADO[META_ESSENCIAIS],REALIZADO[PDV],'NORTE SUL'!$M$7)</f>
        <v>11000.000100000001</v>
      </c>
      <c r="L35" s="86">
        <f>SUMIFS(REALIZADO[AT_ESSENCIAIS_A],REALIZADO[PDV],'NORTE SUL'!$M$7)</f>
        <v>257</v>
      </c>
      <c r="M35" s="114">
        <f>IFERROR((L35+L36)/K35,0)</f>
        <v>7.2909090246280991E-2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0.69000000000000006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416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0.83200000000000007</v>
      </c>
      <c r="I36" s="64">
        <f t="shared" si="8"/>
        <v>0</v>
      </c>
      <c r="J36" s="64">
        <f t="shared" si="11"/>
        <v>0.83200000000000007</v>
      </c>
      <c r="K36" s="142"/>
      <c r="L36" s="87">
        <f>SUMIFS(REALIZADO[AT_ESSENCIAIS_B],REALIZADO[PDV],'NORTE SUL'!$M$7)</f>
        <v>545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0.83200000000000007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296.66669999999999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SUMIFS(REALIZADO[META_SEGUROS],REALIZADO[PDV],'NORTE SUL'!$M$7)</f>
        <v>890.00009999999997</v>
      </c>
      <c r="L37" s="78">
        <f>SUMIFS(REALIZADO[AT_SEGUROS],REALIZADO[PDV],'NORTE SUL'!$M$7)</f>
        <v>0</v>
      </c>
      <c r="M37" s="49">
        <f t="shared" ref="M37:M38" si="14">IFERROR(L37/K37,0)</f>
        <v>0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300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SUMIFS(REALIZADO[META_SVA],REALIZADO[PDV],'NORTE SUL'!$M$7)</f>
        <v>900</v>
      </c>
      <c r="L38" s="76">
        <f>SUMIFS(REALIZADO[AT_SVA],REALIZADO[PDV],'NORTE SUL'!$M$7)</f>
        <v>48.8</v>
      </c>
      <c r="M38" s="50">
        <f t="shared" si="14"/>
        <v>5.422222222222222E-2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12.3741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/>
      <c r="D45" s="53"/>
      <c r="E45" s="48">
        <f>IFERROR(D45/C45,0)</f>
        <v>0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2"/>
      <c r="L45" s="53"/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0</v>
      </c>
    </row>
    <row r="46" spans="2:20" x14ac:dyDescent="0.3">
      <c r="B46" s="45" t="s">
        <v>13</v>
      </c>
      <c r="C46" s="54"/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/>
      <c r="L46" s="55"/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/>
      <c r="D47" s="55"/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0</v>
      </c>
      <c r="I47" s="64">
        <f t="shared" si="16"/>
        <v>0</v>
      </c>
      <c r="J47" s="64">
        <f t="shared" si="19"/>
        <v>0</v>
      </c>
      <c r="K47" s="54"/>
      <c r="L47" s="55"/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/>
      <c r="D48" s="55"/>
      <c r="E48" s="114">
        <f>IFERROR((D48+D49)/C48,0)</f>
        <v>0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/>
      <c r="L48" s="55"/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/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/>
      <c r="D50" s="55"/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/>
      <c r="L50" s="55"/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/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/>
      <c r="D52" s="55"/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</v>
      </c>
      <c r="I52" s="64">
        <f t="shared" si="16"/>
        <v>0</v>
      </c>
      <c r="J52" s="64">
        <f t="shared" si="19"/>
        <v>0</v>
      </c>
      <c r="K52" s="54"/>
      <c r="L52" s="55"/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/>
      <c r="D53" s="57"/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/>
      <c r="L53" s="57"/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0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QtFwt7yGKwWVE8cYWHDGwq0D3y0Zbtc2uac+kJPanGqpPtbACaToPWyoyHy1CFXX5LWoJjsGetv+mX4jCsSg4Q==" saltValue="6/fBHKFJu9v4PhBCrJXaUg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307" priority="22" operator="between">
      <formula>0.7</formula>
      <formula>1</formula>
    </cfRule>
    <cfRule type="cellIs" dxfId="306" priority="23" operator="greaterThanOrEqual">
      <formula>1</formula>
    </cfRule>
    <cfRule type="cellIs" dxfId="305" priority="24" operator="lessThan">
      <formula>0.7</formula>
    </cfRule>
  </conditionalFormatting>
  <conditionalFormatting sqref="E30:E33 E35 E37:E38">
    <cfRule type="cellIs" dxfId="304" priority="10" operator="between">
      <formula>0.7</formula>
      <formula>1</formula>
    </cfRule>
    <cfRule type="cellIs" dxfId="303" priority="11" operator="greaterThanOrEqual">
      <formula>1</formula>
    </cfRule>
    <cfRule type="cellIs" dxfId="302" priority="12" operator="lessThan">
      <formula>0.7</formula>
    </cfRule>
  </conditionalFormatting>
  <conditionalFormatting sqref="E45:E48 E50 E52:E53">
    <cfRule type="cellIs" dxfId="301" priority="34" operator="between">
      <formula>0.7</formula>
      <formula>1</formula>
    </cfRule>
    <cfRule type="cellIs" dxfId="300" priority="35" operator="greaterThanOrEqual">
      <formula>1</formula>
    </cfRule>
    <cfRule type="cellIs" dxfId="299" priority="36" operator="lessThan">
      <formula>0.7</formula>
    </cfRule>
  </conditionalFormatting>
  <conditionalFormatting sqref="M15:M18">
    <cfRule type="cellIs" dxfId="298" priority="16" operator="between">
      <formula>0.7</formula>
      <formula>1</formula>
    </cfRule>
    <cfRule type="cellIs" dxfId="297" priority="17" operator="greaterThanOrEqual">
      <formula>1</formula>
    </cfRule>
    <cfRule type="cellIs" dxfId="296" priority="18" operator="lessThan">
      <formula>0.7</formula>
    </cfRule>
  </conditionalFormatting>
  <conditionalFormatting sqref="M20">
    <cfRule type="cellIs" dxfId="295" priority="13" operator="between">
      <formula>0.7</formula>
      <formula>1</formula>
    </cfRule>
    <cfRule type="cellIs" dxfId="294" priority="14" operator="greaterThanOrEqual">
      <formula>1</formula>
    </cfRule>
    <cfRule type="cellIs" dxfId="293" priority="15" operator="lessThan">
      <formula>0.7</formula>
    </cfRule>
  </conditionalFormatting>
  <conditionalFormatting sqref="M22:M23">
    <cfRule type="cellIs" dxfId="292" priority="19" operator="between">
      <formula>0.7</formula>
      <formula>1</formula>
    </cfRule>
    <cfRule type="cellIs" dxfId="291" priority="20" operator="greaterThanOrEqual">
      <formula>1</formula>
    </cfRule>
    <cfRule type="cellIs" dxfId="290" priority="21" operator="lessThan">
      <formula>0.7</formula>
    </cfRule>
  </conditionalFormatting>
  <conditionalFormatting sqref="M30:M33">
    <cfRule type="cellIs" dxfId="289" priority="4" operator="between">
      <formula>0.7</formula>
      <formula>1</formula>
    </cfRule>
    <cfRule type="cellIs" dxfId="288" priority="5" operator="greaterThanOrEqual">
      <formula>1</formula>
    </cfRule>
    <cfRule type="cellIs" dxfId="287" priority="6" operator="lessThan">
      <formula>0.7</formula>
    </cfRule>
  </conditionalFormatting>
  <conditionalFormatting sqref="M35">
    <cfRule type="cellIs" dxfId="286" priority="1" operator="between">
      <formula>0.7</formula>
      <formula>1</formula>
    </cfRule>
    <cfRule type="cellIs" dxfId="285" priority="2" operator="greaterThanOrEqual">
      <formula>1</formula>
    </cfRule>
    <cfRule type="cellIs" dxfId="284" priority="3" operator="lessThan">
      <formula>0.7</formula>
    </cfRule>
  </conditionalFormatting>
  <conditionalFormatting sqref="M37:M38">
    <cfRule type="cellIs" dxfId="283" priority="7" operator="between">
      <formula>0.7</formula>
      <formula>1</formula>
    </cfRule>
    <cfRule type="cellIs" dxfId="282" priority="8" operator="greaterThanOrEqual">
      <formula>1</formula>
    </cfRule>
    <cfRule type="cellIs" dxfId="281" priority="9" operator="lessThan">
      <formula>0.7</formula>
    </cfRule>
  </conditionalFormatting>
  <conditionalFormatting sqref="M45:M48">
    <cfRule type="cellIs" dxfId="280" priority="28" operator="between">
      <formula>0.7</formula>
      <formula>1</formula>
    </cfRule>
    <cfRule type="cellIs" dxfId="279" priority="29" operator="greaterThanOrEqual">
      <formula>1</formula>
    </cfRule>
    <cfRule type="cellIs" dxfId="278" priority="30" operator="lessThan">
      <formula>0.7</formula>
    </cfRule>
  </conditionalFormatting>
  <conditionalFormatting sqref="M50">
    <cfRule type="cellIs" dxfId="277" priority="25" operator="between">
      <formula>0.7</formula>
      <formula>1</formula>
    </cfRule>
    <cfRule type="cellIs" dxfId="276" priority="26" operator="greaterThanOrEqual">
      <formula>1</formula>
    </cfRule>
    <cfRule type="cellIs" dxfId="275" priority="27" operator="lessThan">
      <formula>0.7</formula>
    </cfRule>
  </conditionalFormatting>
  <conditionalFormatting sqref="M52:M53">
    <cfRule type="cellIs" dxfId="274" priority="31" operator="between">
      <formula>0.7</formula>
      <formula>1</formula>
    </cfRule>
    <cfRule type="cellIs" dxfId="273" priority="32" operator="greaterThanOrEqual">
      <formula>1</formula>
    </cfRule>
    <cfRule type="cellIs" dxfId="272" priority="33" operator="lessThan">
      <formula>0.7</formula>
    </cfRule>
  </conditionalFormatting>
  <dataValidations count="1">
    <dataValidation type="list" allowBlank="1" showInputMessage="1" showErrorMessage="1" sqref="B8:H8" xr:uid="{D1A90CF0-53F1-4F7C-A750-A2F32827039A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EA6630-9B03-46CC-87EC-5C3A90A86D39}">
          <x14:formula1>
            <xm:f>HC!$AC$2:$AC$7</xm:f>
          </x14:formula1>
          <xm:sqref>J7:K7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230D-DF47-4E90-8AC6-7B941B97A965}">
  <dimension ref="B1:X54"/>
  <sheetViews>
    <sheetView topLeftCell="C1"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4" width="16.77734375" customWidth="1"/>
    <col min="5" max="5" width="12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77734375" customWidth="1"/>
    <col min="13" max="13" width="12.77734375" customWidth="1"/>
    <col min="14" max="14" width="20.5546875" customWidth="1"/>
    <col min="15" max="15" width="21" customWidth="1"/>
    <col min="16" max="16" width="15.21875" customWidth="1"/>
    <col min="17" max="19" width="13.77734375" customWidth="1"/>
    <col min="20" max="20" width="16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127</v>
      </c>
      <c r="K7" s="179"/>
      <c r="M7" s="178" t="s">
        <v>47</v>
      </c>
      <c r="N7" s="179"/>
      <c r="P7" s="74" t="s">
        <v>45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1923.0769</v>
      </c>
      <c r="D15" s="76">
        <f>_xlfn.XLOOKUP($J$7,PROJEÇÃO[CONSULTOR],PROJEÇÃO[PROJ_MOVEL])</f>
        <v>2055.0000000000009</v>
      </c>
      <c r="E15" s="48">
        <f>IFERROR(D15/C15,0)</f>
        <v>1.0686000128232007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164.40000000000006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308.25000000000011</v>
      </c>
      <c r="J15" s="9">
        <f>H15+I15</f>
        <v>472.6500000000002</v>
      </c>
      <c r="K15" s="75">
        <f>SUMIFS(REALIZADO[META_MOVEL],REALIZADO[PDV],'MARCILIO DE NORONHA'!$M$7)</f>
        <v>5000</v>
      </c>
      <c r="L15" s="76">
        <f>SUMIFS(PROJEÇÃO[PROJ_MOVEL],PROJEÇÃO[PDV],'MARCILIO DE NORONHA'!$M$7)</f>
        <v>5073.7800000000025</v>
      </c>
      <c r="M15" s="48">
        <f>IFERROR(L15/K15,0)</f>
        <v>1.0147560000000004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205.50000000000011</v>
      </c>
      <c r="P15" s="10">
        <f>J15+O15</f>
        <v>678.15000000000032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1459.2607500000001</v>
      </c>
    </row>
    <row r="16" spans="2:24" x14ac:dyDescent="0.3">
      <c r="B16" s="45" t="s">
        <v>13</v>
      </c>
      <c r="C16" s="75">
        <f>_xlfn.XLOOKUP($J$7,REALIZADO[CONSULTOR],REALIZADO[META_FIXA])</f>
        <v>1134.6153999999999</v>
      </c>
      <c r="D16" s="76">
        <f>_xlfn.XLOOKUP($J$7,PROJEÇÃO[CONSULTOR],PROJEÇÃO[PROJ_FIXA])</f>
        <v>1570.0000000000007</v>
      </c>
      <c r="E16" s="49">
        <f>IFERROR(D16/C16,0)</f>
        <v>1.3837287947968984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125.60000000000005</v>
      </c>
      <c r="I16" s="64">
        <f t="shared" si="0"/>
        <v>235.50000000000009</v>
      </c>
      <c r="J16" s="64">
        <f t="shared" ref="J16:J23" si="3">H16+I16</f>
        <v>361.10000000000014</v>
      </c>
      <c r="K16" s="75">
        <f>SUMIFS(REALIZADO[META_FIXA],REALIZADO[PDV],'MARCILIO DE NORONHA'!$M$7)</f>
        <v>2950</v>
      </c>
      <c r="L16" s="76">
        <f>SUMIFS(PROJEÇÃO[PROJ_FIXA],PROJEÇÃO[PDV],'MARCILIO DE NORONHA'!$M$7)</f>
        <v>3159.9900000000016</v>
      </c>
      <c r="M16" s="49">
        <f t="shared" ref="M16:M17" si="4">IFERROR(L16/K16,0)</f>
        <v>1.0711830508474582</v>
      </c>
      <c r="N16" s="12">
        <f>IF($M$17&gt;=FATORES!$I$17,FATORES!$K$17,0)</f>
        <v>0.15</v>
      </c>
      <c r="O16" s="88">
        <f t="shared" si="1"/>
        <v>235.50000000000009</v>
      </c>
      <c r="P16" s="13">
        <f t="shared" ref="P16:P23" si="5">J16+O16</f>
        <v>596.60000000000025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19230.769199999999</v>
      </c>
      <c r="D17" s="76">
        <f>_xlfn.XLOOKUP($J$7,PROJEÇÃO[CONSULTOR],PROJEÇÃO[PROJ_APARELHO])</f>
        <v>20643.600000000009</v>
      </c>
      <c r="E17" s="49">
        <f>IFERROR(D17/C17,0)</f>
        <v>1.0734672017175482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30.965400000000013</v>
      </c>
      <c r="I17" s="64">
        <f t="shared" si="0"/>
        <v>41.28720000000002</v>
      </c>
      <c r="J17" s="64">
        <f t="shared" si="3"/>
        <v>72.252600000000029</v>
      </c>
      <c r="K17" s="52">
        <f>SUMIFS(REALIZADO[META_SMARTPHONE],REALIZADO[PDV],'MARCILIO DE NORONHA'!$M$7)</f>
        <v>49999.999899999995</v>
      </c>
      <c r="L17" s="77">
        <f>SUMIFS(PROJEÇÃO[PROJ_APARELHO],PROJEÇÃO[PDV],'MARCILIO DE NORONHA'!$M$7)</f>
        <v>63932.200000000026</v>
      </c>
      <c r="M17" s="49">
        <f t="shared" si="4"/>
        <v>1.2786440025572887</v>
      </c>
      <c r="N17" s="12">
        <f>IF($M$17&gt;=FATORES!$B$28,FATORES!$D$28,0)</f>
        <v>2.5000000000000001E-3</v>
      </c>
      <c r="O17" s="88">
        <f t="shared" si="1"/>
        <v>51.609000000000023</v>
      </c>
      <c r="P17" s="13">
        <f t="shared" si="5"/>
        <v>123.86160000000005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2230.7692000000002</v>
      </c>
      <c r="D18" s="77">
        <f>_xlfn.XLOOKUP($J$7,PROJEÇÃO[CONSULTOR],PROJEÇÃO[PROJ_ELETRO_A])</f>
        <v>0</v>
      </c>
      <c r="E18" s="140">
        <f>IFERROR((D18+D19)/C18,0)</f>
        <v>1.7245172651657561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SUMIFS(REALIZADO[META_ACESSORIO],REALIZADO[PDV],'MARCILIO DE NORONHA'!$M$7)</f>
        <v>5799.9999000000007</v>
      </c>
      <c r="L18" s="86">
        <f>SUMIFS(PROJEÇÃO[PROJ_ELETRO_A],PROJEÇÃO[PDV],'MARCILIO DE NORONHA'!$M$7)</f>
        <v>0</v>
      </c>
      <c r="M18" s="114">
        <f>IFERROR((L18+L19)/K18,0)</f>
        <v>1.0110345001902503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3847.0000000000018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5.7705000000000028</v>
      </c>
      <c r="I19" s="64">
        <f t="shared" si="0"/>
        <v>26.929000000000013</v>
      </c>
      <c r="J19" s="64">
        <f t="shared" si="3"/>
        <v>32.699500000000015</v>
      </c>
      <c r="K19" s="142"/>
      <c r="L19" s="87">
        <f>SUMIFS(PROJEÇÃO[PROJ_ELETRO_B],PROJEÇÃO[PDV],'MARCILIO DE NORONHA'!$M$7)</f>
        <v>5864.0000000000027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32.699500000000015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1538.4614999999999</v>
      </c>
      <c r="D20" s="77">
        <f>_xlfn.XLOOKUP($J$7,PROJEÇÃO[CONSULTOR],PROJEÇÃO[PROJ_ESSEN_A])</f>
        <v>334.6500000000002</v>
      </c>
      <c r="E20" s="140">
        <f>IFERROR((D20+D21)/C20,0)</f>
        <v>0.93496002337400097</v>
      </c>
      <c r="F20" s="12">
        <f>VLOOKUP($E$20,FATORES!$B$6:$E$8,3)</f>
        <v>1.4999999999999999E-2</v>
      </c>
      <c r="G20" s="12">
        <f>IFERROR(VLOOKUP($E$20,FATORES!$B$9:$E$10,3),0)</f>
        <v>0</v>
      </c>
      <c r="H20" s="64">
        <f t="shared" si="2"/>
        <v>5.0197500000000028</v>
      </c>
      <c r="I20" s="64">
        <f t="shared" si="0"/>
        <v>0</v>
      </c>
      <c r="J20" s="64">
        <f t="shared" si="3"/>
        <v>5.0197500000000028</v>
      </c>
      <c r="K20" s="141">
        <f>SUMIFS(REALIZADO[META_ESSENCIAIS],REALIZADO[PDV],'MARCILIO DE NORONHA'!$M$7)</f>
        <v>3999.9998999999998</v>
      </c>
      <c r="L20" s="86">
        <f>SUMIFS(PROJEÇÃO[PROJ_ESSEN_A],PROJEÇÃO[PDV],'MARCILIO DE NORONHA'!$M$7)</f>
        <v>1533.4000000000005</v>
      </c>
      <c r="M20" s="114">
        <f>IFERROR((L20+L21)/K20,0)</f>
        <v>1.0195750254893761</v>
      </c>
      <c r="N20" s="12">
        <f>IF($M$20&gt;=FATORES!$B$11,FATORES!$D$11,0)</f>
        <v>1.4999999999999999E-2</v>
      </c>
      <c r="O20" s="88">
        <f t="shared" si="1"/>
        <v>0</v>
      </c>
      <c r="P20" s="13">
        <f t="shared" si="5"/>
        <v>5.0197500000000028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1103.7500000000005</v>
      </c>
      <c r="E21" s="140"/>
      <c r="F21" s="12">
        <f>VLOOKUP($E$20,FATORES!$B$6:$E$8,4)</f>
        <v>0.01</v>
      </c>
      <c r="G21" s="12">
        <f>IFERROR(VLOOKUP($E$20,FATORES!$B$9:$E$10,4),0)</f>
        <v>0</v>
      </c>
      <c r="H21" s="64">
        <f t="shared" si="2"/>
        <v>11.037500000000005</v>
      </c>
      <c r="I21" s="64">
        <f t="shared" si="0"/>
        <v>0</v>
      </c>
      <c r="J21" s="64">
        <f t="shared" si="3"/>
        <v>11.037500000000005</v>
      </c>
      <c r="K21" s="142"/>
      <c r="L21" s="87">
        <f>SUMIFS(PROJEÇÃO[PROJ_ESSEN_B],PROJEÇÃO[PDV],'MARCILIO DE NORONHA'!$M$7)</f>
        <v>2544.900000000001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11.037500000000005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134.61539999999999</v>
      </c>
      <c r="D22" s="81">
        <f>_xlfn.XLOOKUP($J$7,PROJEÇÃO[CONSULTOR],PROJEÇÃO[PROJ_SEGURO])</f>
        <v>121.70000000000006</v>
      </c>
      <c r="E22" s="83">
        <f>IFERROR(D22/C22,0)</f>
        <v>0.90405703953633887</v>
      </c>
      <c r="F22" s="83">
        <f>VLOOKUP($E$22,FATORES!$O$4:$Q$6,3)</f>
        <v>0.05</v>
      </c>
      <c r="G22" s="12">
        <f>IFERROR(VLOOKUP($E$22,FATORES!$O$7:$Q$8,3),0)</f>
        <v>0</v>
      </c>
      <c r="H22" s="64">
        <f t="shared" si="2"/>
        <v>6.0850000000000035</v>
      </c>
      <c r="I22" s="64">
        <f t="shared" si="0"/>
        <v>0</v>
      </c>
      <c r="J22" s="64">
        <f t="shared" si="3"/>
        <v>6.0850000000000035</v>
      </c>
      <c r="K22" s="56">
        <f>SUMIFS(REALIZADO[META_SEGUROS],REALIZADO[PDV],'MARCILIO DE NORONHA'!$M$7)</f>
        <v>350</v>
      </c>
      <c r="L22" s="78">
        <f>SUMIFS(PROJEÇÃO[PROJ_SEGURO],PROJEÇÃO[PDV],'MARCILIO DE NORONHA'!$M$7)</f>
        <v>364.00000000000017</v>
      </c>
      <c r="M22" s="49">
        <f t="shared" ref="M22:M23" si="6">IFERROR(L22/K22,0)</f>
        <v>1.0400000000000005</v>
      </c>
      <c r="N22" s="12">
        <f>IF($M$22&gt;=FATORES!$O$9,FATORES!$Q$9,0)</f>
        <v>0.1</v>
      </c>
      <c r="O22" s="88">
        <f t="shared" si="1"/>
        <v>0</v>
      </c>
      <c r="P22" s="13">
        <f t="shared" si="5"/>
        <v>6.0850000000000035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153.84620000000001</v>
      </c>
      <c r="D23" s="57">
        <f>_xlfn.XLOOKUP($J$7,PROJEÇÃO[CONSULTOR],PROJEÇÃO[PROJ_SVA])</f>
        <v>193.5800000000001</v>
      </c>
      <c r="E23" s="82">
        <f>IFERROR(D23/C23,0)</f>
        <v>1.2582696225191139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1.9358000000000011</v>
      </c>
      <c r="I23" s="64">
        <f t="shared" si="0"/>
        <v>1.9358000000000011</v>
      </c>
      <c r="J23" s="16">
        <f t="shared" si="3"/>
        <v>3.8716000000000022</v>
      </c>
      <c r="K23" s="75">
        <f>SUMIFS(REALIZADO[META_SVA],REALIZADO[PDV],'MARCILIO DE NORONHA'!$M$7)</f>
        <v>400.00010000000003</v>
      </c>
      <c r="L23" s="76">
        <f>SUMIFS(PROJEÇÃO[PROJ_SVA],PROJEÇÃO[PDV],'MARCILIO DE NORONHA'!$M$7)</f>
        <v>466.95000000000022</v>
      </c>
      <c r="M23" s="50">
        <f t="shared" si="6"/>
        <v>1.1673747081563235</v>
      </c>
      <c r="N23" s="15">
        <f>IF($M$23&gt;=FATORES!$O$17,FATORES!$Q$17,0)</f>
        <v>0.01</v>
      </c>
      <c r="O23" s="88">
        <f t="shared" si="1"/>
        <v>1.9358000000000011</v>
      </c>
      <c r="P23" s="17">
        <f t="shared" si="5"/>
        <v>5.807400000000003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1459.2607500000001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1923.0769</v>
      </c>
      <c r="D30" s="76">
        <f>_xlfn.XLOOKUP($J$7,REALIZADO[CONSULTOR],REALIZADO[AT_MOVEL])</f>
        <v>174</v>
      </c>
      <c r="E30" s="48">
        <f>IFERROR(D30/C30,0)</f>
        <v>9.0480001085760015E-2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1.74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1.74</v>
      </c>
      <c r="K30" s="75">
        <f>SUMIFS(REALIZADO[META_MOVEL],REALIZADO[PDV],'MARCILIO DE NORONHA'!$M$7)</f>
        <v>5000</v>
      </c>
      <c r="L30" s="76">
        <f>SUMIFS(REALIZADO[AT_MOVEL],REALIZADO[PDV],'MARCILIO DE NORONHA'!$M$7)</f>
        <v>486</v>
      </c>
      <c r="M30" s="48">
        <f>IFERROR(L30/K30,0)</f>
        <v>9.7199999999999995E-2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1.74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15.212850000000001</v>
      </c>
    </row>
    <row r="31" spans="2:20" x14ac:dyDescent="0.3">
      <c r="B31" s="45" t="s">
        <v>13</v>
      </c>
      <c r="C31" s="75">
        <f>_xlfn.XLOOKUP($J$7,REALIZADO[CONSULTOR],REALIZADO[META_FIXA])</f>
        <v>1134.6153999999999</v>
      </c>
      <c r="D31" s="76">
        <f>_xlfn.XLOOKUP($J$7,REALIZADO[CONSULTOR],REALIZADO[AT_FIXA])</f>
        <v>755</v>
      </c>
      <c r="E31" s="49">
        <f>IFERROR(D31/C31,0)</f>
        <v>0.6654237197908649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7.55</v>
      </c>
      <c r="I31" s="64">
        <f t="shared" si="8"/>
        <v>0</v>
      </c>
      <c r="J31" s="64">
        <f t="shared" ref="J31:J38" si="11">H31+I31</f>
        <v>7.55</v>
      </c>
      <c r="K31" s="75">
        <f>SUMIFS(REALIZADO[META_FIXA],REALIZADO[PDV],'MARCILIO DE NORONHA'!$M$7)</f>
        <v>2950</v>
      </c>
      <c r="L31" s="76">
        <f>SUMIFS(REALIZADO[AT_FIXA],REALIZADO[PDV],'MARCILIO DE NORONHA'!$M$7)</f>
        <v>755</v>
      </c>
      <c r="M31" s="49">
        <f t="shared" ref="M31:M32" si="12">IFERROR(L31/K31,0)</f>
        <v>0.25593220338983053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7.55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19230.769199999999</v>
      </c>
      <c r="D32" s="76">
        <f>_xlfn.XLOOKUP($J$7,REALIZADO[CONSULTOR],REALIZADO[AT_SMARTPHONE])</f>
        <v>1649</v>
      </c>
      <c r="E32" s="49">
        <f>IFERROR(D32/C32,0)</f>
        <v>8.57480001371968E-2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0.82450000000000001</v>
      </c>
      <c r="I32" s="64">
        <f t="shared" si="8"/>
        <v>0</v>
      </c>
      <c r="J32" s="64">
        <f t="shared" si="11"/>
        <v>0.82450000000000001</v>
      </c>
      <c r="K32" s="52">
        <f>SUMIFS(REALIZADO[META_SMARTPHONE],REALIZADO[PDV],'MARCILIO DE NORONHA'!$M$7)</f>
        <v>49999.999899999995</v>
      </c>
      <c r="L32" s="77">
        <f>SUMIFS(REALIZADO[AT_SMARTPHONE],REALIZADO[PDV],'MARCILIO DE NORONHA'!$M$7)</f>
        <v>4348</v>
      </c>
      <c r="M32" s="49">
        <f t="shared" si="12"/>
        <v>8.6960000173920013E-2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0.82450000000000001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2230.7692000000002</v>
      </c>
      <c r="D33" s="77">
        <f>_xlfn.XLOOKUP($J$7,REALIZADO[CONSULTOR],REALIZADO[AT_ACESSORIOS_A])</f>
        <v>0</v>
      </c>
      <c r="E33" s="140">
        <f>IFERROR((D33+D34)/C33,0)</f>
        <v>0.94093104746111778</v>
      </c>
      <c r="F33" s="12">
        <f>VLOOKUP($E$33,FATORES!$B$16:$E$18,3)</f>
        <v>3.0000000000000001E-3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SUMIFS(REALIZADO[META_ACESSORIO],REALIZADO[PDV],'MARCILIO DE NORONHA'!$M$7)</f>
        <v>5799.9999000000007</v>
      </c>
      <c r="L33" s="86">
        <f>SUMIFS(REALIZADO[AT_ACESSORIOS_A],REALIZADO[PDV],'MARCILIO DE NORONHA'!$M$7)</f>
        <v>0</v>
      </c>
      <c r="M33" s="114">
        <f>IFERROR((L33+L34)/K33,0)</f>
        <v>0.36189655796373371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2099</v>
      </c>
      <c r="E34" s="140"/>
      <c r="F34" s="12">
        <f>VLOOKUP($E$33,FATORES!$B$16:$E$18,4)</f>
        <v>1.5E-3</v>
      </c>
      <c r="G34" s="12">
        <f>IFERROR(VLOOKUP($E$33,FATORES!$B$19:$E$20,4),0)</f>
        <v>0</v>
      </c>
      <c r="H34" s="64">
        <f t="shared" si="10"/>
        <v>3.1484999999999999</v>
      </c>
      <c r="I34" s="64">
        <f t="shared" si="8"/>
        <v>0</v>
      </c>
      <c r="J34" s="64">
        <f t="shared" si="11"/>
        <v>3.1484999999999999</v>
      </c>
      <c r="K34" s="142"/>
      <c r="L34" s="87">
        <f>SUMIFS(REALIZADO[AT_ACESSORIOS_B],REALIZADO[PDV],'MARCILIO DE NORONHA'!$M$7)</f>
        <v>2099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3.1484999999999999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1538.4614999999999</v>
      </c>
      <c r="D35" s="77">
        <f>_xlfn.XLOOKUP($J$7,REALIZADO[CONSULTOR],REALIZADO[AT_ESSENCIAIS_A])</f>
        <v>134.55000000000001</v>
      </c>
      <c r="E35" s="140">
        <f>IFERROR((D35+D36)/C35,0)</f>
        <v>0.19441500486037516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0.67275000000000007</v>
      </c>
      <c r="I35" s="64">
        <f t="shared" si="8"/>
        <v>0</v>
      </c>
      <c r="J35" s="64">
        <f t="shared" si="11"/>
        <v>0.67275000000000007</v>
      </c>
      <c r="K35" s="141">
        <f>SUMIFS(REALIZADO[META_ESSENCIAIS],REALIZADO[PDV],'MARCILIO DE NORONHA'!$M$7)</f>
        <v>3999.9998999999998</v>
      </c>
      <c r="L35" s="86">
        <f>SUMIFS(REALIZADO[AT_ESSENCIAIS_A],REALIZADO[PDV],'MARCILIO DE NORONHA'!$M$7)</f>
        <v>283.55</v>
      </c>
      <c r="M35" s="114">
        <f>IFERROR((L35+L36)/K35,0)</f>
        <v>0.14427500360687509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0.67275000000000007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164.55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0.3291</v>
      </c>
      <c r="I36" s="64">
        <f t="shared" si="8"/>
        <v>0</v>
      </c>
      <c r="J36" s="64">
        <f t="shared" si="11"/>
        <v>0.3291</v>
      </c>
      <c r="K36" s="142"/>
      <c r="L36" s="87">
        <f>SUMIFS(REALIZADO[AT_ESSENCIAIS_B],REALIZADO[PDV],'MARCILIO DE NORONHA'!$M$7)</f>
        <v>293.55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0.3291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134.61539999999999</v>
      </c>
      <c r="D37" s="81">
        <f>_xlfn.XLOOKUP($J$7,REALIZADO[CONSULTOR],REALIZADO[AT_SEGUROS])</f>
        <v>34.9</v>
      </c>
      <c r="E37" s="83">
        <f>IFERROR(D37/C37,0)</f>
        <v>0.25925711322775846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0.34899999999999998</v>
      </c>
      <c r="I37" s="64">
        <f t="shared" si="8"/>
        <v>0</v>
      </c>
      <c r="J37" s="64">
        <f t="shared" si="11"/>
        <v>0.34899999999999998</v>
      </c>
      <c r="K37" s="56">
        <f>SUMIFS(REALIZADO[META_SEGUROS],REALIZADO[PDV],'MARCILIO DE NORONHA'!$M$7)</f>
        <v>350</v>
      </c>
      <c r="L37" s="78">
        <f>SUMIFS(REALIZADO[AT_SEGUROS],REALIZADO[PDV],'MARCILIO DE NORONHA'!$M$7)</f>
        <v>69.8</v>
      </c>
      <c r="M37" s="49">
        <f t="shared" ref="M37:M38" si="14">IFERROR(L37/K37,0)</f>
        <v>0.19942857142857143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0.34899999999999998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153.84620000000001</v>
      </c>
      <c r="D38" s="57">
        <f>_xlfn.XLOOKUP($J$7,REALIZADO[CONSULTOR],REALIZADO[AT_SVA])</f>
        <v>59.9</v>
      </c>
      <c r="E38" s="82">
        <f>IFERROR(D38/C38,0)</f>
        <v>0.389349883195035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0.59899999999999998</v>
      </c>
      <c r="I38" s="64">
        <f t="shared" si="8"/>
        <v>0</v>
      </c>
      <c r="J38" s="16">
        <f t="shared" si="11"/>
        <v>0.59899999999999998</v>
      </c>
      <c r="K38" s="75">
        <f>SUMIFS(REALIZADO[META_SVA],REALIZADO[PDV],'MARCILIO DE NORONHA'!$M$7)</f>
        <v>400.00010000000003</v>
      </c>
      <c r="L38" s="76">
        <f>SUMIFS(REALIZADO[AT_SVA],REALIZADO[PDV],'MARCILIO DE NORONHA'!$M$7)</f>
        <v>119.8</v>
      </c>
      <c r="M38" s="50">
        <f t="shared" si="14"/>
        <v>0.29949992512501866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0.59899999999999998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15.212850000000001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f>_xlfn.XLOOKUP($J$7,REALIZADO[CONSULTOR],REALIZADO[META_MOVEL])</f>
        <v>1923.0769</v>
      </c>
      <c r="D45" s="53">
        <v>2500</v>
      </c>
      <c r="E45" s="48">
        <f>IFERROR(D45/C45,0)</f>
        <v>1.3000000156000002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200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375</v>
      </c>
      <c r="J45" s="9">
        <f>H45+I45</f>
        <v>575</v>
      </c>
      <c r="K45" s="52">
        <v>2500</v>
      </c>
      <c r="L45" s="53">
        <v>2500</v>
      </c>
      <c r="M45" s="48">
        <f>IFERROR(L45/K45,0)</f>
        <v>1</v>
      </c>
      <c r="N45" s="8">
        <f>IF($M$45&gt;=FATORES!$I$9,FATORES!$K$9,0)</f>
        <v>0.1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250</v>
      </c>
      <c r="P45" s="10">
        <f>J45+O45</f>
        <v>825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1529.5</v>
      </c>
    </row>
    <row r="46" spans="2:20" x14ac:dyDescent="0.3">
      <c r="B46" s="45" t="s">
        <v>13</v>
      </c>
      <c r="C46" s="54">
        <f>_xlfn.XLOOKUP($J$7,REALIZADO[CONSULTOR],REALIZADO[META_FIXA])</f>
        <v>1134.6153999999999</v>
      </c>
      <c r="D46" s="55">
        <v>1475</v>
      </c>
      <c r="E46" s="49">
        <f>IFERROR(D46/C46,0)</f>
        <v>1.2999999823728816</v>
      </c>
      <c r="F46" s="12">
        <f>VLOOKUP($E$46,FATORES!$I$12:$K$14,3)</f>
        <v>0.08</v>
      </c>
      <c r="G46" s="12">
        <f>IFERROR(VLOOKUP($E$46,FATORES!$I$15:$K$16,3),0)</f>
        <v>0.15</v>
      </c>
      <c r="H46" s="64">
        <f t="shared" ref="H46:H53" si="18">D46*F46</f>
        <v>118</v>
      </c>
      <c r="I46" s="64">
        <f t="shared" si="16"/>
        <v>221.25</v>
      </c>
      <c r="J46" s="64">
        <f t="shared" ref="J46:J53" si="19">H46+I46</f>
        <v>339.25</v>
      </c>
      <c r="K46" s="54">
        <v>100</v>
      </c>
      <c r="L46" s="55">
        <v>100</v>
      </c>
      <c r="M46" s="49">
        <f t="shared" ref="M46:M53" si="20">IFERROR(L46/K46,0)</f>
        <v>1</v>
      </c>
      <c r="N46" s="12">
        <f>IF($M$46&gt;=FATORES!$I$17,FATORES!$K$17,0)</f>
        <v>0.15</v>
      </c>
      <c r="O46" s="88">
        <f t="shared" si="17"/>
        <v>221.25</v>
      </c>
      <c r="P46" s="13">
        <f t="shared" ref="P46:P53" si="21">J46+O46</f>
        <v>560.5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19230.769199999999</v>
      </c>
      <c r="D47" s="55">
        <v>17500</v>
      </c>
      <c r="E47" s="49">
        <f>IFERROR(D47/C47,0)</f>
        <v>0.91000000145600002</v>
      </c>
      <c r="F47" s="12">
        <f>VLOOKUP($E$47,FATORES!$B$25:$D$26,3)</f>
        <v>1.5E-3</v>
      </c>
      <c r="G47" s="12">
        <f>IFERROR(VLOOKUP($E$47,FATORES!$B$27:$D$27,3),0)</f>
        <v>0</v>
      </c>
      <c r="H47" s="64">
        <f t="shared" si="18"/>
        <v>26.25</v>
      </c>
      <c r="I47" s="64">
        <f t="shared" si="16"/>
        <v>0</v>
      </c>
      <c r="J47" s="64">
        <f t="shared" si="19"/>
        <v>26.25</v>
      </c>
      <c r="K47" s="54">
        <v>100</v>
      </c>
      <c r="L47" s="55">
        <v>100</v>
      </c>
      <c r="M47" s="49">
        <f t="shared" si="20"/>
        <v>1</v>
      </c>
      <c r="N47" s="12">
        <f>IF($M$47&gt;=FATORES!$B$28,FATORES!$D$28,0)</f>
        <v>2.5000000000000001E-3</v>
      </c>
      <c r="O47" s="88">
        <f t="shared" si="17"/>
        <v>0</v>
      </c>
      <c r="P47" s="13">
        <f t="shared" si="21"/>
        <v>26.25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2230.7692000000002</v>
      </c>
      <c r="D48" s="55">
        <f>_xlfn.XLOOKUP($J$7,PROJEÇÃO[CONSULTOR],PROJEÇÃO[PROJ_ELETRO_A])</f>
        <v>0</v>
      </c>
      <c r="E48" s="114">
        <f>IFERROR((D48+D49)/C48,0)</f>
        <v>1.2327586376932225</v>
      </c>
      <c r="F48" s="12">
        <f>VLOOKUP($E$48,FATORES!$B$16:$E$18,3)</f>
        <v>3.0000000000000001E-3</v>
      </c>
      <c r="G48" s="12">
        <f>IFERROR(VLOOKUP($E$48,FATORES!$B$19:$E$20,3),0)</f>
        <v>1.2E-2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>
        <v>100</v>
      </c>
      <c r="L48" s="55">
        <v>100</v>
      </c>
      <c r="M48" s="114">
        <f>IFERROR((L48+L49)/K48,0)</f>
        <v>2</v>
      </c>
      <c r="N48" s="12">
        <f>IF($M$48&gt;=FATORES!$B$21,FATORES!$D$21,0)</f>
        <v>5.0000000000000001E-3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2750</v>
      </c>
      <c r="E49" s="114"/>
      <c r="F49" s="12">
        <f>VLOOKUP($E$48,FATORES!$B$16:$E$18,4)</f>
        <v>1.5E-3</v>
      </c>
      <c r="G49" s="12">
        <f>IFERROR(VLOOKUP($E$48,FATORES!$B$19:$E$20,4),0)</f>
        <v>6.0000000000000001E-3</v>
      </c>
      <c r="H49" s="64">
        <f t="shared" si="18"/>
        <v>4.125</v>
      </c>
      <c r="I49" s="64">
        <f t="shared" si="16"/>
        <v>16.5</v>
      </c>
      <c r="J49" s="64">
        <f t="shared" si="19"/>
        <v>20.625</v>
      </c>
      <c r="K49" s="113"/>
      <c r="L49" s="55">
        <v>100</v>
      </c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20.625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f>_xlfn.XLOOKUP($J$7,REALIZADO[CONSULTOR],REALIZADO[META_ESSENCIAIS])</f>
        <v>1538.4614999999999</v>
      </c>
      <c r="D50" s="55">
        <v>1100</v>
      </c>
      <c r="E50" s="114">
        <f>IFERROR((D50+D51)/C50,0)</f>
        <v>1.1056500276412509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16.5</v>
      </c>
      <c r="I50" s="64">
        <f t="shared" si="16"/>
        <v>44</v>
      </c>
      <c r="J50" s="64">
        <f t="shared" si="19"/>
        <v>60.5</v>
      </c>
      <c r="K50" s="113">
        <v>100</v>
      </c>
      <c r="L50" s="55">
        <v>100</v>
      </c>
      <c r="M50" s="114">
        <f>IFERROR((L50+L51)/K50,0)</f>
        <v>2</v>
      </c>
      <c r="N50" s="12">
        <f>IF($M$50&gt;=FATORES!$B$11,FATORES!D11,0)</f>
        <v>1.4999999999999999E-2</v>
      </c>
      <c r="O50" s="88">
        <f t="shared" si="17"/>
        <v>16.5</v>
      </c>
      <c r="P50" s="13">
        <f t="shared" si="21"/>
        <v>77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601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6.01</v>
      </c>
      <c r="I51" s="64">
        <f t="shared" si="16"/>
        <v>9.0149999999999988</v>
      </c>
      <c r="J51" s="64">
        <f t="shared" si="19"/>
        <v>15.024999999999999</v>
      </c>
      <c r="K51" s="113"/>
      <c r="L51" s="55">
        <v>100</v>
      </c>
      <c r="M51" s="114"/>
      <c r="N51" s="12">
        <f>IF($M$50&gt;=FATORES!$B$11,FATORES!$E$11,0)</f>
        <v>0.01</v>
      </c>
      <c r="O51" s="88">
        <f t="shared" si="17"/>
        <v>0</v>
      </c>
      <c r="P51" s="13">
        <f t="shared" si="21"/>
        <v>15.024999999999999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f>_xlfn.XLOOKUP($J$7,REALIZADO[CONSULTOR],REALIZADO[META_SEGUROS])</f>
        <v>134.61539999999999</v>
      </c>
      <c r="D52" s="55">
        <v>120</v>
      </c>
      <c r="E52" s="49">
        <f>IFERROR(D52/C52,0)</f>
        <v>0.89142846955103205</v>
      </c>
      <c r="F52" s="12">
        <f>VLOOKUP($E$52,FATORES!$O$4:$Q$6,3)</f>
        <v>0.03</v>
      </c>
      <c r="G52" s="12">
        <f>IFERROR(VLOOKUP($E$52,FATORES!$O$7:$Q$8,3),0)</f>
        <v>0</v>
      </c>
      <c r="H52" s="64">
        <f t="shared" si="18"/>
        <v>3.5999999999999996</v>
      </c>
      <c r="I52" s="64">
        <f t="shared" si="16"/>
        <v>0</v>
      </c>
      <c r="J52" s="64">
        <f t="shared" si="19"/>
        <v>3.5999999999999996</v>
      </c>
      <c r="K52" s="54">
        <v>100</v>
      </c>
      <c r="L52" s="55">
        <v>100</v>
      </c>
      <c r="M52" s="49">
        <f t="shared" si="20"/>
        <v>1</v>
      </c>
      <c r="N52" s="12">
        <f>IF($M$52&gt;=FATORES!$O$9,FATORES!$Q$9,0)</f>
        <v>0.1</v>
      </c>
      <c r="O52" s="88">
        <f t="shared" si="17"/>
        <v>0</v>
      </c>
      <c r="P52" s="13">
        <f t="shared" si="21"/>
        <v>3.5999999999999996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f>_xlfn.XLOOKUP($J$7,REALIZADO[CONSULTOR],REALIZADO[META_SVA])</f>
        <v>153.84620000000001</v>
      </c>
      <c r="D53" s="57">
        <v>150</v>
      </c>
      <c r="E53" s="50">
        <f>IFERROR(D53/C53,0)</f>
        <v>0.97499970750008769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1.5</v>
      </c>
      <c r="I53" s="64">
        <f t="shared" si="16"/>
        <v>0</v>
      </c>
      <c r="J53" s="16">
        <f t="shared" si="19"/>
        <v>1.5</v>
      </c>
      <c r="K53" s="56">
        <v>100</v>
      </c>
      <c r="L53" s="57">
        <v>100</v>
      </c>
      <c r="M53" s="50">
        <f t="shared" si="20"/>
        <v>1</v>
      </c>
      <c r="N53" s="15">
        <f>IF($M$53&gt;=FATORES!$O$17,FATORES!$Q$17,0)</f>
        <v>0.01</v>
      </c>
      <c r="O53" s="88">
        <f t="shared" si="17"/>
        <v>0</v>
      </c>
      <c r="P53" s="17">
        <f t="shared" si="21"/>
        <v>1.5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1529.5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p9EjBiKERibstLQHGcr1fHaqc6rTyjcq4hb9oSk3c0//s5qcPeKlQqdyh6kGHaqJ/34+4b8Ve6ZZy9rB2WQ6wA==" saltValue="7WFtuSjSiQHSe+dtZnc1Iw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271" priority="22" operator="between">
      <formula>0.7</formula>
      <formula>1</formula>
    </cfRule>
    <cfRule type="cellIs" dxfId="270" priority="23" operator="greaterThanOrEqual">
      <formula>1</formula>
    </cfRule>
    <cfRule type="cellIs" dxfId="269" priority="24" operator="lessThan">
      <formula>0.7</formula>
    </cfRule>
  </conditionalFormatting>
  <conditionalFormatting sqref="E30:E33 E35 E37:E38">
    <cfRule type="cellIs" dxfId="268" priority="10" operator="between">
      <formula>0.7</formula>
      <formula>1</formula>
    </cfRule>
    <cfRule type="cellIs" dxfId="267" priority="11" operator="greaterThanOrEqual">
      <formula>1</formula>
    </cfRule>
    <cfRule type="cellIs" dxfId="266" priority="12" operator="lessThan">
      <formula>0.7</formula>
    </cfRule>
  </conditionalFormatting>
  <conditionalFormatting sqref="E45:E48 E50 E52:E53">
    <cfRule type="cellIs" dxfId="265" priority="34" operator="between">
      <formula>0.7</formula>
      <formula>1</formula>
    </cfRule>
    <cfRule type="cellIs" dxfId="264" priority="35" operator="greaterThanOrEqual">
      <formula>1</formula>
    </cfRule>
    <cfRule type="cellIs" dxfId="263" priority="36" operator="lessThan">
      <formula>0.7</formula>
    </cfRule>
  </conditionalFormatting>
  <conditionalFormatting sqref="M15:M18">
    <cfRule type="cellIs" dxfId="262" priority="16" operator="between">
      <formula>0.7</formula>
      <formula>1</formula>
    </cfRule>
    <cfRule type="cellIs" dxfId="261" priority="17" operator="greaterThanOrEqual">
      <formula>1</formula>
    </cfRule>
    <cfRule type="cellIs" dxfId="260" priority="18" operator="lessThan">
      <formula>0.7</formula>
    </cfRule>
  </conditionalFormatting>
  <conditionalFormatting sqref="M20">
    <cfRule type="cellIs" dxfId="259" priority="13" operator="between">
      <formula>0.7</formula>
      <formula>1</formula>
    </cfRule>
    <cfRule type="cellIs" dxfId="258" priority="14" operator="greaterThanOrEqual">
      <formula>1</formula>
    </cfRule>
    <cfRule type="cellIs" dxfId="257" priority="15" operator="lessThan">
      <formula>0.7</formula>
    </cfRule>
  </conditionalFormatting>
  <conditionalFormatting sqref="M22:M23">
    <cfRule type="cellIs" dxfId="256" priority="19" operator="between">
      <formula>0.7</formula>
      <formula>1</formula>
    </cfRule>
    <cfRule type="cellIs" dxfId="255" priority="20" operator="greaterThanOrEqual">
      <formula>1</formula>
    </cfRule>
    <cfRule type="cellIs" dxfId="254" priority="21" operator="lessThan">
      <formula>0.7</formula>
    </cfRule>
  </conditionalFormatting>
  <conditionalFormatting sqref="M30:M33">
    <cfRule type="cellIs" dxfId="253" priority="4" operator="between">
      <formula>0.7</formula>
      <formula>1</formula>
    </cfRule>
    <cfRule type="cellIs" dxfId="252" priority="5" operator="greaterThanOrEqual">
      <formula>1</formula>
    </cfRule>
    <cfRule type="cellIs" dxfId="251" priority="6" operator="lessThan">
      <formula>0.7</formula>
    </cfRule>
  </conditionalFormatting>
  <conditionalFormatting sqref="M35">
    <cfRule type="cellIs" dxfId="250" priority="1" operator="between">
      <formula>0.7</formula>
      <formula>1</formula>
    </cfRule>
    <cfRule type="cellIs" dxfId="249" priority="2" operator="greaterThanOrEqual">
      <formula>1</formula>
    </cfRule>
    <cfRule type="cellIs" dxfId="248" priority="3" operator="lessThan">
      <formula>0.7</formula>
    </cfRule>
  </conditionalFormatting>
  <conditionalFormatting sqref="M37:M38">
    <cfRule type="cellIs" dxfId="247" priority="7" operator="between">
      <formula>0.7</formula>
      <formula>1</formula>
    </cfRule>
    <cfRule type="cellIs" dxfId="246" priority="8" operator="greaterThanOrEqual">
      <formula>1</formula>
    </cfRule>
    <cfRule type="cellIs" dxfId="245" priority="9" operator="lessThan">
      <formula>0.7</formula>
    </cfRule>
  </conditionalFormatting>
  <conditionalFormatting sqref="M45:M48">
    <cfRule type="cellIs" dxfId="244" priority="28" operator="between">
      <formula>0.7</formula>
      <formula>1</formula>
    </cfRule>
    <cfRule type="cellIs" dxfId="243" priority="29" operator="greaterThanOrEqual">
      <formula>1</formula>
    </cfRule>
    <cfRule type="cellIs" dxfId="242" priority="30" operator="lessThan">
      <formula>0.7</formula>
    </cfRule>
  </conditionalFormatting>
  <conditionalFormatting sqref="M50">
    <cfRule type="cellIs" dxfId="241" priority="25" operator="between">
      <formula>0.7</formula>
      <formula>1</formula>
    </cfRule>
    <cfRule type="cellIs" dxfId="240" priority="26" operator="greaterThanOrEqual">
      <formula>1</formula>
    </cfRule>
    <cfRule type="cellIs" dxfId="239" priority="27" operator="lessThan">
      <formula>0.7</formula>
    </cfRule>
  </conditionalFormatting>
  <conditionalFormatting sqref="M52:M53">
    <cfRule type="cellIs" dxfId="238" priority="31" operator="between">
      <formula>0.7</formula>
      <formula>1</formula>
    </cfRule>
    <cfRule type="cellIs" dxfId="237" priority="32" operator="greaterThanOrEqual">
      <formula>1</formula>
    </cfRule>
    <cfRule type="cellIs" dxfId="236" priority="33" operator="lessThan">
      <formula>0.7</formula>
    </cfRule>
  </conditionalFormatting>
  <dataValidations count="1">
    <dataValidation type="list" allowBlank="1" showInputMessage="1" showErrorMessage="1" sqref="B8:H8" xr:uid="{981ADB9D-33BC-451F-8E3F-D7D8000CB070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C5D02A-37CE-447D-9AA6-467BA722056B}">
          <x14:formula1>
            <xm:f>HC!$U$2:$U$5</xm:f>
          </x14:formula1>
          <xm:sqref>J7:K7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529C-4596-4DD8-AF1E-018AF8521A48}">
  <dimension ref="B1:X54"/>
  <sheetViews>
    <sheetView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4" width="17.44140625" customWidth="1"/>
    <col min="5" max="5" width="13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7.44140625" customWidth="1"/>
    <col min="13" max="13" width="13.77734375" customWidth="1"/>
    <col min="14" max="14" width="20.5546875" customWidth="1"/>
    <col min="15" max="15" width="21" customWidth="1"/>
    <col min="16" max="16" width="15.21875" customWidth="1"/>
    <col min="17" max="19" width="14.44140625" customWidth="1"/>
    <col min="20" max="20" width="17.777343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152</v>
      </c>
      <c r="K7" s="179"/>
      <c r="M7" s="178" t="s">
        <v>49</v>
      </c>
      <c r="N7" s="179"/>
      <c r="P7" s="74" t="s">
        <v>45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2716.6667000000002</v>
      </c>
      <c r="D15" s="76">
        <f>_xlfn.XLOOKUP($J$7,PROJEÇÃO[CONSULTOR],PROJEÇÃO[PROJ_MOVEL])</f>
        <v>1862.7500000000009</v>
      </c>
      <c r="E15" s="48">
        <f>IFERROR(D15/C15,0)</f>
        <v>0.68567483821257891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18.627500000000008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18.627500000000008</v>
      </c>
      <c r="K15" s="75">
        <f>SUMIFS(REALIZADO[META_MOVEL],REALIZADO[PDV],'PORTO CANOA'!$M$7)</f>
        <v>6690</v>
      </c>
      <c r="L15" s="76">
        <f>SUMIFS(PROJEÇÃO[PROJ_MOVEL],PROJEÇÃO[PDV],'PORTO CANOA'!$M$7)</f>
        <v>5081.0600000000013</v>
      </c>
      <c r="M15" s="48">
        <f>IFERROR(L15/K15,0)</f>
        <v>0.75950074738415563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18.627500000000008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120.45450000000005</v>
      </c>
    </row>
    <row r="16" spans="2:24" x14ac:dyDescent="0.3">
      <c r="B16" s="45" t="s">
        <v>13</v>
      </c>
      <c r="C16" s="75">
        <f>_xlfn.XLOOKUP($J$7,REALIZADO[CONSULTOR],REALIZADO[META_FIXA])</f>
        <v>1533.3333</v>
      </c>
      <c r="D16" s="76">
        <f>_xlfn.XLOOKUP($J$7,PROJEÇÃO[CONSULTOR],PROJEÇÃO[PROJ_FIXA])</f>
        <v>430.00000000000017</v>
      </c>
      <c r="E16" s="49">
        <f>IFERROR(D16/C16,0)</f>
        <v>0.28043478870510419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4.3000000000000016</v>
      </c>
      <c r="I16" s="64">
        <f t="shared" si="0"/>
        <v>0</v>
      </c>
      <c r="J16" s="64">
        <f t="shared" ref="J16:J23" si="3">H16+I16</f>
        <v>4.3000000000000016</v>
      </c>
      <c r="K16" s="75">
        <f>SUMIFS(REALIZADO[META_FIXA],REALIZADO[PDV],'PORTO CANOA'!$M$7)</f>
        <v>2800</v>
      </c>
      <c r="L16" s="76">
        <f>SUMIFS(PROJEÇÃO[PROJ_FIXA],PROJEÇÃO[PDV],'PORTO CANOA'!$M$7)</f>
        <v>3088.0000000000014</v>
      </c>
      <c r="M16" s="49">
        <f t="shared" ref="M16:M17" si="4">IFERROR(L16/K16,0)</f>
        <v>1.1028571428571434</v>
      </c>
      <c r="N16" s="12">
        <f>IF($M$17&gt;=FATORES!$I$17,FATORES!$K$17,0)</f>
        <v>0.15</v>
      </c>
      <c r="O16" s="88">
        <f t="shared" si="1"/>
        <v>0</v>
      </c>
      <c r="P16" s="13">
        <f t="shared" ref="P16:P23" si="5">J16+O16</f>
        <v>4.3000000000000016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69666.666700000002</v>
      </c>
      <c r="D17" s="76">
        <f>_xlfn.XLOOKUP($J$7,PROJEÇÃO[CONSULTOR],PROJEÇÃO[PROJ_APARELHO])</f>
        <v>56664.000000000022</v>
      </c>
      <c r="E17" s="49">
        <f>IFERROR(D17/C17,0)</f>
        <v>0.81335885128547458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28.332000000000011</v>
      </c>
      <c r="I17" s="64">
        <f t="shared" si="0"/>
        <v>0</v>
      </c>
      <c r="J17" s="64">
        <f t="shared" si="3"/>
        <v>28.332000000000011</v>
      </c>
      <c r="K17" s="52">
        <f>SUMIFS(REALIZADO[META_SMARTPHONE],REALIZADO[PDV],'PORTO CANOA'!$M$7)</f>
        <v>83000</v>
      </c>
      <c r="L17" s="77">
        <f>SUMIFS(PROJEÇÃO[PROJ_APARELHO],PROJEÇÃO[PDV],'PORTO CANOA'!$M$7)</f>
        <v>89671.000000000044</v>
      </c>
      <c r="M17" s="49">
        <f t="shared" si="4"/>
        <v>1.0803734939759042</v>
      </c>
      <c r="N17" s="12">
        <f>IF($M$17&gt;=FATORES!$B$28,FATORES!$D$28,0)</f>
        <v>2.5000000000000001E-3</v>
      </c>
      <c r="O17" s="88">
        <f t="shared" si="1"/>
        <v>0</v>
      </c>
      <c r="P17" s="13">
        <f t="shared" si="5"/>
        <v>28.332000000000011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4750</v>
      </c>
      <c r="D18" s="77">
        <f>_xlfn.XLOOKUP($J$7,PROJEÇÃO[CONSULTOR],PROJEÇÃO[PROJ_ELETRO_A])</f>
        <v>199.00000000000009</v>
      </c>
      <c r="E18" s="140">
        <f>IFERROR((D18+D19)/C18,0)</f>
        <v>2.4141052631578961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0.59700000000000031</v>
      </c>
      <c r="I18" s="64">
        <f t="shared" si="0"/>
        <v>0</v>
      </c>
      <c r="J18" s="64">
        <f t="shared" si="3"/>
        <v>0.59700000000000031</v>
      </c>
      <c r="K18" s="141">
        <f>SUMIFS(REALIZADO[META_ACESSORIO],REALIZADO[PDV],'PORTO CANOA'!$M$7)</f>
        <v>6700</v>
      </c>
      <c r="L18" s="86">
        <f>SUMIFS(PROJEÇÃO[PROJ_ELETRO_A],PROJEÇÃO[PDV],'PORTO CANOA'!$M$7)</f>
        <v>0</v>
      </c>
      <c r="M18" s="114">
        <f>IFERROR((L18+L19)/K18,0)</f>
        <v>1.3240298507462691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0.59700000000000031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11268.000000000005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16.902000000000008</v>
      </c>
      <c r="I19" s="64">
        <f t="shared" si="0"/>
        <v>0</v>
      </c>
      <c r="J19" s="64">
        <f t="shared" si="3"/>
        <v>16.902000000000008</v>
      </c>
      <c r="K19" s="142"/>
      <c r="L19" s="87">
        <f>SUMIFS(PROJEÇÃO[PROJ_ELETRO_B],PROJEÇÃO[PDV],'PORTO CANOA'!$M$7)</f>
        <v>8871.0000000000036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16.902000000000008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3666.6667000000002</v>
      </c>
      <c r="D20" s="77">
        <f>_xlfn.XLOOKUP($J$7,PROJEÇÃO[CONSULTOR],PROJEÇÃO[PROJ_ESSEN_A])</f>
        <v>1493.0000000000007</v>
      </c>
      <c r="E20" s="140">
        <f>IFERROR((D20+D21)/C20,0)</f>
        <v>1.0679999902909096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22.39500000000001</v>
      </c>
      <c r="I20" s="64">
        <f t="shared" si="0"/>
        <v>0</v>
      </c>
      <c r="J20" s="64">
        <f t="shared" si="3"/>
        <v>22.39500000000001</v>
      </c>
      <c r="K20" s="141">
        <f>SUMIFS(REALIZADO[META_ESSENCIAIS],REALIZADO[PDV],'PORTO CANOA'!$M$7)</f>
        <v>4500</v>
      </c>
      <c r="L20" s="86">
        <f>SUMIFS(PROJEÇÃO[PROJ_ESSEN_A],PROJEÇÃO[PDV],'PORTO CANOA'!$M$7)</f>
        <v>1431.0000000000007</v>
      </c>
      <c r="M20" s="114">
        <f>IFERROR((L20+L21)/K20,0)</f>
        <v>0.9844444444444449</v>
      </c>
      <c r="N20" s="12">
        <f>IF($M$20&gt;=FATORES!$B$11,FATORES!$D$11,0)</f>
        <v>0</v>
      </c>
      <c r="O20" s="88">
        <f t="shared" si="1"/>
        <v>0</v>
      </c>
      <c r="P20" s="13">
        <f t="shared" si="5"/>
        <v>22.39500000000001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2423.0000000000009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24.230000000000011</v>
      </c>
      <c r="I21" s="64">
        <f t="shared" si="0"/>
        <v>0</v>
      </c>
      <c r="J21" s="64">
        <f t="shared" si="3"/>
        <v>24.230000000000011</v>
      </c>
      <c r="K21" s="142"/>
      <c r="L21" s="87">
        <f>SUMIFS(PROJEÇÃO[PROJ_ESSEN_B],PROJEÇÃO[PDV],'PORTO CANOA'!$M$7)</f>
        <v>2999.0000000000014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24.230000000000011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296.66669999999999</v>
      </c>
      <c r="D22" s="81">
        <f>_xlfn.XLOOKUP($J$7,PROJEÇÃO[CONSULTOR],PROJEÇÃO[PROJ_SEGURO])</f>
        <v>173.50000000000009</v>
      </c>
      <c r="E22" s="83">
        <f>IFERROR(D22/C22,0)</f>
        <v>0.58483139496276493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1.735000000000001</v>
      </c>
      <c r="I22" s="64">
        <f t="shared" si="0"/>
        <v>0</v>
      </c>
      <c r="J22" s="64">
        <f t="shared" si="3"/>
        <v>1.735000000000001</v>
      </c>
      <c r="K22" s="56">
        <f>SUMIFS(REALIZADO[META_SEGUROS],REALIZADO[PDV],'PORTO CANOA'!$M$7)</f>
        <v>600</v>
      </c>
      <c r="L22" s="78">
        <f>SUMIFS(PROJEÇÃO[PROJ_SEGURO],PROJEÇÃO[PDV],'PORTO CANOA'!$M$7)</f>
        <v>519.20000000000016</v>
      </c>
      <c r="M22" s="49">
        <f t="shared" ref="M22:M23" si="6">IFERROR(L22/K22,0)</f>
        <v>0.86533333333333362</v>
      </c>
      <c r="N22" s="12">
        <f>IF($M$22&gt;=FATORES!$O$9,FATORES!$Q$9,0)</f>
        <v>0</v>
      </c>
      <c r="O22" s="88">
        <f t="shared" si="1"/>
        <v>0</v>
      </c>
      <c r="P22" s="13">
        <f t="shared" si="5"/>
        <v>1.735000000000001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300</v>
      </c>
      <c r="D23" s="57">
        <f>_xlfn.XLOOKUP($J$7,PROJEÇÃO[CONSULTOR],PROJEÇÃO[PROJ_SVA])</f>
        <v>333.60000000000019</v>
      </c>
      <c r="E23" s="82">
        <f>IFERROR(D23/C23,0)</f>
        <v>1.1120000000000005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3.3360000000000021</v>
      </c>
      <c r="I23" s="64">
        <f t="shared" si="0"/>
        <v>0</v>
      </c>
      <c r="J23" s="16">
        <f t="shared" si="3"/>
        <v>3.3360000000000021</v>
      </c>
      <c r="K23" s="75">
        <f>SUMIFS(REALIZADO[META_SVA],REALIZADO[PDV],'PORTO CANOA'!$M$7)</f>
        <v>450</v>
      </c>
      <c r="L23" s="76">
        <f>SUMIFS(PROJEÇÃO[PROJ_SVA],PROJEÇÃO[PDV],'PORTO CANOA'!$M$7)</f>
        <v>401.2000000000001</v>
      </c>
      <c r="M23" s="50">
        <f t="shared" si="6"/>
        <v>0.89155555555555577</v>
      </c>
      <c r="N23" s="15">
        <f>IF($M$23&gt;=FATORES!$O$17,FATORES!$Q$17,0)</f>
        <v>0</v>
      </c>
      <c r="O23" s="88">
        <f t="shared" si="1"/>
        <v>0</v>
      </c>
      <c r="P23" s="17">
        <f t="shared" si="5"/>
        <v>3.3360000000000021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120.45450000000005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2716.6667000000002</v>
      </c>
      <c r="D30" s="76">
        <f>_xlfn.XLOOKUP($J$7,REALIZADO[CONSULTOR],REALIZADO[AT_MOVEL])</f>
        <v>478</v>
      </c>
      <c r="E30" s="48">
        <f>IFERROR(D30/C30,0)</f>
        <v>0.1759509180864918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4.78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4.78</v>
      </c>
      <c r="K30" s="75">
        <f>SUMIFS(REALIZADO[META_MOVEL],REALIZADO[PDV],'PORTO CANOA'!$M$7)</f>
        <v>6690</v>
      </c>
      <c r="L30" s="76">
        <f>SUMIFS(REALIZADO[AT_MOVEL],REALIZADO[PDV],'PORTO CANOA'!$M$7)</f>
        <v>558</v>
      </c>
      <c r="M30" s="48">
        <f>IFERROR(L30/K30,0)</f>
        <v>8.3408071748878918E-2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4.78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9.020999999999999</v>
      </c>
    </row>
    <row r="31" spans="2:20" x14ac:dyDescent="0.3">
      <c r="B31" s="45" t="s">
        <v>13</v>
      </c>
      <c r="C31" s="75">
        <f>_xlfn.XLOOKUP($J$7,REALIZADO[CONSULTOR],REALIZADO[META_FIXA])</f>
        <v>1533.3333</v>
      </c>
      <c r="D31" s="76">
        <f>_xlfn.XLOOKUP($J$7,REALIZADO[CONSULTOR],REALIZADO[AT_FIXA])</f>
        <v>110</v>
      </c>
      <c r="E31" s="49">
        <f>IFERROR(D31/C31,0)</f>
        <v>7.173913199432895E-2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1.1000000000000001</v>
      </c>
      <c r="I31" s="64">
        <f t="shared" si="8"/>
        <v>0</v>
      </c>
      <c r="J31" s="64">
        <f t="shared" ref="J31:J38" si="11">H31+I31</f>
        <v>1.1000000000000001</v>
      </c>
      <c r="K31" s="75">
        <f>SUMIFS(REALIZADO[META_FIXA],REALIZADO[PDV],'PORTO CANOA'!$M$7)</f>
        <v>2800</v>
      </c>
      <c r="L31" s="76">
        <f>SUMIFS(REALIZADO[AT_FIXA],REALIZADO[PDV],'PORTO CANOA'!$M$7)</f>
        <v>200</v>
      </c>
      <c r="M31" s="49">
        <f t="shared" ref="M31:M32" si="12">IFERROR(L31/K31,0)</f>
        <v>7.1428571428571425E-2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1.1000000000000001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69666.666700000002</v>
      </c>
      <c r="D32" s="76">
        <f>_xlfn.XLOOKUP($J$7,REALIZADO[CONSULTOR],REALIZADO[AT_SMARTPHONE])</f>
        <v>2699</v>
      </c>
      <c r="E32" s="49">
        <f>IFERROR(D32/C32,0)</f>
        <v>3.874162677572171E-2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1.3494999999999999</v>
      </c>
      <c r="I32" s="64">
        <f t="shared" si="8"/>
        <v>0</v>
      </c>
      <c r="J32" s="64">
        <f t="shared" si="11"/>
        <v>1.3494999999999999</v>
      </c>
      <c r="K32" s="52">
        <f>SUMIFS(REALIZADO[META_SMARTPHONE],REALIZADO[PDV],'PORTO CANOA'!$M$7)</f>
        <v>83000</v>
      </c>
      <c r="L32" s="77">
        <f>SUMIFS(REALIZADO[AT_SMARTPHONE],REALIZADO[PDV],'PORTO CANOA'!$M$7)</f>
        <v>0</v>
      </c>
      <c r="M32" s="49">
        <f t="shared" si="12"/>
        <v>0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1.3494999999999999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4750</v>
      </c>
      <c r="D33" s="77">
        <f>_xlfn.XLOOKUP($J$7,REALIZADO[CONSULTOR],REALIZADO[AT_ACESSORIOS_A])</f>
        <v>0</v>
      </c>
      <c r="E33" s="140">
        <f>IFERROR((D33+D34)/C33,0)</f>
        <v>0.27347368421052631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SUMIFS(REALIZADO[META_ACESSORIO],REALIZADO[PDV],'PORTO CANOA'!$M$7)</f>
        <v>6700</v>
      </c>
      <c r="L33" s="86">
        <f>SUMIFS(REALIZADO[AT_ACESSORIOS_A],REALIZADO[PDV],'PORTO CANOA'!$M$7)</f>
        <v>0</v>
      </c>
      <c r="M33" s="114">
        <f>IFERROR((L33+L34)/K33,0)</f>
        <v>3.4179104477611938E-2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1299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0.64949999999999997</v>
      </c>
      <c r="I34" s="64">
        <f t="shared" si="8"/>
        <v>0</v>
      </c>
      <c r="J34" s="64">
        <f t="shared" si="11"/>
        <v>0.64949999999999997</v>
      </c>
      <c r="K34" s="142"/>
      <c r="L34" s="87">
        <f>SUMIFS(REALIZADO[AT_ACESSORIOS_B],REALIZADO[PDV],'PORTO CANOA'!$M$7)</f>
        <v>229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0.64949999999999997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3666.6667000000002</v>
      </c>
      <c r="D35" s="77">
        <f>_xlfn.XLOOKUP($J$7,REALIZADO[CONSULTOR],REALIZADO[AT_ESSENCIAIS_A])</f>
        <v>119</v>
      </c>
      <c r="E35" s="140">
        <f>IFERROR((D35+D36)/C35,0)</f>
        <v>6.7636363021487608E-2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0.59499999999999997</v>
      </c>
      <c r="I35" s="64">
        <f t="shared" si="8"/>
        <v>0</v>
      </c>
      <c r="J35" s="64">
        <f t="shared" si="11"/>
        <v>0.59499999999999997</v>
      </c>
      <c r="K35" s="141">
        <f>SUMIFS(REALIZADO[META_ESSENCIAIS],REALIZADO[PDV],'PORTO CANOA'!$M$7)</f>
        <v>4500</v>
      </c>
      <c r="L35" s="86">
        <f>SUMIFS(REALIZADO[AT_ESSENCIAIS_A],REALIZADO[PDV],'PORTO CANOA'!$M$7)</f>
        <v>0</v>
      </c>
      <c r="M35" s="114">
        <f>IFERROR((L35+L36)/K35,0)</f>
        <v>0.10133333333333333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0.59499999999999997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129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0.25800000000000001</v>
      </c>
      <c r="I36" s="64">
        <f t="shared" si="8"/>
        <v>0</v>
      </c>
      <c r="J36" s="64">
        <f t="shared" si="11"/>
        <v>0.25800000000000001</v>
      </c>
      <c r="K36" s="142"/>
      <c r="L36" s="87">
        <f>SUMIFS(REALIZADO[AT_ESSENCIAIS_B],REALIZADO[PDV],'PORTO CANOA'!$M$7)</f>
        <v>456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0.25800000000000001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296.66669999999999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SUMIFS(REALIZADO[META_SEGUROS],REALIZADO[PDV],'PORTO CANOA'!$M$7)</f>
        <v>600</v>
      </c>
      <c r="L37" s="78">
        <f>SUMIFS(REALIZADO[AT_SEGUROS],REALIZADO[PDV],'PORTO CANOA'!$M$7)</f>
        <v>0</v>
      </c>
      <c r="M37" s="49">
        <f t="shared" ref="M37:M38" si="14">IFERROR(L37/K37,0)</f>
        <v>0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300</v>
      </c>
      <c r="D38" s="57">
        <f>_xlfn.XLOOKUP($J$7,REALIZADO[CONSULTOR],REALIZADO[AT_SVA])</f>
        <v>28.9</v>
      </c>
      <c r="E38" s="82">
        <f>IFERROR(D38/C38,0)</f>
        <v>9.6333333333333326E-2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0.28899999999999998</v>
      </c>
      <c r="I38" s="64">
        <f t="shared" si="8"/>
        <v>0</v>
      </c>
      <c r="J38" s="16">
        <f t="shared" si="11"/>
        <v>0.28899999999999998</v>
      </c>
      <c r="K38" s="75">
        <f>SUMIFS(REALIZADO[META_SVA],REALIZADO[PDV],'PORTO CANOA'!$M$7)</f>
        <v>450</v>
      </c>
      <c r="L38" s="76">
        <f>SUMIFS(REALIZADO[AT_SVA],REALIZADO[PDV],'PORTO CANOA'!$M$7)</f>
        <v>29.9</v>
      </c>
      <c r="M38" s="50">
        <f t="shared" si="14"/>
        <v>6.6444444444444445E-2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0.28899999999999998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9.020999999999999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3250</v>
      </c>
      <c r="D45" s="53">
        <v>3250</v>
      </c>
      <c r="E45" s="48">
        <f>IFERROR(D45/C45,0)</f>
        <v>1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260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487.5</v>
      </c>
      <c r="J45" s="9">
        <f>H45+I45</f>
        <v>747.5</v>
      </c>
      <c r="K45" s="52">
        <f>SUMIFS(REALIZADO[META_MOVEL],REALIZADO[PDV],'PORTO CANOA'!$M$7)</f>
        <v>6690</v>
      </c>
      <c r="L45" s="53">
        <v>6700</v>
      </c>
      <c r="M45" s="48">
        <f>IFERROR(L45/K45,0)</f>
        <v>1.0014947683109119</v>
      </c>
      <c r="N45" s="8">
        <f>IF($M$45&gt;=FATORES!$I$9,FATORES!$K$9,0)</f>
        <v>0.1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325</v>
      </c>
      <c r="P45" s="10">
        <f>J45+O45</f>
        <v>1072.5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2007.4</v>
      </c>
    </row>
    <row r="46" spans="2:20" x14ac:dyDescent="0.3">
      <c r="B46" s="45" t="s">
        <v>13</v>
      </c>
      <c r="C46" s="54">
        <v>1750</v>
      </c>
      <c r="D46" s="55">
        <v>1600</v>
      </c>
      <c r="E46" s="49">
        <f>IFERROR(D46/C46,0)</f>
        <v>0.91428571428571426</v>
      </c>
      <c r="F46" s="12">
        <f>VLOOKUP($E$46,FATORES!$I$12:$K$14,3)</f>
        <v>0.08</v>
      </c>
      <c r="G46" s="12">
        <f>IFERROR(VLOOKUP($E$46,FATORES!$I$15:$K$16,3),0)</f>
        <v>0</v>
      </c>
      <c r="H46" s="64">
        <f t="shared" ref="H46:H53" si="18">D46*F46</f>
        <v>128</v>
      </c>
      <c r="I46" s="64">
        <f t="shared" si="16"/>
        <v>0</v>
      </c>
      <c r="J46" s="64">
        <f t="shared" ref="J46:J53" si="19">H46+I46</f>
        <v>128</v>
      </c>
      <c r="K46" s="54">
        <f>SUMIFS(REALIZADO[META_FIXA],REALIZADO[PDV],'PORTO CANOA'!$M$7)</f>
        <v>2800</v>
      </c>
      <c r="L46" s="55">
        <v>2700</v>
      </c>
      <c r="M46" s="49">
        <f t="shared" ref="M46:M53" si="20">IFERROR(L46/K46,0)</f>
        <v>0.9642857142857143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128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37500</v>
      </c>
      <c r="D47" s="55">
        <v>58900</v>
      </c>
      <c r="E47" s="49">
        <f>IFERROR(D47/C47,0)</f>
        <v>1.5706666666666667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88.350000000000009</v>
      </c>
      <c r="I47" s="64">
        <f t="shared" si="16"/>
        <v>117.8</v>
      </c>
      <c r="J47" s="64">
        <f t="shared" si="19"/>
        <v>206.15</v>
      </c>
      <c r="K47" s="54">
        <f>SUMIFS(REALIZADO[META_SMARTPHONE],REALIZADO[PDV],'PORTO CANOA'!$M$7)</f>
        <v>83000</v>
      </c>
      <c r="L47" s="55">
        <v>90000</v>
      </c>
      <c r="M47" s="49">
        <f t="shared" si="20"/>
        <v>1.0843373493975903</v>
      </c>
      <c r="N47" s="12">
        <f>IF($M$47&gt;=FATORES!$B$28,FATORES!$D$28,0)</f>
        <v>2.5000000000000001E-3</v>
      </c>
      <c r="O47" s="88">
        <f t="shared" si="17"/>
        <v>147.25</v>
      </c>
      <c r="P47" s="13">
        <f t="shared" si="21"/>
        <v>353.4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2500</v>
      </c>
      <c r="D48" s="55">
        <v>2500</v>
      </c>
      <c r="E48" s="114">
        <f>IFERROR((D48+D49)/C48,0)</f>
        <v>2</v>
      </c>
      <c r="F48" s="12">
        <f>VLOOKUP($E$48,FATORES!$B$16:$E$18,3)</f>
        <v>3.0000000000000001E-3</v>
      </c>
      <c r="G48" s="12">
        <f>IFERROR(VLOOKUP($E$48,FATORES!$B$19:$E$20,3),0)</f>
        <v>1.4E-2</v>
      </c>
      <c r="H48" s="64">
        <f t="shared" si="18"/>
        <v>7.5</v>
      </c>
      <c r="I48" s="64">
        <f t="shared" si="16"/>
        <v>35</v>
      </c>
      <c r="J48" s="64">
        <f t="shared" si="19"/>
        <v>42.5</v>
      </c>
      <c r="K48" s="113">
        <f>SUMIFS(REALIZADO[META_ACESSORIO],REALIZADO[PDV],'PORTO CANOA'!$M$7)</f>
        <v>6700</v>
      </c>
      <c r="L48" s="55">
        <v>3000</v>
      </c>
      <c r="M48" s="114">
        <f>IFERROR((L48+L49)/K48,0)</f>
        <v>1.044776119402985</v>
      </c>
      <c r="N48" s="12">
        <f>IF($M$48&gt;=FATORES!$B$21,FATORES!$D$21,0)</f>
        <v>5.0000000000000001E-3</v>
      </c>
      <c r="O48" s="88">
        <f t="shared" si="17"/>
        <v>12.5</v>
      </c>
      <c r="P48" s="13">
        <f t="shared" si="21"/>
        <v>55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2500</v>
      </c>
      <c r="E49" s="114"/>
      <c r="F49" s="12">
        <f>VLOOKUP($E$48,FATORES!$B$16:$E$18,4)</f>
        <v>1.5E-3</v>
      </c>
      <c r="G49" s="12">
        <f>IFERROR(VLOOKUP($E$48,FATORES!$B$19:$E$20,4),0)</f>
        <v>7.0000000000000001E-3</v>
      </c>
      <c r="H49" s="64">
        <f t="shared" si="18"/>
        <v>3.75</v>
      </c>
      <c r="I49" s="64">
        <f t="shared" si="16"/>
        <v>17.5</v>
      </c>
      <c r="J49" s="64">
        <f t="shared" si="19"/>
        <v>21.25</v>
      </c>
      <c r="K49" s="113"/>
      <c r="L49" s="55">
        <v>4000</v>
      </c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21.25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1950</v>
      </c>
      <c r="D50" s="55">
        <v>1950</v>
      </c>
      <c r="E50" s="114">
        <f>IFERROR((D50+D51)/C50,0)</f>
        <v>2</v>
      </c>
      <c r="F50" s="12">
        <f>VLOOKUP($E$50,FATORES!$B$6:$E$8,3)</f>
        <v>1.4999999999999999E-2</v>
      </c>
      <c r="G50" s="12">
        <f>IFERROR(VLOOKUP($E$50,FATORES!$B$9:$E$10,3),0)</f>
        <v>0.05</v>
      </c>
      <c r="H50" s="64">
        <f t="shared" si="18"/>
        <v>29.25</v>
      </c>
      <c r="I50" s="64">
        <f t="shared" si="16"/>
        <v>97.5</v>
      </c>
      <c r="J50" s="64">
        <f t="shared" si="19"/>
        <v>126.75</v>
      </c>
      <c r="K50" s="113">
        <f>SUMIFS(REALIZADO[META_ESSENCIAIS],REALIZADO[PDV],'PORTO CANOA'!$M$7)</f>
        <v>4500</v>
      </c>
      <c r="L50" s="55">
        <v>3000</v>
      </c>
      <c r="M50" s="114">
        <f>IFERROR((L50+L51)/K50,0)</f>
        <v>0.88577777777777778</v>
      </c>
      <c r="N50" s="12">
        <f>IF($M$50&gt;=FATORES!$B$11,FATORES!D11,0)</f>
        <v>0</v>
      </c>
      <c r="O50" s="88">
        <f t="shared" si="17"/>
        <v>0</v>
      </c>
      <c r="P50" s="13">
        <f t="shared" si="21"/>
        <v>126.75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1950</v>
      </c>
      <c r="E51" s="114"/>
      <c r="F51" s="12">
        <f>VLOOKUP($E$50,FATORES!$B$6:$E$8,4)</f>
        <v>0.01</v>
      </c>
      <c r="G51" s="12">
        <f>IFERROR(VLOOKUP($E$50,FATORES!$B$9:$E$10,4),0)</f>
        <v>0.02</v>
      </c>
      <c r="H51" s="64">
        <f t="shared" si="18"/>
        <v>19.5</v>
      </c>
      <c r="I51" s="64">
        <f t="shared" si="16"/>
        <v>39</v>
      </c>
      <c r="J51" s="64">
        <f t="shared" si="19"/>
        <v>58.5</v>
      </c>
      <c r="K51" s="113"/>
      <c r="L51" s="55">
        <v>986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58.5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275</v>
      </c>
      <c r="D52" s="55">
        <v>600</v>
      </c>
      <c r="E52" s="49">
        <f>IFERROR(D52/C52,0)</f>
        <v>2.1818181818181817</v>
      </c>
      <c r="F52" s="12">
        <f>VLOOKUP($E$52,FATORES!$O$4:$Q$6,3)</f>
        <v>0.05</v>
      </c>
      <c r="G52" s="12">
        <f>IFERROR(VLOOKUP($E$52,FATORES!$O$7:$Q$8,3),0)</f>
        <v>0.25</v>
      </c>
      <c r="H52" s="64">
        <f t="shared" si="18"/>
        <v>30</v>
      </c>
      <c r="I52" s="64">
        <f t="shared" si="16"/>
        <v>150</v>
      </c>
      <c r="J52" s="64">
        <f t="shared" si="19"/>
        <v>180</v>
      </c>
      <c r="K52" s="54">
        <f>SUMIFS(REALIZADO[META_SEGUROS],REALIZADO[PDV],'PORTO CANOA'!$M$7)</f>
        <v>600</v>
      </c>
      <c r="L52" s="55">
        <v>573</v>
      </c>
      <c r="M52" s="49">
        <f t="shared" si="20"/>
        <v>0.95499999999999996</v>
      </c>
      <c r="N52" s="12">
        <f>IF($M$52&gt;=FATORES!$O$9,FATORES!$Q$9,0)</f>
        <v>0</v>
      </c>
      <c r="O52" s="88">
        <f t="shared" si="17"/>
        <v>0</v>
      </c>
      <c r="P52" s="13">
        <f t="shared" si="21"/>
        <v>180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200</v>
      </c>
      <c r="D53" s="57">
        <v>400</v>
      </c>
      <c r="E53" s="50">
        <f>IFERROR(D53/C53,0)</f>
        <v>2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4</v>
      </c>
      <c r="I53" s="64">
        <f t="shared" si="16"/>
        <v>4</v>
      </c>
      <c r="J53" s="16">
        <f t="shared" si="19"/>
        <v>8</v>
      </c>
      <c r="K53" s="56">
        <f>SUMIFS(REALIZADO[META_SVA],REALIZADO[PDV],'PORTO CANOA'!$M$7)</f>
        <v>450</v>
      </c>
      <c r="L53" s="57">
        <v>663</v>
      </c>
      <c r="M53" s="50">
        <f t="shared" si="20"/>
        <v>1.4733333333333334</v>
      </c>
      <c r="N53" s="15">
        <f>IF($M$53&gt;=FATORES!$O$17,FATORES!$Q$17,0)</f>
        <v>0.01</v>
      </c>
      <c r="O53" s="88">
        <f t="shared" si="17"/>
        <v>4</v>
      </c>
      <c r="P53" s="17">
        <f t="shared" si="21"/>
        <v>12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2007.4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AbghMxrFFFU/xBaWbljOnIlG+WmOudwKJxaTuC00WbEW4PHE7IWmTyzHCTS2w+70EOJU1jgQ7NxqQ8T8XhV+2A==" saltValue="utJw0E2y16QCMiygaEb11g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235" priority="22" operator="between">
      <formula>0.7</formula>
      <formula>1</formula>
    </cfRule>
    <cfRule type="cellIs" dxfId="234" priority="23" operator="greaterThanOrEqual">
      <formula>1</formula>
    </cfRule>
    <cfRule type="cellIs" dxfId="233" priority="24" operator="lessThan">
      <formula>0.7</formula>
    </cfRule>
  </conditionalFormatting>
  <conditionalFormatting sqref="E30:E33 E35 E37:E38">
    <cfRule type="cellIs" dxfId="232" priority="10" operator="between">
      <formula>0.7</formula>
      <formula>1</formula>
    </cfRule>
    <cfRule type="cellIs" dxfId="231" priority="11" operator="greaterThanOrEqual">
      <formula>1</formula>
    </cfRule>
    <cfRule type="cellIs" dxfId="230" priority="12" operator="lessThan">
      <formula>0.7</formula>
    </cfRule>
  </conditionalFormatting>
  <conditionalFormatting sqref="E45:E48 E50 E52:E53">
    <cfRule type="cellIs" dxfId="229" priority="34" operator="between">
      <formula>0.7</formula>
      <formula>1</formula>
    </cfRule>
    <cfRule type="cellIs" dxfId="228" priority="35" operator="greaterThanOrEqual">
      <formula>1</formula>
    </cfRule>
    <cfRule type="cellIs" dxfId="227" priority="36" operator="lessThan">
      <formula>0.7</formula>
    </cfRule>
  </conditionalFormatting>
  <conditionalFormatting sqref="M15:M18">
    <cfRule type="cellIs" dxfId="226" priority="16" operator="between">
      <formula>0.7</formula>
      <formula>1</formula>
    </cfRule>
    <cfRule type="cellIs" dxfId="225" priority="17" operator="greaterThanOrEqual">
      <formula>1</formula>
    </cfRule>
    <cfRule type="cellIs" dxfId="224" priority="18" operator="lessThan">
      <formula>0.7</formula>
    </cfRule>
  </conditionalFormatting>
  <conditionalFormatting sqref="M20">
    <cfRule type="cellIs" dxfId="223" priority="13" operator="between">
      <formula>0.7</formula>
      <formula>1</formula>
    </cfRule>
    <cfRule type="cellIs" dxfId="222" priority="14" operator="greaterThanOrEqual">
      <formula>1</formula>
    </cfRule>
    <cfRule type="cellIs" dxfId="221" priority="15" operator="lessThan">
      <formula>0.7</formula>
    </cfRule>
  </conditionalFormatting>
  <conditionalFormatting sqref="M22:M23">
    <cfRule type="cellIs" dxfId="220" priority="19" operator="between">
      <formula>0.7</formula>
      <formula>1</formula>
    </cfRule>
    <cfRule type="cellIs" dxfId="219" priority="20" operator="greaterThanOrEqual">
      <formula>1</formula>
    </cfRule>
    <cfRule type="cellIs" dxfId="218" priority="21" operator="lessThan">
      <formula>0.7</formula>
    </cfRule>
  </conditionalFormatting>
  <conditionalFormatting sqref="M30:M33">
    <cfRule type="cellIs" dxfId="217" priority="4" operator="between">
      <formula>0.7</formula>
      <formula>1</formula>
    </cfRule>
    <cfRule type="cellIs" dxfId="216" priority="5" operator="greaterThanOrEqual">
      <formula>1</formula>
    </cfRule>
    <cfRule type="cellIs" dxfId="215" priority="6" operator="lessThan">
      <formula>0.7</formula>
    </cfRule>
  </conditionalFormatting>
  <conditionalFormatting sqref="M35">
    <cfRule type="cellIs" dxfId="214" priority="1" operator="between">
      <formula>0.7</formula>
      <formula>1</formula>
    </cfRule>
    <cfRule type="cellIs" dxfId="213" priority="2" operator="greaterThanOrEqual">
      <formula>1</formula>
    </cfRule>
    <cfRule type="cellIs" dxfId="212" priority="3" operator="lessThan">
      <formula>0.7</formula>
    </cfRule>
  </conditionalFormatting>
  <conditionalFormatting sqref="M37:M38">
    <cfRule type="cellIs" dxfId="211" priority="7" operator="between">
      <formula>0.7</formula>
      <formula>1</formula>
    </cfRule>
    <cfRule type="cellIs" dxfId="210" priority="8" operator="greaterThanOrEqual">
      <formula>1</formula>
    </cfRule>
    <cfRule type="cellIs" dxfId="209" priority="9" operator="lessThan">
      <formula>0.7</formula>
    </cfRule>
  </conditionalFormatting>
  <conditionalFormatting sqref="M45:M48">
    <cfRule type="cellIs" dxfId="208" priority="28" operator="between">
      <formula>0.7</formula>
      <formula>1</formula>
    </cfRule>
    <cfRule type="cellIs" dxfId="207" priority="29" operator="greaterThanOrEqual">
      <formula>1</formula>
    </cfRule>
    <cfRule type="cellIs" dxfId="206" priority="30" operator="lessThan">
      <formula>0.7</formula>
    </cfRule>
  </conditionalFormatting>
  <conditionalFormatting sqref="M50">
    <cfRule type="cellIs" dxfId="205" priority="25" operator="between">
      <formula>0.7</formula>
      <formula>1</formula>
    </cfRule>
    <cfRule type="cellIs" dxfId="204" priority="26" operator="greaterThanOrEqual">
      <formula>1</formula>
    </cfRule>
    <cfRule type="cellIs" dxfId="203" priority="27" operator="lessThan">
      <formula>0.7</formula>
    </cfRule>
  </conditionalFormatting>
  <conditionalFormatting sqref="M52:M53">
    <cfRule type="cellIs" dxfId="202" priority="31" operator="between">
      <formula>0.7</formula>
      <formula>1</formula>
    </cfRule>
    <cfRule type="cellIs" dxfId="201" priority="32" operator="greaterThanOrEqual">
      <formula>1</formula>
    </cfRule>
    <cfRule type="cellIs" dxfId="200" priority="33" operator="lessThan">
      <formula>0.7</formula>
    </cfRule>
  </conditionalFormatting>
  <dataValidations count="1">
    <dataValidation type="list" allowBlank="1" showInputMessage="1" showErrorMessage="1" sqref="B8:H8" xr:uid="{23FA3B28-7C3C-4506-8B0F-996AA046D10C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A5059F-0F9F-402B-8AC2-80CD7BC7E451}">
          <x14:formula1>
            <xm:f>HC!$AG$2:$AG$3</xm:f>
          </x14:formula1>
          <xm:sqref>J7:K7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1B65-083E-496F-BAFA-3C0173A76D01}">
  <dimension ref="B1:X54"/>
  <sheetViews>
    <sheetView topLeftCell="A35" workbookViewId="0">
      <selection activeCell="D45" sqref="D45"/>
    </sheetView>
  </sheetViews>
  <sheetFormatPr defaultRowHeight="14.4" x14ac:dyDescent="0.3"/>
  <cols>
    <col min="1" max="1" width="2" customWidth="1"/>
    <col min="2" max="2" width="16.44140625" customWidth="1"/>
    <col min="3" max="4" width="16.77734375" customWidth="1"/>
    <col min="5" max="5" width="13.777343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77734375" customWidth="1"/>
    <col min="13" max="13" width="13.77734375" customWidth="1"/>
    <col min="14" max="14" width="20.5546875" customWidth="1"/>
    <col min="15" max="15" width="21" customWidth="1"/>
    <col min="16" max="16" width="15.21875" customWidth="1"/>
    <col min="17" max="19" width="17" customWidth="1"/>
    <col min="20" max="20" width="17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135</v>
      </c>
      <c r="K7" s="179"/>
      <c r="M7" s="178" t="s">
        <v>41</v>
      </c>
      <c r="N7" s="179"/>
      <c r="P7" s="74" t="s">
        <v>37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0</v>
      </c>
      <c r="D15" s="76">
        <f>_xlfn.XLOOKUP($J$7,PROJEÇÃO[CONSULTOR],PROJEÇÃO[PROJ_MOVEL])</f>
        <v>0</v>
      </c>
      <c r="E15" s="48">
        <f>IFERROR(D15/C15,0)</f>
        <v>0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0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0</v>
      </c>
      <c r="K15" s="75">
        <f>SUMIFS(REALIZADO[META_MOVEL],REALIZADO[PDV],MASTERPLACE!$M$7)</f>
        <v>14950</v>
      </c>
      <c r="L15" s="76">
        <f>SUMIFS(PROJEÇÃO[PROJ_MOVEL],PROJEÇÃO[PDV],MASTERPLACE!$M$7)</f>
        <v>16330.960000000008</v>
      </c>
      <c r="M15" s="48">
        <f>IFERROR(L15/K15,0)</f>
        <v>1.0923719063545156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0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0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SUMIFS(REALIZADO[META_FIXA],REALIZADO[PDV],MASTERPLACE!$M$7)</f>
        <v>8299.9998000000014</v>
      </c>
      <c r="L16" s="76">
        <f>SUMIFS(PROJEÇÃO[PROJ_FIXA],PROJEÇÃO[PDV],MASTERPLACE!$M$7)</f>
        <v>8850.0000000000036</v>
      </c>
      <c r="M16" s="49">
        <f t="shared" ref="M16:M17" si="4">IFERROR(L16/K16,0)</f>
        <v>1.0662650859340987</v>
      </c>
      <c r="N16" s="12">
        <f>IF($M$17&gt;=FATORES!$I$17,FATORES!$K$17,0)</f>
        <v>0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0</v>
      </c>
      <c r="D17" s="76">
        <f>_xlfn.XLOOKUP($J$7,PROJEÇÃO[CONSULTOR],PROJEÇÃO[PROJ_APARELHO])</f>
        <v>0</v>
      </c>
      <c r="E17" s="49">
        <f>IFERROR(D17/C17,0)</f>
        <v>0</v>
      </c>
      <c r="F17" s="12">
        <f>VLOOKUP($E$17,FATORES!$B$25:$D$26,3)</f>
        <v>5.0000000000000001E-4</v>
      </c>
      <c r="G17" s="12">
        <f>IFERROR(VLOOKUP($E$17,FATORES!$B$27:$D$27,3),0)</f>
        <v>0</v>
      </c>
      <c r="H17" s="64">
        <f t="shared" si="2"/>
        <v>0</v>
      </c>
      <c r="I17" s="64">
        <f t="shared" si="0"/>
        <v>0</v>
      </c>
      <c r="J17" s="64">
        <f t="shared" si="3"/>
        <v>0</v>
      </c>
      <c r="K17" s="52">
        <f>SUMIFS(REALIZADO[META_SMARTPHONE],REALIZADO[PDV],MASTERPLACE!$M$7)</f>
        <v>265000.00020000001</v>
      </c>
      <c r="L17" s="77">
        <f>SUMIFS(PROJEÇÃO[PROJ_APARELHO],PROJEÇÃO[PDV],MASTERPLACE!$M$7)</f>
        <v>236639.00000000009</v>
      </c>
      <c r="M17" s="49">
        <f t="shared" si="4"/>
        <v>0.89297735781662113</v>
      </c>
      <c r="N17" s="12">
        <f>IF($M$17&gt;=FATORES!$B$28,FATORES!$D$28,0)</f>
        <v>0</v>
      </c>
      <c r="O17" s="88">
        <f t="shared" si="1"/>
        <v>0</v>
      </c>
      <c r="P17" s="13">
        <f t="shared" si="5"/>
        <v>0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0</v>
      </c>
      <c r="D18" s="77">
        <f>_xlfn.XLOOKUP($J$7,PROJEÇÃO[CONSULTOR],PROJEÇÃO[PROJ_ELETRO_A])</f>
        <v>0</v>
      </c>
      <c r="E18" s="140">
        <f>IFERROR((D18+D19)/C18,0)</f>
        <v>0</v>
      </c>
      <c r="F18" s="12">
        <f>VLOOKUP($E$18,FATORES!$B$16:$E$18,3)</f>
        <v>1E-3</v>
      </c>
      <c r="G18" s="12">
        <f>IFERROR(VLOOKUP($E$18,FATORES!$B$19:$E$20,3),0)</f>
        <v>0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SUMIFS(REALIZADO[META_ACESSORIO],REALIZADO[PDV],MASTERPLACE!$M$7)</f>
        <v>23500.000200000002</v>
      </c>
      <c r="L18" s="86">
        <f>SUMIFS(PROJEÇÃO[PROJ_ELETRO_A],PROJEÇÃO[PDV],MASTERPLACE!$M$7)</f>
        <v>358.00000000000017</v>
      </c>
      <c r="M18" s="114">
        <f>IFERROR((L18+L19)/K18,0)</f>
        <v>1.7033616876309647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0</v>
      </c>
      <c r="E19" s="140"/>
      <c r="F19" s="12">
        <f>VLOOKUP($E$18,FATORES!$B$16:$E$18,4)</f>
        <v>5.0000000000000001E-4</v>
      </c>
      <c r="G19" s="12">
        <f>IFERROR(VLOOKUP($E$18,FATORES!$B$19:$E$20,4),0)</f>
        <v>0</v>
      </c>
      <c r="H19" s="64">
        <f t="shared" si="2"/>
        <v>0</v>
      </c>
      <c r="I19" s="64">
        <f t="shared" si="0"/>
        <v>0</v>
      </c>
      <c r="J19" s="64">
        <f t="shared" si="3"/>
        <v>0</v>
      </c>
      <c r="K19" s="142"/>
      <c r="L19" s="87">
        <f>SUMIFS(PROJEÇÃO[PROJ_ELETRO_B],PROJEÇÃO[PDV],MASTERPLACE!$M$7)</f>
        <v>39671.000000000015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0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0</v>
      </c>
      <c r="D20" s="77">
        <f>_xlfn.XLOOKUP($J$7,PROJEÇÃO[CONSULTOR],PROJEÇÃO[PROJ_ESSEN_A])</f>
        <v>0</v>
      </c>
      <c r="E20" s="140">
        <f>IFERROR((D20+D21)/C20,0)</f>
        <v>0</v>
      </c>
      <c r="F20" s="12">
        <f>VLOOKUP($E$20,FATORES!$B$6:$E$8,3)</f>
        <v>5.0000000000000001E-3</v>
      </c>
      <c r="G20" s="12">
        <f>IFERROR(VLOOKUP($E$20,FATORES!$B$9:$E$10,3),0)</f>
        <v>0</v>
      </c>
      <c r="H20" s="64">
        <f t="shared" si="2"/>
        <v>0</v>
      </c>
      <c r="I20" s="64">
        <f t="shared" si="0"/>
        <v>0</v>
      </c>
      <c r="J20" s="64">
        <f t="shared" si="3"/>
        <v>0</v>
      </c>
      <c r="K20" s="141">
        <f>SUMIFS(REALIZADO[META_ESSENCIAIS],REALIZADO[PDV],MASTERPLACE!$M$7)</f>
        <v>12299.999999999998</v>
      </c>
      <c r="L20" s="86">
        <f>SUMIFS(PROJEÇÃO[PROJ_ESSEN_A],PROJEÇÃO[PDV],MASTERPLACE!$M$7)</f>
        <v>4799.550000000002</v>
      </c>
      <c r="M20" s="114">
        <f>IFERROR((L20+L21)/K20,0)</f>
        <v>1.0409390243902445</v>
      </c>
      <c r="N20" s="12">
        <f>IF($M$20&gt;=FATORES!$B$11,FATORES!$D$11,0)</f>
        <v>1.4999999999999999E-2</v>
      </c>
      <c r="O20" s="88">
        <f t="shared" si="1"/>
        <v>0</v>
      </c>
      <c r="P20" s="13">
        <f t="shared" si="5"/>
        <v>0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0</v>
      </c>
      <c r="E21" s="140"/>
      <c r="F21" s="12">
        <f>VLOOKUP($E$20,FATORES!$B$6:$E$8,4)</f>
        <v>2E-3</v>
      </c>
      <c r="G21" s="12">
        <f>IFERROR(VLOOKUP($E$20,FATORES!$B$9:$E$10,4),0)</f>
        <v>0</v>
      </c>
      <c r="H21" s="64">
        <f t="shared" si="2"/>
        <v>0</v>
      </c>
      <c r="I21" s="64">
        <f t="shared" si="0"/>
        <v>0</v>
      </c>
      <c r="J21" s="64">
        <f t="shared" si="3"/>
        <v>0</v>
      </c>
      <c r="K21" s="142"/>
      <c r="L21" s="87">
        <f>SUMIFS(PROJEÇÃO[PROJ_ESSEN_B],PROJEÇÃO[PDV],MASTERPLACE!$M$7)</f>
        <v>8004.0000000000036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0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0</v>
      </c>
      <c r="D22" s="81">
        <f>_xlfn.XLOOKUP($J$7,PROJEÇÃO[CONSULTOR],PROJEÇÃO[PROJ_SEGURO])</f>
        <v>0</v>
      </c>
      <c r="E22" s="83">
        <f>IFERROR(D22/C22,0)</f>
        <v>0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0</v>
      </c>
      <c r="I22" s="64">
        <f t="shared" si="0"/>
        <v>0</v>
      </c>
      <c r="J22" s="64">
        <f t="shared" si="3"/>
        <v>0</v>
      </c>
      <c r="K22" s="56">
        <f>SUMIFS(REALIZADO[META_SEGUROS],REALIZADO[PDV],MASTERPLACE!$M$7)</f>
        <v>1599.9999999999998</v>
      </c>
      <c r="L22" s="78">
        <f>SUMIFS(PROJEÇÃO[PROJ_SEGURO],PROJEÇÃO[PDV],MASTERPLACE!$M$7)</f>
        <v>1706.6000000000006</v>
      </c>
      <c r="M22" s="49">
        <f t="shared" ref="M22:M23" si="6">IFERROR(L22/K22,0)</f>
        <v>1.0666250000000006</v>
      </c>
      <c r="N22" s="12">
        <f>IF($M$22&gt;=FATORES!$O$9,FATORES!$Q$9,0)</f>
        <v>0.1</v>
      </c>
      <c r="O22" s="88">
        <f t="shared" si="1"/>
        <v>0</v>
      </c>
      <c r="P22" s="13">
        <f t="shared" si="5"/>
        <v>0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0</v>
      </c>
      <c r="D23" s="57">
        <f>_xlfn.XLOOKUP($J$7,PROJEÇÃO[CONSULTOR],PROJEÇÃO[PROJ_SVA])</f>
        <v>0</v>
      </c>
      <c r="E23" s="82">
        <f>IFERROR(D23/C23,0)</f>
        <v>0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0</v>
      </c>
      <c r="I23" s="64">
        <f t="shared" si="0"/>
        <v>0</v>
      </c>
      <c r="J23" s="16">
        <f t="shared" si="3"/>
        <v>0</v>
      </c>
      <c r="K23" s="75">
        <f>SUMIFS(REALIZADO[META_SVA],REALIZADO[PDV],MASTERPLACE!$M$7)</f>
        <v>1450.0001999999999</v>
      </c>
      <c r="L23" s="76">
        <f>SUMIFS(PROJEÇÃO[PROJ_SVA],PROJEÇÃO[PDV],MASTERPLACE!$M$7)</f>
        <v>1553.4000000000005</v>
      </c>
      <c r="M23" s="50">
        <f t="shared" si="6"/>
        <v>1.0713101970606629</v>
      </c>
      <c r="N23" s="15">
        <f>IF($M$23&gt;=FATORES!$O$17,FATORES!$Q$17,0)</f>
        <v>0.01</v>
      </c>
      <c r="O23" s="88">
        <f t="shared" si="1"/>
        <v>0</v>
      </c>
      <c r="P23" s="17">
        <f t="shared" si="5"/>
        <v>0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0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0</v>
      </c>
      <c r="D30" s="76">
        <f>_xlfn.XLOOKUP($J$7,REALIZADO[CONSULTOR],REALIZADO[AT_MOVEL])</f>
        <v>0</v>
      </c>
      <c r="E30" s="48">
        <f>IFERROR(D30/C30,0)</f>
        <v>0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0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0</v>
      </c>
      <c r="K30" s="75">
        <f>SUMIFS(REALIZADO[META_MOVEL],REALIZADO[PDV],MASTERPLACE!$M$7)</f>
        <v>14950</v>
      </c>
      <c r="L30" s="76">
        <f>SUMIFS(REALIZADO[AT_MOVEL],REALIZADO[PDV],MASTERPLACE!$M$7)</f>
        <v>1752</v>
      </c>
      <c r="M30" s="48">
        <f>IFERROR(L30/K30,0)</f>
        <v>0.11719063545150502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0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0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SUMIFS(REALIZADO[META_FIXA],REALIZADO[PDV],MASTERPLACE!$M$7)</f>
        <v>8299.9998000000014</v>
      </c>
      <c r="L31" s="76">
        <f>SUMIFS(REALIZADO[AT_FIXA],REALIZADO[PDV],MASTERPLACE!$M$7)</f>
        <v>1450</v>
      </c>
      <c r="M31" s="49">
        <f t="shared" ref="M31:M32" si="12">IFERROR(L31/K31,0)</f>
        <v>0.17469879939033248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0</v>
      </c>
      <c r="D32" s="76">
        <f>_xlfn.XLOOKUP($J$7,REALIZADO[CONSULTOR],REALIZADO[AT_SMARTPHONE])</f>
        <v>0</v>
      </c>
      <c r="E32" s="49">
        <f>IFERROR(D32/C32,0)</f>
        <v>0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</v>
      </c>
      <c r="I32" s="64">
        <f t="shared" si="8"/>
        <v>0</v>
      </c>
      <c r="J32" s="64">
        <f t="shared" si="11"/>
        <v>0</v>
      </c>
      <c r="K32" s="52">
        <f>SUMIFS(REALIZADO[META_SMARTPHONE],REALIZADO[PDV],MASTERPLACE!$M$7)</f>
        <v>265000.00020000001</v>
      </c>
      <c r="L32" s="77">
        <f>SUMIFS(REALIZADO[AT_SMARTPHONE],REALIZADO[PDV],MASTERPLACE!$M$7)</f>
        <v>15346</v>
      </c>
      <c r="M32" s="49">
        <f t="shared" si="12"/>
        <v>5.7909433918558913E-2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0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SUMIFS(REALIZADO[META_ACESSORIO],REALIZADO[PDV],MASTERPLACE!$M$7)</f>
        <v>23500.000200000002</v>
      </c>
      <c r="L33" s="86">
        <f>SUMIFS(REALIZADO[AT_ACESSORIOS_A],REALIZADO[PDV],MASTERPLACE!$M$7)</f>
        <v>0</v>
      </c>
      <c r="M33" s="114">
        <f>IFERROR((L33+L34)/K33,0)</f>
        <v>0.1806808495261204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SUMIFS(REALIZADO[AT_ACESSORIOS_B],REALIZADO[PDV],MASTERPLACE!$M$7)</f>
        <v>4246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0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SUMIFS(REALIZADO[META_ESSENCIAIS],REALIZADO[PDV],MASTERPLACE!$M$7)</f>
        <v>12299.999999999998</v>
      </c>
      <c r="L35" s="86">
        <f>SUMIFS(REALIZADO[AT_ESSENCIAIS_A],REALIZADO[PDV],MASTERPLACE!$M$7)</f>
        <v>420.55</v>
      </c>
      <c r="M35" s="114">
        <f>IFERROR((L35+L36)/K35,0)</f>
        <v>0.10524796747967481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SUMIFS(REALIZADO[AT_ESSENCIAIS_B],REALIZADO[PDV],MASTERPLACE!$M$7)</f>
        <v>874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0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SUMIFS(REALIZADO[META_SEGUROS],REALIZADO[PDV],MASTERPLACE!$M$7)</f>
        <v>1599.9999999999998</v>
      </c>
      <c r="L37" s="78">
        <f>SUMIFS(REALIZADO[AT_SEGUROS],REALIZADO[PDV],MASTERPLACE!$M$7)</f>
        <v>69.8</v>
      </c>
      <c r="M37" s="49">
        <f t="shared" ref="M37:M38" si="14">IFERROR(L37/K37,0)</f>
        <v>4.3625000000000004E-2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0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SUMIFS(REALIZADO[META_SVA],REALIZADO[PDV],MASTERPLACE!$M$7)</f>
        <v>1450.0001999999999</v>
      </c>
      <c r="L38" s="76">
        <f>SUMIFS(REALIZADO[AT_SVA],REALIZADO[PDV],MASTERPLACE!$M$7)</f>
        <v>100.77</v>
      </c>
      <c r="M38" s="50">
        <f t="shared" si="14"/>
        <v>6.9496542138407974E-2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0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605.26</v>
      </c>
      <c r="D45" s="53"/>
      <c r="E45" s="48">
        <f>IFERROR(D45/C45,0)</f>
        <v>0</v>
      </c>
      <c r="F45" s="8">
        <f>VLOOKUP($E$45,FATORES!$I$4:$K$6,3)</f>
        <v>0.01</v>
      </c>
      <c r="G45" s="8">
        <f>IFERROR(VLOOKUP($E$45,FATORES!$I$7:$K$8,3),0)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2">
        <v>14950</v>
      </c>
      <c r="L45" s="53">
        <v>11821.49</v>
      </c>
      <c r="M45" s="48">
        <f>IFERROR(L45/K45,0)</f>
        <v>0.79073511705685617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0</v>
      </c>
    </row>
    <row r="46" spans="2:20" x14ac:dyDescent="0.3">
      <c r="B46" s="45" t="s">
        <v>13</v>
      </c>
      <c r="C46" s="54">
        <v>4</v>
      </c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8300</v>
      </c>
      <c r="L46" s="55">
        <v>7753.9</v>
      </c>
      <c r="M46" s="49">
        <f t="shared" ref="M46:M53" si="20">IFERROR(L46/K46,0)</f>
        <v>0.93420481927710841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10728.74</v>
      </c>
      <c r="D47" s="55"/>
      <c r="E47" s="49">
        <f>IFERROR(D47/C47,0)</f>
        <v>0</v>
      </c>
      <c r="F47" s="12">
        <f>VLOOKUP($E$47,FATORES!$B$25:$D$26,3)</f>
        <v>5.0000000000000001E-4</v>
      </c>
      <c r="G47" s="12">
        <f>IFERROR(VLOOKUP($E$47,FATORES!$B$27:$D$27,3),0)</f>
        <v>0</v>
      </c>
      <c r="H47" s="64">
        <f t="shared" si="18"/>
        <v>0</v>
      </c>
      <c r="I47" s="64">
        <f t="shared" si="16"/>
        <v>0</v>
      </c>
      <c r="J47" s="64">
        <f t="shared" si="19"/>
        <v>0</v>
      </c>
      <c r="K47" s="54">
        <v>259000</v>
      </c>
      <c r="L47" s="55">
        <v>282218</v>
      </c>
      <c r="M47" s="49">
        <f t="shared" si="20"/>
        <v>1.0896447876447877</v>
      </c>
      <c r="N47" s="12">
        <f>IF($M$47&gt;=FATORES!$B$28,FATORES!$D$28,0)</f>
        <v>2.5000000000000001E-3</v>
      </c>
      <c r="O47" s="88">
        <f t="shared" si="17"/>
        <v>0</v>
      </c>
      <c r="P47" s="13">
        <f t="shared" si="21"/>
        <v>0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951.42</v>
      </c>
      <c r="D48" s="55"/>
      <c r="E48" s="114">
        <f>IFERROR((D48+D49)/C48,0)</f>
        <v>0</v>
      </c>
      <c r="F48" s="12">
        <f>VLOOKUP($E$48,FATORES!$B$16:$E$18,3)</f>
        <v>1E-3</v>
      </c>
      <c r="G48" s="12">
        <f>IFERROR(VLOOKUP($E$48,FATORES!$B$19:$E$20,3),0)</f>
        <v>0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>
        <v>22500</v>
      </c>
      <c r="L48" s="55">
        <v>28155</v>
      </c>
      <c r="M48" s="114">
        <f>IFERROR((L48+L49)/K48,0)</f>
        <v>1.2513333333333334</v>
      </c>
      <c r="N48" s="12">
        <f>IF($M$48&gt;=FATORES!$B$21,FATORES!$D$21,0)</f>
        <v>5.0000000000000001E-3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5.0000000000000001E-4</v>
      </c>
      <c r="G49" s="12">
        <f>IFERROR(VLOOKUP($E$48,FATORES!$B$19:$E$20,4),0)</f>
        <v>0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/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497.98</v>
      </c>
      <c r="D50" s="55"/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v>6000</v>
      </c>
      <c r="L50" s="55">
        <v>10974</v>
      </c>
      <c r="M50" s="114">
        <f>IFERROR((L50+L51)/K50,0)</f>
        <v>1.829</v>
      </c>
      <c r="N50" s="12">
        <f>IF($M$50&gt;=FATORES!$B$11,FATORES!D11,0)</f>
        <v>1.4999999999999999E-2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/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0</v>
      </c>
      <c r="I51" s="64">
        <f t="shared" si="16"/>
        <v>0</v>
      </c>
      <c r="J51" s="64">
        <f t="shared" si="19"/>
        <v>0</v>
      </c>
      <c r="K51" s="113"/>
      <c r="L51" s="55"/>
      <c r="M51" s="114"/>
      <c r="N51" s="12">
        <f>IF($M$50&gt;=FATORES!$B$11,FATORES!$E$11,0)</f>
        <v>0.01</v>
      </c>
      <c r="O51" s="88">
        <f t="shared" si="17"/>
        <v>0</v>
      </c>
      <c r="P51" s="13">
        <f t="shared" si="21"/>
        <v>0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64.78</v>
      </c>
      <c r="D52" s="55"/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0</v>
      </c>
      <c r="I52" s="64">
        <f t="shared" si="16"/>
        <v>0</v>
      </c>
      <c r="J52" s="64">
        <f t="shared" si="19"/>
        <v>0</v>
      </c>
      <c r="K52" s="54">
        <v>1600</v>
      </c>
      <c r="L52" s="55">
        <v>1514</v>
      </c>
      <c r="M52" s="49">
        <f t="shared" si="20"/>
        <v>0.94625000000000004</v>
      </c>
      <c r="N52" s="12">
        <f>IF($M$52&gt;=FATORES!$O$9,FATORES!$Q$9,0)</f>
        <v>0</v>
      </c>
      <c r="O52" s="88">
        <f t="shared" si="17"/>
        <v>0</v>
      </c>
      <c r="P52" s="13">
        <f t="shared" si="21"/>
        <v>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58.78</v>
      </c>
      <c r="D53" s="57"/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0</v>
      </c>
      <c r="I53" s="64">
        <f t="shared" si="16"/>
        <v>0</v>
      </c>
      <c r="J53" s="16">
        <f t="shared" si="19"/>
        <v>0</v>
      </c>
      <c r="K53" s="56">
        <v>1400</v>
      </c>
      <c r="L53" s="57">
        <v>1016.68</v>
      </c>
      <c r="M53" s="50">
        <f t="shared" si="20"/>
        <v>0.72619999999999996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0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0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SeJ9TUWJvu/1L3ryKh8jX0vsunlGarOhyOvCYFWRDxvK5vmpqxCY+cdkFx/rZhDfwbWa2p4qMTtOQboZC2Tf9g==" saltValue="YVETZWl+0QemHS3rkEc4Xg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199" priority="22" operator="between">
      <formula>0.7</formula>
      <formula>1</formula>
    </cfRule>
    <cfRule type="cellIs" dxfId="198" priority="23" operator="greaterThanOrEqual">
      <formula>1</formula>
    </cfRule>
    <cfRule type="cellIs" dxfId="197" priority="24" operator="lessThan">
      <formula>0.7</formula>
    </cfRule>
  </conditionalFormatting>
  <conditionalFormatting sqref="E30:E33 E35 E37:E38">
    <cfRule type="cellIs" dxfId="196" priority="10" operator="between">
      <formula>0.7</formula>
      <formula>1</formula>
    </cfRule>
    <cfRule type="cellIs" dxfId="195" priority="11" operator="greaterThanOrEqual">
      <formula>1</formula>
    </cfRule>
    <cfRule type="cellIs" dxfId="194" priority="12" operator="lessThan">
      <formula>0.7</formula>
    </cfRule>
  </conditionalFormatting>
  <conditionalFormatting sqref="E45:E48 E50 E52:E53">
    <cfRule type="cellIs" dxfId="193" priority="34" operator="between">
      <formula>0.7</formula>
      <formula>1</formula>
    </cfRule>
    <cfRule type="cellIs" dxfId="192" priority="35" operator="greaterThanOrEqual">
      <formula>1</formula>
    </cfRule>
    <cfRule type="cellIs" dxfId="191" priority="36" operator="lessThan">
      <formula>0.7</formula>
    </cfRule>
  </conditionalFormatting>
  <conditionalFormatting sqref="M15:M18">
    <cfRule type="cellIs" dxfId="190" priority="16" operator="between">
      <formula>0.7</formula>
      <formula>1</formula>
    </cfRule>
    <cfRule type="cellIs" dxfId="189" priority="17" operator="greaterThanOrEqual">
      <formula>1</formula>
    </cfRule>
    <cfRule type="cellIs" dxfId="188" priority="18" operator="lessThan">
      <formula>0.7</formula>
    </cfRule>
  </conditionalFormatting>
  <conditionalFormatting sqref="M20">
    <cfRule type="cellIs" dxfId="187" priority="13" operator="between">
      <formula>0.7</formula>
      <formula>1</formula>
    </cfRule>
    <cfRule type="cellIs" dxfId="186" priority="14" operator="greaterThanOrEqual">
      <formula>1</formula>
    </cfRule>
    <cfRule type="cellIs" dxfId="185" priority="15" operator="lessThan">
      <formula>0.7</formula>
    </cfRule>
  </conditionalFormatting>
  <conditionalFormatting sqref="M22:M23">
    <cfRule type="cellIs" dxfId="184" priority="19" operator="between">
      <formula>0.7</formula>
      <formula>1</formula>
    </cfRule>
    <cfRule type="cellIs" dxfId="183" priority="20" operator="greaterThanOrEqual">
      <formula>1</formula>
    </cfRule>
    <cfRule type="cellIs" dxfId="182" priority="21" operator="lessThan">
      <formula>0.7</formula>
    </cfRule>
  </conditionalFormatting>
  <conditionalFormatting sqref="M30:M33">
    <cfRule type="cellIs" dxfId="181" priority="4" operator="between">
      <formula>0.7</formula>
      <formula>1</formula>
    </cfRule>
    <cfRule type="cellIs" dxfId="180" priority="5" operator="greaterThanOrEqual">
      <formula>1</formula>
    </cfRule>
    <cfRule type="cellIs" dxfId="179" priority="6" operator="lessThan">
      <formula>0.7</formula>
    </cfRule>
  </conditionalFormatting>
  <conditionalFormatting sqref="M35">
    <cfRule type="cellIs" dxfId="178" priority="1" operator="between">
      <formula>0.7</formula>
      <formula>1</formula>
    </cfRule>
    <cfRule type="cellIs" dxfId="177" priority="2" operator="greaterThanOrEqual">
      <formula>1</formula>
    </cfRule>
    <cfRule type="cellIs" dxfId="176" priority="3" operator="lessThan">
      <formula>0.7</formula>
    </cfRule>
  </conditionalFormatting>
  <conditionalFormatting sqref="M37:M38">
    <cfRule type="cellIs" dxfId="175" priority="7" operator="between">
      <formula>0.7</formula>
      <formula>1</formula>
    </cfRule>
    <cfRule type="cellIs" dxfId="174" priority="8" operator="greaterThanOrEqual">
      <formula>1</formula>
    </cfRule>
    <cfRule type="cellIs" dxfId="173" priority="9" operator="lessThan">
      <formula>0.7</formula>
    </cfRule>
  </conditionalFormatting>
  <conditionalFormatting sqref="M45:M48">
    <cfRule type="cellIs" dxfId="172" priority="28" operator="between">
      <formula>0.7</formula>
      <formula>1</formula>
    </cfRule>
    <cfRule type="cellIs" dxfId="171" priority="29" operator="greaterThanOrEqual">
      <formula>1</formula>
    </cfRule>
    <cfRule type="cellIs" dxfId="170" priority="30" operator="lessThan">
      <formula>0.7</formula>
    </cfRule>
  </conditionalFormatting>
  <conditionalFormatting sqref="M50">
    <cfRule type="cellIs" dxfId="169" priority="25" operator="between">
      <formula>0.7</formula>
      <formula>1</formula>
    </cfRule>
    <cfRule type="cellIs" dxfId="168" priority="26" operator="greaterThanOrEqual">
      <formula>1</formula>
    </cfRule>
    <cfRule type="cellIs" dxfId="167" priority="27" operator="lessThan">
      <formula>0.7</formula>
    </cfRule>
  </conditionalFormatting>
  <conditionalFormatting sqref="M52:M53">
    <cfRule type="cellIs" dxfId="166" priority="31" operator="between">
      <formula>0.7</formula>
      <formula>1</formula>
    </cfRule>
    <cfRule type="cellIs" dxfId="165" priority="32" operator="greaterThanOrEqual">
      <formula>1</formula>
    </cfRule>
    <cfRule type="cellIs" dxfId="164" priority="33" operator="lessThan">
      <formula>0.7</formula>
    </cfRule>
  </conditionalFormatting>
  <dataValidations count="1">
    <dataValidation type="list" allowBlank="1" showInputMessage="1" showErrorMessage="1" sqref="B8:H8" xr:uid="{BD56A9F2-4D67-4157-8249-6D32CD7F4D9C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510188-9723-4C69-8371-B5B956E98C75}">
          <x14:formula1>
            <xm:f>HC!$W$2:$W$9</xm:f>
          </x14:formula1>
          <xm:sqref>J7:K7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B87C-6598-42A9-AAF2-8F7A15C8083F}">
  <dimension ref="B1:X54"/>
  <sheetViews>
    <sheetView workbookViewId="0">
      <selection activeCell="J7" sqref="J7:K7"/>
    </sheetView>
  </sheetViews>
  <sheetFormatPr defaultRowHeight="14.4" x14ac:dyDescent="0.3"/>
  <cols>
    <col min="1" max="1" width="2" customWidth="1"/>
    <col min="2" max="3" width="16" bestFit="1" customWidth="1"/>
    <col min="4" max="4" width="17.77734375" bestFit="1" customWidth="1"/>
    <col min="5" max="5" width="13.44140625" bestFit="1" customWidth="1"/>
    <col min="6" max="6" width="13.5546875" bestFit="1" customWidth="1"/>
    <col min="7" max="7" width="22.5546875" customWidth="1"/>
    <col min="8" max="8" width="16" customWidth="1"/>
    <col min="9" max="10" width="20.77734375" customWidth="1"/>
    <col min="11" max="11" width="16" bestFit="1" customWidth="1"/>
    <col min="12" max="12" width="16.77734375" bestFit="1" customWidth="1"/>
    <col min="13" max="13" width="11.21875" bestFit="1" customWidth="1"/>
    <col min="14" max="14" width="23.44140625" customWidth="1"/>
    <col min="15" max="15" width="27.44140625" customWidth="1"/>
    <col min="16" max="16" width="22.21875" customWidth="1"/>
    <col min="17" max="19" width="12.77734375" bestFit="1" customWidth="1"/>
    <col min="20" max="20" width="17.777343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83</v>
      </c>
      <c r="K7" s="179"/>
      <c r="M7" s="178" t="s">
        <v>29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4333.3333000000002</v>
      </c>
      <c r="D15" s="76">
        <f>_xlfn.XLOOKUP($J$7,PROJEÇÃO[CONSULTOR],PROJEÇÃO[PROJ_MOVEL])</f>
        <v>4259.9900000000016</v>
      </c>
      <c r="E15" s="48">
        <f>IFERROR(D15/C15,0)</f>
        <v>0.9830746229467282</v>
      </c>
      <c r="F15" s="8">
        <f>VLOOKUP($E$15,FATORES!$I$4:$K$6,3)</f>
        <v>0.08</v>
      </c>
      <c r="G15" s="8">
        <f>IFERROR(VLOOKUP($E$15,FATORES!$I$7:$K$8,3),0)</f>
        <v>0</v>
      </c>
      <c r="H15" s="9">
        <f>D15*F15</f>
        <v>340.79920000000016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340.79920000000016</v>
      </c>
      <c r="K15" s="75">
        <f>SUMIFS(REALIZADO[META_MOVEL],REALIZADO[PDV],'BOM JESUS'!$M$7)</f>
        <v>12999.999900000001</v>
      </c>
      <c r="L15" s="76">
        <f>SUMIFS(PROJEÇÃO[PROJ_MOVEL],PROJEÇÃO[PDV],'BOM JESUS'!$M$7)</f>
        <v>13186.460000000005</v>
      </c>
      <c r="M15" s="48">
        <f>IFERROR(L15/K15,0)</f>
        <v>1.0143430847257164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340.79920000000016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589.86550000000034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SUMIFS(REALIZADO[META_FIXA],REALIZADO[PDV],'BOM JESUS'!$M$7)</f>
        <v>0</v>
      </c>
      <c r="L16" s="76">
        <f>SUMIFS(PROJEÇÃO[PROJ_FIXA],PROJEÇÃO[PDV],'BOM JESUS'!$M$7)</f>
        <v>0</v>
      </c>
      <c r="M16" s="49">
        <f t="shared" ref="M16:M17" si="4">IFERROR(L16/K16,0)</f>
        <v>0</v>
      </c>
      <c r="N16" s="12">
        <f>IF($M$17&gt;=FATORES!$I$17,FATORES!$K$17,0)</f>
        <v>0.15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30000</v>
      </c>
      <c r="D17" s="76">
        <f>_xlfn.XLOOKUP($J$7,PROJEÇÃO[CONSULTOR],PROJEÇÃO[PROJ_APARELHO])</f>
        <v>29234.000000000015</v>
      </c>
      <c r="E17" s="49">
        <f>IFERROR(D17/C17,0)</f>
        <v>0.97446666666666715</v>
      </c>
      <c r="F17" s="12">
        <f>VLOOKUP($E$17,FATORES!$B$25:$D$26,3)</f>
        <v>1.5E-3</v>
      </c>
      <c r="G17" s="12">
        <f>IFERROR(VLOOKUP($E$17,FATORES!$B$27:$D$27,3),0)</f>
        <v>0</v>
      </c>
      <c r="H17" s="64">
        <f t="shared" si="2"/>
        <v>43.85100000000002</v>
      </c>
      <c r="I17" s="64">
        <f t="shared" si="0"/>
        <v>0</v>
      </c>
      <c r="J17" s="64">
        <f t="shared" si="3"/>
        <v>43.85100000000002</v>
      </c>
      <c r="K17" s="52">
        <f>SUMIFS(REALIZADO[META_SMARTPHONE],REALIZADO[PDV],'BOM JESUS'!$M$7)</f>
        <v>90000</v>
      </c>
      <c r="L17" s="77">
        <f>SUMIFS(PROJEÇÃO[PROJ_APARELHO],PROJEÇÃO[PDV],'BOM JESUS'!$M$7)</f>
        <v>92693.000000000044</v>
      </c>
      <c r="M17" s="49">
        <f t="shared" si="4"/>
        <v>1.0299222222222226</v>
      </c>
      <c r="N17" s="12">
        <f>IF($M$17&gt;=FATORES!$B$28,FATORES!$D$28,0)</f>
        <v>2.5000000000000001E-3</v>
      </c>
      <c r="O17" s="88">
        <f t="shared" si="1"/>
        <v>0</v>
      </c>
      <c r="P17" s="13">
        <f t="shared" si="5"/>
        <v>43.85100000000002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3566.6667000000002</v>
      </c>
      <c r="D18" s="77">
        <f>_xlfn.XLOOKUP($J$7,PROJEÇÃO[CONSULTOR],PROJEÇÃO[PROJ_ELETRO_A])</f>
        <v>199.00000000000009</v>
      </c>
      <c r="E18" s="140">
        <f>IFERROR((D18+D19)/C18,0)</f>
        <v>1.2930841000646349</v>
      </c>
      <c r="F18" s="12">
        <f>VLOOKUP($E$18,FATORES!$B$16:$E$18,3)</f>
        <v>3.0000000000000001E-3</v>
      </c>
      <c r="G18" s="12">
        <f>IFERROR(VLOOKUP($E$18,FATORES!$B$19:$E$20,3),0)</f>
        <v>1.2E-2</v>
      </c>
      <c r="H18" s="64">
        <f t="shared" si="2"/>
        <v>0.59700000000000031</v>
      </c>
      <c r="I18" s="64">
        <f t="shared" si="0"/>
        <v>2.3880000000000012</v>
      </c>
      <c r="J18" s="64">
        <f t="shared" si="3"/>
        <v>2.9850000000000017</v>
      </c>
      <c r="K18" s="141">
        <f>SUMIFS(REALIZADO[META_ACESSORIO],REALIZADO[PDV],'BOM JESUS'!$M$7)</f>
        <v>10700.000100000001</v>
      </c>
      <c r="L18" s="86">
        <f>SUMIFS(PROJEÇÃO[PROJ_ELETRO_A],PROJEÇÃO[PDV],'BOM JESUS'!$M$7)</f>
        <v>199.00000000000009</v>
      </c>
      <c r="M18" s="114">
        <f>IFERROR((L18+L19)/K18,0)</f>
        <v>1.5478504528238282</v>
      </c>
      <c r="N18" s="12">
        <f>IF($M$18&gt;=FATORES!$B$21,FATORES!$D$21,0)</f>
        <v>5.0000000000000001E-3</v>
      </c>
      <c r="O18" s="88">
        <f t="shared" si="1"/>
        <v>0.99500000000000044</v>
      </c>
      <c r="P18" s="13">
        <f t="shared" si="5"/>
        <v>3.9800000000000022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4413.0000000000018</v>
      </c>
      <c r="E19" s="140"/>
      <c r="F19" s="12">
        <f>VLOOKUP($E$18,FATORES!$B$16:$E$18,4)</f>
        <v>1.5E-3</v>
      </c>
      <c r="G19" s="12">
        <f>IFERROR(VLOOKUP($E$18,FATORES!$B$19:$E$20,4),0)</f>
        <v>6.0000000000000001E-3</v>
      </c>
      <c r="H19" s="64">
        <f t="shared" si="2"/>
        <v>6.619500000000003</v>
      </c>
      <c r="I19" s="64">
        <f t="shared" si="0"/>
        <v>26.478000000000012</v>
      </c>
      <c r="J19" s="64">
        <f t="shared" si="3"/>
        <v>33.097500000000018</v>
      </c>
      <c r="K19" s="142"/>
      <c r="L19" s="87">
        <f>SUMIFS(PROJEÇÃO[PROJ_ELETRO_B],PROJEÇÃO[PDV],'BOM JESUS'!$M$7)</f>
        <v>16363.000000000007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33.097500000000018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2850</v>
      </c>
      <c r="D20" s="77">
        <f>_xlfn.XLOOKUP($J$7,PROJEÇÃO[CONSULTOR],PROJEÇÃO[PROJ_ESSEN_A])</f>
        <v>1781.0000000000007</v>
      </c>
      <c r="E20" s="140">
        <f>IFERROR((D20+D21)/C20,0)</f>
        <v>1.159649122807018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26.715000000000011</v>
      </c>
      <c r="I20" s="64">
        <f t="shared" si="0"/>
        <v>71.240000000000023</v>
      </c>
      <c r="J20" s="64">
        <f t="shared" si="3"/>
        <v>97.955000000000041</v>
      </c>
      <c r="K20" s="141">
        <f>SUMIFS(REALIZADO[META_ESSENCIAIS],REALIZADO[PDV],'BOM JESUS'!$M$7)</f>
        <v>8550</v>
      </c>
      <c r="L20" s="86">
        <f>SUMIFS(PROJEÇÃO[PROJ_ESSEN_A],PROJEÇÃO[PDV],'BOM JESUS'!$M$7)</f>
        <v>4404.0000000000018</v>
      </c>
      <c r="M20" s="114">
        <f>IFERROR((L20+L21)/K20,0)</f>
        <v>1.1210526315789477</v>
      </c>
      <c r="N20" s="12">
        <f>IF($M$20&gt;=FATORES!$B$11,FATORES!$D$11,0)</f>
        <v>1.4999999999999999E-2</v>
      </c>
      <c r="O20" s="88">
        <f t="shared" si="1"/>
        <v>26.715000000000011</v>
      </c>
      <c r="P20" s="13">
        <f t="shared" si="5"/>
        <v>124.67000000000004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1524.0000000000007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15.240000000000007</v>
      </c>
      <c r="I21" s="64">
        <f t="shared" si="0"/>
        <v>22.86000000000001</v>
      </c>
      <c r="J21" s="64">
        <f t="shared" si="3"/>
        <v>38.100000000000016</v>
      </c>
      <c r="K21" s="142"/>
      <c r="L21" s="87">
        <f>SUMIFS(PROJEÇÃO[PROJ_ESSEN_B],PROJEÇÃO[PDV],'BOM JESUS'!$M$7)</f>
        <v>5181.0000000000018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38.100000000000016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333.33330000000001</v>
      </c>
      <c r="D22" s="81">
        <f>_xlfn.XLOOKUP($J$7,PROJEÇÃO[CONSULTOR],PROJEÇÃO[PROJ_SEGURO])</f>
        <v>254.60000000000016</v>
      </c>
      <c r="E22" s="83">
        <f>IFERROR(D22/C22,0)</f>
        <v>0.76380007638000813</v>
      </c>
      <c r="F22" s="83">
        <f>VLOOKUP($E$22,FATORES!$O$4:$Q$6,3)</f>
        <v>0.01</v>
      </c>
      <c r="G22" s="12">
        <f>IFERROR(VLOOKUP($E$22,FATORES!$O$7:$Q$8,3),0)</f>
        <v>0</v>
      </c>
      <c r="H22" s="64">
        <f t="shared" si="2"/>
        <v>2.5460000000000016</v>
      </c>
      <c r="I22" s="64">
        <f t="shared" si="0"/>
        <v>0</v>
      </c>
      <c r="J22" s="64">
        <f t="shared" si="3"/>
        <v>2.5460000000000016</v>
      </c>
      <c r="K22" s="56">
        <f>SUMIFS(REALIZADO[META_SEGUROS],REALIZADO[PDV],'BOM JESUS'!$M$7)</f>
        <v>999.99990000000003</v>
      </c>
      <c r="L22" s="78">
        <f>SUMIFS(PROJEÇÃO[PROJ_SEGURO],PROJEÇÃO[PDV],'BOM JESUS'!$M$7)</f>
        <v>1010.4000000000003</v>
      </c>
      <c r="M22" s="49">
        <f t="shared" ref="M22:M23" si="6">IFERROR(L22/K22,0)</f>
        <v>1.0104001010400103</v>
      </c>
      <c r="N22" s="12">
        <f>IF($M$22&gt;=FATORES!$O$9,FATORES!$Q$9,0)</f>
        <v>0.1</v>
      </c>
      <c r="O22" s="88">
        <f t="shared" si="1"/>
        <v>0</v>
      </c>
      <c r="P22" s="13">
        <f t="shared" si="5"/>
        <v>2.5460000000000016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283.33330000000001</v>
      </c>
      <c r="D23" s="57">
        <f>_xlfn.XLOOKUP($J$7,PROJEÇÃO[CONSULTOR],PROJEÇÃO[PROJ_SVA])</f>
        <v>282.18000000000012</v>
      </c>
      <c r="E23" s="82">
        <f>IFERROR(D23/C23,0)</f>
        <v>0.99592952893288611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2.8218000000000014</v>
      </c>
      <c r="I23" s="64">
        <f t="shared" si="0"/>
        <v>0</v>
      </c>
      <c r="J23" s="16">
        <f t="shared" si="3"/>
        <v>2.8218000000000014</v>
      </c>
      <c r="K23" s="75">
        <f>SUMIFS(REALIZADO[META_SVA],REALIZADO[PDV],'BOM JESUS'!$M$7)</f>
        <v>849.99990000000003</v>
      </c>
      <c r="L23" s="76">
        <f>SUMIFS(PROJEÇÃO[PROJ_SVA],PROJEÇÃO[PDV],'BOM JESUS'!$M$7)</f>
        <v>864.29000000000042</v>
      </c>
      <c r="M23" s="50">
        <f t="shared" si="6"/>
        <v>1.0168118843308105</v>
      </c>
      <c r="N23" s="15">
        <f>IF($M$23&gt;=FATORES!$O$17,FATORES!$Q$17,0)</f>
        <v>0.01</v>
      </c>
      <c r="O23" s="88">
        <f t="shared" si="1"/>
        <v>0</v>
      </c>
      <c r="P23" s="17">
        <f t="shared" si="5"/>
        <v>2.8218000000000014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589.86550000000034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4333.3333000000002</v>
      </c>
      <c r="D30" s="76">
        <f>_xlfn.XLOOKUP($J$7,REALIZADO[CONSULTOR],REALIZADO[AT_MOVEL])</f>
        <v>444.99</v>
      </c>
      <c r="E30" s="48">
        <f>IFERROR(D30/C30,0)</f>
        <v>0.10269000078992307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4.4499000000000004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4.4499000000000004</v>
      </c>
      <c r="K30" s="75">
        <f>SUMIFS(REALIZADO[META_MOVEL],REALIZADO[PDV],'BOM JESUS'!$M$7)</f>
        <v>12999.999900000001</v>
      </c>
      <c r="L30" s="76">
        <f>SUMIFS(REALIZADO[AT_MOVEL],REALIZADO[PDV],'BOM JESUS'!$M$7)</f>
        <v>1369.99</v>
      </c>
      <c r="M30" s="48">
        <f>IFERROR(L30/K30,0)</f>
        <v>0.10538384696449113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4.4499000000000004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9.7459000000000007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SUMIFS(REALIZADO[META_FIXA],REALIZADO[PDV],'BOM JESUS'!$M$7)</f>
        <v>0</v>
      </c>
      <c r="L31" s="76">
        <f>SUMIFS(REALIZADO[AT_FIXA],REALIZADO[PDV],'BOM JESUS'!$M$7)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30000</v>
      </c>
      <c r="D32" s="76">
        <f>_xlfn.XLOOKUP($J$7,REALIZADO[CONSULTOR],REALIZADO[AT_SMARTPHONE])</f>
        <v>5048</v>
      </c>
      <c r="E32" s="49">
        <f>IFERROR(D32/C32,0)</f>
        <v>0.16826666666666668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2.524</v>
      </c>
      <c r="I32" s="64">
        <f t="shared" si="8"/>
        <v>0</v>
      </c>
      <c r="J32" s="64">
        <f t="shared" si="11"/>
        <v>2.524</v>
      </c>
      <c r="K32" s="52">
        <f>SUMIFS(REALIZADO[META_SMARTPHONE],REALIZADO[PDV],'BOM JESUS'!$M$7)</f>
        <v>90000</v>
      </c>
      <c r="L32" s="77">
        <f>SUMIFS(REALIZADO[AT_SMARTPHONE],REALIZADO[PDV],'BOM JESUS'!$M$7)</f>
        <v>23443</v>
      </c>
      <c r="M32" s="49">
        <f t="shared" si="12"/>
        <v>0.26047777777777775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2.524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3566.6667000000002</v>
      </c>
      <c r="D33" s="77">
        <f>_xlfn.XLOOKUP($J$7,REALIZADO[CONSULTOR],REALIZADO[AT_ACESSORIOS_A])</f>
        <v>0</v>
      </c>
      <c r="E33" s="140">
        <f>IFERROR((D33+D34)/C33,0)</f>
        <v>0.4872897150720587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SUMIFS(REALIZADO[META_ACESSORIO],REALIZADO[PDV],'BOM JESUS'!$M$7)</f>
        <v>10700.000100000001</v>
      </c>
      <c r="L33" s="86">
        <f>SUMIFS(REALIZADO[AT_ACESSORIOS_A],REALIZADO[PDV],'BOM JESUS'!$M$7)</f>
        <v>0</v>
      </c>
      <c r="M33" s="114">
        <f>IFERROR((L33+L34)/K33,0)</f>
        <v>0.5490654154292951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1738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0.86899999999999999</v>
      </c>
      <c r="I34" s="64">
        <f t="shared" si="8"/>
        <v>0</v>
      </c>
      <c r="J34" s="64">
        <f t="shared" si="11"/>
        <v>0.86899999999999999</v>
      </c>
      <c r="K34" s="142"/>
      <c r="L34" s="87">
        <f>SUMIFS(REALIZADO[AT_ACESSORIOS_B],REALIZADO[PDV],'BOM JESUS'!$M$7)</f>
        <v>5875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0.86899999999999999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2850</v>
      </c>
      <c r="D35" s="77">
        <f>_xlfn.XLOOKUP($J$7,REALIZADO[CONSULTOR],REALIZADO[AT_ESSENCIAIS_A])</f>
        <v>178</v>
      </c>
      <c r="E35" s="140">
        <f>IFERROR((D35+D36)/C35,0)</f>
        <v>0.13543859649122808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0.89</v>
      </c>
      <c r="I35" s="64">
        <f t="shared" si="8"/>
        <v>0</v>
      </c>
      <c r="J35" s="64">
        <f t="shared" si="11"/>
        <v>0.89</v>
      </c>
      <c r="K35" s="141">
        <f>SUMIFS(REALIZADO[META_ESSENCIAIS],REALIZADO[PDV],'BOM JESUS'!$M$7)</f>
        <v>8550</v>
      </c>
      <c r="L35" s="86">
        <f>SUMIFS(REALIZADO[AT_ESSENCIAIS_A],REALIZADO[PDV],'BOM JESUS'!$M$7)</f>
        <v>1069</v>
      </c>
      <c r="M35" s="114">
        <f>IFERROR((L35+L36)/K35,0)</f>
        <v>0.26163742690058478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0.89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208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0.41600000000000004</v>
      </c>
      <c r="I36" s="64">
        <f t="shared" si="8"/>
        <v>0</v>
      </c>
      <c r="J36" s="64">
        <f t="shared" si="11"/>
        <v>0.41600000000000004</v>
      </c>
      <c r="K36" s="142"/>
      <c r="L36" s="87">
        <f>SUMIFS(REALIZADO[AT_ESSENCIAIS_B],REALIZADO[PDV],'BOM JESUS'!$M$7)</f>
        <v>1168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0.41600000000000004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333.33330000000001</v>
      </c>
      <c r="D37" s="81">
        <f>_xlfn.XLOOKUP($J$7,REALIZADO[CONSULTOR],REALIZADO[AT_SEGUROS])</f>
        <v>33.799999999999997</v>
      </c>
      <c r="E37" s="83">
        <f>IFERROR(D37/C37,0)</f>
        <v>0.10140001014000101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0.33799999999999997</v>
      </c>
      <c r="I37" s="64">
        <f t="shared" si="8"/>
        <v>0</v>
      </c>
      <c r="J37" s="64">
        <f t="shared" si="11"/>
        <v>0.33799999999999997</v>
      </c>
      <c r="K37" s="56">
        <f>SUMIFS(REALIZADO[META_SEGUROS],REALIZADO[PDV],'BOM JESUS'!$M$7)</f>
        <v>999.99990000000003</v>
      </c>
      <c r="L37" s="78">
        <f>SUMIFS(REALIZADO[AT_SEGUROS],REALIZADO[PDV],'BOM JESUS'!$M$7)</f>
        <v>85.6</v>
      </c>
      <c r="M37" s="49">
        <f t="shared" ref="M37:M38" si="14">IFERROR(L37/K37,0)</f>
        <v>8.5600008560000843E-2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0.33799999999999997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283.33330000000001</v>
      </c>
      <c r="D38" s="57">
        <f>_xlfn.XLOOKUP($J$7,REALIZADO[CONSULTOR],REALIZADO[AT_SVA])</f>
        <v>25.9</v>
      </c>
      <c r="E38" s="82">
        <f>IFERROR(D38/C38,0)</f>
        <v>9.1411775460208872E-2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0.25900000000000001</v>
      </c>
      <c r="I38" s="64">
        <f t="shared" si="8"/>
        <v>0</v>
      </c>
      <c r="J38" s="16">
        <f t="shared" si="11"/>
        <v>0.25900000000000001</v>
      </c>
      <c r="K38" s="75">
        <f>SUMIFS(REALIZADO[META_SVA],REALIZADO[PDV],'BOM JESUS'!$M$7)</f>
        <v>849.99990000000003</v>
      </c>
      <c r="L38" s="76">
        <f>SUMIFS(REALIZADO[AT_SVA],REALIZADO[PDV],'BOM JESUS'!$M$7)</f>
        <v>70.900000000000006</v>
      </c>
      <c r="M38" s="50">
        <f t="shared" si="14"/>
        <v>8.3411774519032297E-2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0.25900000000000001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9.7459000000000007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2266</v>
      </c>
      <c r="D45" s="53">
        <v>2548</v>
      </c>
      <c r="E45" s="48">
        <f>IFERROR(D45/C45,0)</f>
        <v>1.1244483671668137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203.84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382.2</v>
      </c>
      <c r="J45" s="9">
        <f>H45+I45</f>
        <v>586.04</v>
      </c>
      <c r="K45" s="52">
        <v>13600</v>
      </c>
      <c r="L45" s="53">
        <v>12608</v>
      </c>
      <c r="M45" s="48">
        <f>IFERROR(L45/K45,0)</f>
        <v>0.92705882352941171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586.04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876.99349999999993</v>
      </c>
    </row>
    <row r="46" spans="2:20" x14ac:dyDescent="0.3">
      <c r="B46" s="45" t="s">
        <v>13</v>
      </c>
      <c r="C46" s="54">
        <v>0</v>
      </c>
      <c r="D46" s="55"/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13333</v>
      </c>
      <c r="D47" s="55">
        <v>15294</v>
      </c>
      <c r="E47" s="49">
        <f>IFERROR(D47/C47,0)</f>
        <v>1.1470786769669241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22.940999999999999</v>
      </c>
      <c r="I47" s="64">
        <f t="shared" si="16"/>
        <v>30.588000000000001</v>
      </c>
      <c r="J47" s="64">
        <f t="shared" si="19"/>
        <v>53.528999999999996</v>
      </c>
      <c r="K47" s="54">
        <v>80000</v>
      </c>
      <c r="L47" s="55">
        <v>118000</v>
      </c>
      <c r="M47" s="49">
        <f t="shared" si="20"/>
        <v>1.4750000000000001</v>
      </c>
      <c r="N47" s="12">
        <f>IF($M$47&gt;=FATORES!$B$28,FATORES!$D$28,0)</f>
        <v>2.5000000000000001E-3</v>
      </c>
      <c r="O47" s="88">
        <f t="shared" si="17"/>
        <v>38.234999999999999</v>
      </c>
      <c r="P47" s="13">
        <f t="shared" si="21"/>
        <v>91.763999999999996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916</v>
      </c>
      <c r="D48" s="55"/>
      <c r="E48" s="114">
        <f>IFERROR((D48+D49)/C48,0)</f>
        <v>3.8722707423580784</v>
      </c>
      <c r="F48" s="12">
        <f>VLOOKUP($E$48,FATORES!$B$16:$E$18,3)</f>
        <v>3.0000000000000001E-3</v>
      </c>
      <c r="G48" s="12">
        <f>IFERROR(VLOOKUP($E$48,FATORES!$B$19:$E$20,3),0)</f>
        <v>1.4E-2</v>
      </c>
      <c r="H48" s="64">
        <f t="shared" si="18"/>
        <v>0</v>
      </c>
      <c r="I48" s="64">
        <f t="shared" si="16"/>
        <v>0</v>
      </c>
      <c r="J48" s="64">
        <f t="shared" si="19"/>
        <v>0</v>
      </c>
      <c r="K48" s="113">
        <v>5500</v>
      </c>
      <c r="L48" s="55">
        <v>5565</v>
      </c>
      <c r="M48" s="114">
        <f>IFERROR((L48+L49)/K48,0)</f>
        <v>1.9209090909090909</v>
      </c>
      <c r="N48" s="12">
        <f>IF($M$48&gt;=FATORES!$B$21,FATORES!$D$21,0)</f>
        <v>5.0000000000000001E-3</v>
      </c>
      <c r="O48" s="88">
        <f t="shared" si="17"/>
        <v>0</v>
      </c>
      <c r="P48" s="13">
        <f t="shared" si="21"/>
        <v>0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3547</v>
      </c>
      <c r="E49" s="114"/>
      <c r="F49" s="12">
        <f>VLOOKUP($E$48,FATORES!$B$16:$E$18,4)</f>
        <v>1.5E-3</v>
      </c>
      <c r="G49" s="12">
        <f>IFERROR(VLOOKUP($E$48,FATORES!$B$19:$E$20,4),0)</f>
        <v>7.0000000000000001E-3</v>
      </c>
      <c r="H49" s="64">
        <f t="shared" si="18"/>
        <v>5.3205</v>
      </c>
      <c r="I49" s="64">
        <f t="shared" si="16"/>
        <v>24.829000000000001</v>
      </c>
      <c r="J49" s="64">
        <f t="shared" si="19"/>
        <v>30.1495</v>
      </c>
      <c r="K49" s="113"/>
      <c r="L49" s="55">
        <v>5000</v>
      </c>
      <c r="M49" s="114"/>
      <c r="N49" s="12">
        <f>IF($M$48&gt;=FATORES!$B$21,FATORES!$E$21,0)</f>
        <v>2.5000000000000001E-3</v>
      </c>
      <c r="O49" s="88">
        <f t="shared" si="17"/>
        <v>0</v>
      </c>
      <c r="P49" s="13">
        <f t="shared" si="21"/>
        <v>30.1495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1250</v>
      </c>
      <c r="D50" s="55"/>
      <c r="E50" s="114">
        <f>IFERROR((D50+D51)/C50,0)</f>
        <v>1.3648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v>7500</v>
      </c>
      <c r="L50" s="55">
        <v>5000</v>
      </c>
      <c r="M50" s="114">
        <f>IFERROR((L50+L51)/K50,0)</f>
        <v>1.4066666666666667</v>
      </c>
      <c r="N50" s="12">
        <f>IF($M$50&gt;=FATORES!$B$11,FATORES!D11,0)</f>
        <v>1.4999999999999999E-2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1706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17.059999999999999</v>
      </c>
      <c r="I51" s="64">
        <f t="shared" si="16"/>
        <v>25.59</v>
      </c>
      <c r="J51" s="64">
        <f t="shared" si="19"/>
        <v>42.65</v>
      </c>
      <c r="K51" s="113"/>
      <c r="L51" s="55">
        <v>5550</v>
      </c>
      <c r="M51" s="114"/>
      <c r="N51" s="12">
        <f>IF($M$50&gt;=FATORES!$B$11,FATORES!$E$11,0)</f>
        <v>0.01</v>
      </c>
      <c r="O51" s="88">
        <f t="shared" si="17"/>
        <v>0</v>
      </c>
      <c r="P51" s="13">
        <f t="shared" si="21"/>
        <v>42.65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150</v>
      </c>
      <c r="D52" s="55">
        <v>294</v>
      </c>
      <c r="E52" s="49">
        <f>IFERROR(D52/C52,0)</f>
        <v>1.96</v>
      </c>
      <c r="F52" s="12">
        <f>VLOOKUP($E$52,FATORES!$O$4:$Q$6,3)</f>
        <v>0.05</v>
      </c>
      <c r="G52" s="12">
        <f>IFERROR(VLOOKUP($E$52,FATORES!$O$7:$Q$8,3),0)</f>
        <v>0.25</v>
      </c>
      <c r="H52" s="64">
        <f t="shared" si="18"/>
        <v>14.700000000000001</v>
      </c>
      <c r="I52" s="64">
        <f t="shared" si="16"/>
        <v>73.5</v>
      </c>
      <c r="J52" s="64">
        <f t="shared" si="19"/>
        <v>88.2</v>
      </c>
      <c r="K52" s="54">
        <v>900</v>
      </c>
      <c r="L52" s="55">
        <v>1046</v>
      </c>
      <c r="M52" s="49">
        <f t="shared" si="20"/>
        <v>1.1622222222222223</v>
      </c>
      <c r="N52" s="12">
        <f>IF($M$52&gt;=FATORES!$O$9,FATORES!$Q$9,0)</f>
        <v>0.1</v>
      </c>
      <c r="O52" s="88">
        <f t="shared" si="17"/>
        <v>29.400000000000002</v>
      </c>
      <c r="P52" s="13">
        <f t="shared" si="21"/>
        <v>117.60000000000001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133</v>
      </c>
      <c r="D53" s="57">
        <v>293</v>
      </c>
      <c r="E53" s="50">
        <f>IFERROR(D53/C53,0)</f>
        <v>2.2030075187969924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2.93</v>
      </c>
      <c r="I53" s="64">
        <f t="shared" si="16"/>
        <v>2.93</v>
      </c>
      <c r="J53" s="16">
        <f t="shared" si="19"/>
        <v>5.86</v>
      </c>
      <c r="K53" s="56">
        <v>800</v>
      </c>
      <c r="L53" s="57">
        <v>908</v>
      </c>
      <c r="M53" s="50">
        <f t="shared" si="20"/>
        <v>1.135</v>
      </c>
      <c r="N53" s="15">
        <f>IF($M$53&gt;=FATORES!$O$17,FATORES!$Q$17,0)</f>
        <v>0.01</v>
      </c>
      <c r="O53" s="88">
        <f t="shared" si="17"/>
        <v>2.93</v>
      </c>
      <c r="P53" s="17">
        <f t="shared" si="21"/>
        <v>8.7900000000000009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876.99349999999993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KfDU6rOgaiiBNwKL9BSuPV/ztik2ye2wzLxwSoW7zIJhbK9ph0q5Ds0DDY1uJroKMLWuOPVxHCKatNqs3CYikQ==" saltValue="p0yiWttppi5ToeAZ3E/CfA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163" priority="22" operator="between">
      <formula>0.7</formula>
      <formula>1</formula>
    </cfRule>
    <cfRule type="cellIs" dxfId="162" priority="23" operator="greaterThanOrEqual">
      <formula>1</formula>
    </cfRule>
    <cfRule type="cellIs" dxfId="161" priority="24" operator="lessThan">
      <formula>0.7</formula>
    </cfRule>
  </conditionalFormatting>
  <conditionalFormatting sqref="E30:E33 E35 E37:E38">
    <cfRule type="cellIs" dxfId="160" priority="10" operator="between">
      <formula>0.7</formula>
      <formula>1</formula>
    </cfRule>
    <cfRule type="cellIs" dxfId="159" priority="11" operator="greaterThanOrEqual">
      <formula>1</formula>
    </cfRule>
    <cfRule type="cellIs" dxfId="158" priority="12" operator="lessThan">
      <formula>0.7</formula>
    </cfRule>
  </conditionalFormatting>
  <conditionalFormatting sqref="E45:E48 E50 E52:E53">
    <cfRule type="cellIs" dxfId="157" priority="34" operator="between">
      <formula>0.7</formula>
      <formula>1</formula>
    </cfRule>
    <cfRule type="cellIs" dxfId="156" priority="35" operator="greaterThanOrEqual">
      <formula>1</formula>
    </cfRule>
    <cfRule type="cellIs" dxfId="155" priority="36" operator="lessThan">
      <formula>0.7</formula>
    </cfRule>
  </conditionalFormatting>
  <conditionalFormatting sqref="M15:M18">
    <cfRule type="cellIs" dxfId="154" priority="16" operator="between">
      <formula>0.7</formula>
      <formula>1</formula>
    </cfRule>
    <cfRule type="cellIs" dxfId="153" priority="17" operator="greaterThanOrEqual">
      <formula>1</formula>
    </cfRule>
    <cfRule type="cellIs" dxfId="152" priority="18" operator="lessThan">
      <formula>0.7</formula>
    </cfRule>
  </conditionalFormatting>
  <conditionalFormatting sqref="M20">
    <cfRule type="cellIs" dxfId="151" priority="13" operator="between">
      <formula>0.7</formula>
      <formula>1</formula>
    </cfRule>
    <cfRule type="cellIs" dxfId="150" priority="14" operator="greaterThanOrEqual">
      <formula>1</formula>
    </cfRule>
    <cfRule type="cellIs" dxfId="149" priority="15" operator="lessThan">
      <formula>0.7</formula>
    </cfRule>
  </conditionalFormatting>
  <conditionalFormatting sqref="M22:M23">
    <cfRule type="cellIs" dxfId="148" priority="19" operator="between">
      <formula>0.7</formula>
      <formula>1</formula>
    </cfRule>
    <cfRule type="cellIs" dxfId="147" priority="20" operator="greaterThanOrEqual">
      <formula>1</formula>
    </cfRule>
    <cfRule type="cellIs" dxfId="146" priority="21" operator="lessThan">
      <formula>0.7</formula>
    </cfRule>
  </conditionalFormatting>
  <conditionalFormatting sqref="M30:M33">
    <cfRule type="cellIs" dxfId="145" priority="4" operator="between">
      <formula>0.7</formula>
      <formula>1</formula>
    </cfRule>
    <cfRule type="cellIs" dxfId="144" priority="5" operator="greaterThanOrEqual">
      <formula>1</formula>
    </cfRule>
    <cfRule type="cellIs" dxfId="143" priority="6" operator="lessThan">
      <formula>0.7</formula>
    </cfRule>
  </conditionalFormatting>
  <conditionalFormatting sqref="M35">
    <cfRule type="cellIs" dxfId="142" priority="1" operator="between">
      <formula>0.7</formula>
      <formula>1</formula>
    </cfRule>
    <cfRule type="cellIs" dxfId="141" priority="2" operator="greaterThanOrEqual">
      <formula>1</formula>
    </cfRule>
    <cfRule type="cellIs" dxfId="140" priority="3" operator="lessThan">
      <formula>0.7</formula>
    </cfRule>
  </conditionalFormatting>
  <conditionalFormatting sqref="M37:M38">
    <cfRule type="cellIs" dxfId="139" priority="7" operator="between">
      <formula>0.7</formula>
      <formula>1</formula>
    </cfRule>
    <cfRule type="cellIs" dxfId="138" priority="8" operator="greaterThanOrEqual">
      <formula>1</formula>
    </cfRule>
    <cfRule type="cellIs" dxfId="137" priority="9" operator="lessThan">
      <formula>0.7</formula>
    </cfRule>
  </conditionalFormatting>
  <conditionalFormatting sqref="M45:M48">
    <cfRule type="cellIs" dxfId="136" priority="28" operator="between">
      <formula>0.7</formula>
      <formula>1</formula>
    </cfRule>
    <cfRule type="cellIs" dxfId="135" priority="29" operator="greaterThanOrEqual">
      <formula>1</formula>
    </cfRule>
    <cfRule type="cellIs" dxfId="134" priority="30" operator="lessThan">
      <formula>0.7</formula>
    </cfRule>
  </conditionalFormatting>
  <conditionalFormatting sqref="M50">
    <cfRule type="cellIs" dxfId="133" priority="25" operator="between">
      <formula>0.7</formula>
      <formula>1</formula>
    </cfRule>
    <cfRule type="cellIs" dxfId="132" priority="26" operator="greaterThanOrEqual">
      <formula>1</formula>
    </cfRule>
    <cfRule type="cellIs" dxfId="131" priority="27" operator="lessThan">
      <formula>0.7</formula>
    </cfRule>
  </conditionalFormatting>
  <conditionalFormatting sqref="M52:M53">
    <cfRule type="cellIs" dxfId="130" priority="31" operator="between">
      <formula>0.7</formula>
      <formula>1</formula>
    </cfRule>
    <cfRule type="cellIs" dxfId="129" priority="32" operator="greaterThanOrEqual">
      <formula>1</formula>
    </cfRule>
    <cfRule type="cellIs" dxfId="128" priority="33" operator="lessThan">
      <formula>0.7</formula>
    </cfRule>
  </conditionalFormatting>
  <dataValidations count="1">
    <dataValidation type="list" allowBlank="1" showInputMessage="1" showErrorMessage="1" sqref="B8:H8" xr:uid="{D554FBFE-F8C4-49B2-BD61-6FA25E3FBA15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21EF3B-3836-455F-BA28-CF0E5ACD832C}">
          <x14:formula1>
            <xm:f>HC!$C$2:$C$5</xm:f>
          </x14:formula1>
          <xm:sqref>J7:K7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D4D-5EEC-482D-BBD1-073020A432CD}">
  <dimension ref="B1:X54"/>
  <sheetViews>
    <sheetView showGridLines="0" topLeftCell="K42" zoomScale="80" zoomScaleNormal="80"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5" width="17.218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3" width="17.21875" customWidth="1"/>
    <col min="14" max="14" width="20.5546875" customWidth="1"/>
    <col min="15" max="15" width="21" customWidth="1"/>
    <col min="16" max="16" width="15.21875" customWidth="1"/>
    <col min="17" max="19" width="14.5546875" customWidth="1"/>
    <col min="20" max="20" width="19.777343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137</v>
      </c>
      <c r="K7" s="179"/>
      <c r="M7" s="178" t="s">
        <v>31</v>
      </c>
      <c r="N7" s="179"/>
      <c r="P7" s="74" t="s">
        <v>28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2595</v>
      </c>
      <c r="D15" s="76">
        <f>_xlfn.XLOOKUP($J$7,PROJEÇÃO[CONSULTOR],PROJEÇÃO[PROJ_MOVEL])</f>
        <v>1633.0000000000007</v>
      </c>
      <c r="E15" s="48">
        <f>IFERROR(D15/C15,0)</f>
        <v>0.62928709055876708</v>
      </c>
      <c r="F15" s="8">
        <f>VLOOKUP($E$15,FATORES!$I$4:$K$6,3)</f>
        <v>0.01</v>
      </c>
      <c r="G15" s="8">
        <f>IFERROR(VLOOKUP($E$15,FATORES!$I$7:$K$8,3),0)</f>
        <v>0</v>
      </c>
      <c r="H15" s="9">
        <f>D15*F15</f>
        <v>16.330000000000005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16.330000000000005</v>
      </c>
      <c r="K15" s="75">
        <f>SUMIFS(REALIZADO[META_MOVEL],REALIZADO[PDV],MIRACEMA!$M$7)</f>
        <v>5190</v>
      </c>
      <c r="L15" s="76">
        <f>SUMIFS(PROJEÇÃO[PROJ_MOVEL],PROJEÇÃO[PDV],MIRACEMA!$M$7)</f>
        <v>3709.0000000000018</v>
      </c>
      <c r="M15" s="48">
        <f>IFERROR(L15/K15,0)</f>
        <v>0.71464354527938379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16.330000000000005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163.08780000000007</v>
      </c>
    </row>
    <row r="16" spans="2:24" x14ac:dyDescent="0.3">
      <c r="B16" s="45" t="s">
        <v>13</v>
      </c>
      <c r="C16" s="75">
        <f>_xlfn.XLOOKUP($J$7,REALIZADO[CONSULTOR],REALIZADO[META_FIXA])</f>
        <v>0</v>
      </c>
      <c r="D16" s="76">
        <f>_xlfn.XLOOKUP($J$7,PROJEÇÃO[CONSULTOR],PROJEÇÃO[PROJ_FIXA])</f>
        <v>0</v>
      </c>
      <c r="E16" s="49">
        <f>IFERROR(D16/C16,0)</f>
        <v>0</v>
      </c>
      <c r="F16" s="12">
        <f>VLOOKUP($E$16,FATORES!$I$12:$K$14,3)</f>
        <v>0.01</v>
      </c>
      <c r="G16" s="12">
        <f>IFERROR(VLOOKUP($E$16,FATORES!$I$15:$K$16,3),0)</f>
        <v>0</v>
      </c>
      <c r="H16" s="64">
        <f t="shared" ref="H16:H23" si="2">D16*F16</f>
        <v>0</v>
      </c>
      <c r="I16" s="64">
        <f t="shared" si="0"/>
        <v>0</v>
      </c>
      <c r="J16" s="64">
        <f t="shared" ref="J16:J23" si="3">H16+I16</f>
        <v>0</v>
      </c>
      <c r="K16" s="75">
        <f>SUMIFS(REALIZADO[META_FIXA],REALIZADO[PDV],MIRACEMA!$M$7)</f>
        <v>0</v>
      </c>
      <c r="L16" s="76">
        <f>SUMIFS(PROJEÇÃO[PROJ_FIXA],PROJEÇÃO[PDV],MIRACEMA!$M$7)</f>
        <v>0</v>
      </c>
      <c r="M16" s="49">
        <f t="shared" ref="M16:M17" si="4">IFERROR(L16/K16,0)</f>
        <v>0</v>
      </c>
      <c r="N16" s="12">
        <f>IF($M$17&gt;=FATORES!$I$17,FATORES!$K$17,0)</f>
        <v>0.15</v>
      </c>
      <c r="O16" s="88">
        <f t="shared" si="1"/>
        <v>0</v>
      </c>
      <c r="P16" s="13">
        <f t="shared" ref="P16:P23" si="5">J16+O16</f>
        <v>0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42500</v>
      </c>
      <c r="D17" s="76">
        <f>_xlfn.XLOOKUP($J$7,PROJEÇÃO[CONSULTOR],PROJEÇÃO[PROJ_APARELHO])</f>
        <v>43587.000000000022</v>
      </c>
      <c r="E17" s="49">
        <f>IFERROR(D17/C17,0)</f>
        <v>1.0255764705882358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65.38050000000004</v>
      </c>
      <c r="I17" s="64">
        <f t="shared" si="0"/>
        <v>0</v>
      </c>
      <c r="J17" s="64">
        <f t="shared" si="3"/>
        <v>65.38050000000004</v>
      </c>
      <c r="K17" s="52">
        <f>SUMIFS(REALIZADO[META_SMARTPHONE],REALIZADO[PDV],MIRACEMA!$M$7)</f>
        <v>85000</v>
      </c>
      <c r="L17" s="77">
        <f>SUMIFS(PROJEÇÃO[PROJ_APARELHO],PROJEÇÃO[PDV],MIRACEMA!$M$7)</f>
        <v>88351.000000000044</v>
      </c>
      <c r="M17" s="49">
        <f t="shared" si="4"/>
        <v>1.0394235294117653</v>
      </c>
      <c r="N17" s="12">
        <f>IF($M$17&gt;=FATORES!$B$28,FATORES!$D$28,0)</f>
        <v>2.5000000000000001E-3</v>
      </c>
      <c r="O17" s="88">
        <f t="shared" si="1"/>
        <v>0</v>
      </c>
      <c r="P17" s="13">
        <f t="shared" si="5"/>
        <v>65.38050000000004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5500</v>
      </c>
      <c r="D18" s="77">
        <f>_xlfn.XLOOKUP($J$7,PROJEÇÃO[CONSULTOR],PROJEÇÃO[PROJ_ELETRO_A])</f>
        <v>0</v>
      </c>
      <c r="E18" s="140">
        <f>IFERROR((D18+D19)/C18,0)</f>
        <v>2.0220000000000011</v>
      </c>
      <c r="F18" s="12">
        <f>VLOOKUP($E$18,FATORES!$B$16:$E$18,3)</f>
        <v>3.0000000000000001E-3</v>
      </c>
      <c r="G18" s="12">
        <f>IFERROR(VLOOKUP($E$18,FATORES!$B$19:$E$20,3),0)</f>
        <v>1.4E-2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SUMIFS(REALIZADO[META_ACESSORIO],REALIZADO[PDV],MIRACEMA!$M$7)</f>
        <v>11000</v>
      </c>
      <c r="L18" s="86">
        <f>SUMIFS(PROJEÇÃO[PROJ_ELETRO_A],PROJEÇÃO[PDV],MIRACEMA!$M$7)</f>
        <v>199.00000000000009</v>
      </c>
      <c r="M18" s="114">
        <f>IFERROR((L18+L19)/K18,0)</f>
        <v>2.4376363636363649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11121.000000000005</v>
      </c>
      <c r="E19" s="140"/>
      <c r="F19" s="12">
        <f>VLOOKUP($E$18,FATORES!$B$16:$E$18,4)</f>
        <v>1.5E-3</v>
      </c>
      <c r="G19" s="12">
        <f>IFERROR(VLOOKUP($E$18,FATORES!$B$19:$E$20,4),0)</f>
        <v>7.0000000000000001E-3</v>
      </c>
      <c r="H19" s="64">
        <f t="shared" si="2"/>
        <v>16.681500000000007</v>
      </c>
      <c r="I19" s="64">
        <f t="shared" si="0"/>
        <v>0</v>
      </c>
      <c r="J19" s="64">
        <f t="shared" si="3"/>
        <v>16.681500000000007</v>
      </c>
      <c r="K19" s="142"/>
      <c r="L19" s="87">
        <f>SUMIFS(PROJEÇÃO[PROJ_ELETRO_B],PROJEÇÃO[PDV],MIRACEMA!$M$7)</f>
        <v>26615.000000000015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16.681500000000007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3850</v>
      </c>
      <c r="D20" s="77">
        <f>_xlfn.XLOOKUP($J$7,PROJEÇÃO[CONSULTOR],PROJEÇÃO[PROJ_ESSEN_A])</f>
        <v>1878.0000000000009</v>
      </c>
      <c r="E20" s="140">
        <f>IFERROR((D20+D21)/C20,0)</f>
        <v>1.0729870129870134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28.170000000000012</v>
      </c>
      <c r="I20" s="64">
        <f t="shared" si="0"/>
        <v>0</v>
      </c>
      <c r="J20" s="64">
        <f t="shared" si="3"/>
        <v>28.170000000000012</v>
      </c>
      <c r="K20" s="141">
        <f>SUMIFS(REALIZADO[META_ESSENCIAIS],REALIZADO[PDV],MIRACEMA!$M$7)</f>
        <v>7700</v>
      </c>
      <c r="L20" s="86">
        <f>SUMIFS(PROJEÇÃO[PROJ_ESSEN_A],PROJEÇÃO[PDV],MIRACEMA!$M$7)</f>
        <v>3053.0000000000014</v>
      </c>
      <c r="M20" s="114">
        <f>IFERROR((L20+L21)/K20,0)</f>
        <v>0.9451948051948057</v>
      </c>
      <c r="N20" s="12">
        <f>IF($M$20&gt;=FATORES!$B$11,FATORES!$D$11,0)</f>
        <v>0</v>
      </c>
      <c r="O20" s="88">
        <f t="shared" si="1"/>
        <v>0</v>
      </c>
      <c r="P20" s="13">
        <f t="shared" si="5"/>
        <v>28.170000000000012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2253.0000000000009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22.530000000000008</v>
      </c>
      <c r="I21" s="64">
        <f t="shared" si="0"/>
        <v>0</v>
      </c>
      <c r="J21" s="64">
        <f t="shared" si="3"/>
        <v>22.530000000000008</v>
      </c>
      <c r="K21" s="142"/>
      <c r="L21" s="87">
        <f>SUMIFS(PROJEÇÃO[PROJ_ESSEN_B],PROJEÇÃO[PDV],MIRACEMA!$M$7)</f>
        <v>4225.0000000000018</v>
      </c>
      <c r="M21" s="114"/>
      <c r="N21" s="12">
        <f>IF($M$20&gt;=FATORES!$B$11,FATORES!$E$11,0)</f>
        <v>0</v>
      </c>
      <c r="O21" s="88">
        <f t="shared" si="1"/>
        <v>0</v>
      </c>
      <c r="P21" s="13">
        <f t="shared" si="5"/>
        <v>22.530000000000008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240</v>
      </c>
      <c r="D22" s="81">
        <f>_xlfn.XLOOKUP($J$7,PROJEÇÃO[CONSULTOR],PROJEÇÃO[PROJ_SEGURO])</f>
        <v>250.80000000000013</v>
      </c>
      <c r="E22" s="83">
        <f>IFERROR(D22/C22,0)</f>
        <v>1.0450000000000006</v>
      </c>
      <c r="F22" s="83">
        <f>VLOOKUP($E$22,FATORES!$O$4:$Q$6,3)</f>
        <v>0.05</v>
      </c>
      <c r="G22" s="12">
        <f>IFERROR(VLOOKUP($E$22,FATORES!$O$7:$Q$8,3),0)</f>
        <v>0.2</v>
      </c>
      <c r="H22" s="64">
        <f t="shared" si="2"/>
        <v>12.540000000000006</v>
      </c>
      <c r="I22" s="64">
        <f t="shared" si="0"/>
        <v>0</v>
      </c>
      <c r="J22" s="64">
        <f t="shared" si="3"/>
        <v>12.540000000000006</v>
      </c>
      <c r="K22" s="56">
        <f>SUMIFS(REALIZADO[META_SEGUROS],REALIZADO[PDV],MIRACEMA!$M$7)</f>
        <v>480</v>
      </c>
      <c r="L22" s="78">
        <f>SUMIFS(PROJEÇÃO[PROJ_SEGURO],PROJEÇÃO[PDV],MIRACEMA!$M$7)</f>
        <v>298.50000000000011</v>
      </c>
      <c r="M22" s="49">
        <f t="shared" ref="M22:M23" si="6">IFERROR(L22/K22,0)</f>
        <v>0.62187500000000029</v>
      </c>
      <c r="N22" s="12">
        <f>IF($M$22&gt;=FATORES!$O$9,FATORES!$Q$9,0)</f>
        <v>0</v>
      </c>
      <c r="O22" s="88">
        <f t="shared" si="1"/>
        <v>0</v>
      </c>
      <c r="P22" s="13">
        <f t="shared" si="5"/>
        <v>12.540000000000006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190</v>
      </c>
      <c r="D23" s="57">
        <f>_xlfn.XLOOKUP($J$7,PROJEÇÃO[CONSULTOR],PROJEÇÃO[PROJ_SVA])</f>
        <v>145.58000000000007</v>
      </c>
      <c r="E23" s="82">
        <f>IFERROR(D23/C23,0)</f>
        <v>0.76621052631578979</v>
      </c>
      <c r="F23" s="15">
        <f>IF(E23&gt;=0,FATORES!$Q$12)</f>
        <v>0.01</v>
      </c>
      <c r="G23" s="15">
        <f>IFERROR(VLOOKUP($E$23,FATORES!$O$15:$Q$16,3),0)</f>
        <v>0</v>
      </c>
      <c r="H23" s="16">
        <f t="shared" si="2"/>
        <v>1.4558000000000006</v>
      </c>
      <c r="I23" s="64">
        <f t="shared" si="0"/>
        <v>0</v>
      </c>
      <c r="J23" s="16">
        <f t="shared" si="3"/>
        <v>1.4558000000000006</v>
      </c>
      <c r="K23" s="75">
        <f>SUMIFS(REALIZADO[META_SVA],REALIZADO[PDV],MIRACEMA!$M$7)</f>
        <v>380</v>
      </c>
      <c r="L23" s="76">
        <f>SUMIFS(PROJEÇÃO[PROJ_SVA],PROJEÇÃO[PDV],MIRACEMA!$M$7)</f>
        <v>318.87000000000018</v>
      </c>
      <c r="M23" s="50">
        <f t="shared" si="6"/>
        <v>0.83913157894736889</v>
      </c>
      <c r="N23" s="15">
        <f>IF($M$23&gt;=FATORES!$O$17,FATORES!$Q$17,0)</f>
        <v>0</v>
      </c>
      <c r="O23" s="88">
        <f t="shared" si="1"/>
        <v>0</v>
      </c>
      <c r="P23" s="17">
        <f t="shared" si="5"/>
        <v>1.4558000000000006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163.08780000000007</v>
      </c>
      <c r="Q24" s="69">
        <f t="shared" ref="Q24:R24" si="7">SUM(Q15:Q23)</f>
        <v>0</v>
      </c>
      <c r="R24" s="69">
        <f t="shared" si="7"/>
        <v>0</v>
      </c>
      <c r="S24" s="70" t="str">
        <f>IF($P$7="ARIEL",IF(MIN(E15,E17,E18,E19,E20,E22,E23)&gt;=100%,SUM(P24:R24)*S15,""),IF(MIN(E15:E23)&gt;=100%,SUM(P24:R24)*S15,""))</f>
        <v/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2595</v>
      </c>
      <c r="D30" s="76">
        <f>_xlfn.XLOOKUP($J$7,REALIZADO[CONSULTOR],REALIZADO[AT_MOVEL])</f>
        <v>116</v>
      </c>
      <c r="E30" s="48">
        <f>IFERROR(D30/C30,0)</f>
        <v>4.4701348747591525E-2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1.1599999999999999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1.1599999999999999</v>
      </c>
      <c r="K30" s="75">
        <f>SUMIFS(REALIZADO[META_MOVEL],REALIZADO[PDV],MIRACEMA!$M$7)</f>
        <v>5190</v>
      </c>
      <c r="L30" s="76">
        <f>SUMIFS(REALIZADO[AT_MOVEL],REALIZADO[PDV],MIRACEMA!$M$7)</f>
        <v>759.72</v>
      </c>
      <c r="M30" s="48">
        <f>IFERROR(L30/K30,0)</f>
        <v>0.1463815028901734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1.1599999999999999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1.1599999999999999</v>
      </c>
    </row>
    <row r="31" spans="2:20" x14ac:dyDescent="0.3">
      <c r="B31" s="45" t="s">
        <v>13</v>
      </c>
      <c r="C31" s="75">
        <f>_xlfn.XLOOKUP($J$7,REALIZADO[CONSULTOR],REALIZADO[META_FIXA])</f>
        <v>0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SUMIFS(REALIZADO[META_FIXA],REALIZADO[PDV],MIRACEMA!$M$7)</f>
        <v>0</v>
      </c>
      <c r="L31" s="76">
        <f>SUMIFS(REALIZADO[AT_FIXA],REALIZADO[PDV],MIRACEMA!$M$7)</f>
        <v>0</v>
      </c>
      <c r="M31" s="49">
        <f t="shared" ref="M31:M32" si="12">IFERROR(L31/K31,0)</f>
        <v>0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42500</v>
      </c>
      <c r="D32" s="76">
        <f>_xlfn.XLOOKUP($J$7,REALIZADO[CONSULTOR],REALIZADO[AT_SMARTPHONE])</f>
        <v>0</v>
      </c>
      <c r="E32" s="49">
        <f>IFERROR(D32/C32,0)</f>
        <v>0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0</v>
      </c>
      <c r="I32" s="64">
        <f t="shared" si="8"/>
        <v>0</v>
      </c>
      <c r="J32" s="64">
        <f t="shared" si="11"/>
        <v>0</v>
      </c>
      <c r="K32" s="52">
        <f>SUMIFS(REALIZADO[META_SMARTPHONE],REALIZADO[PDV],MIRACEMA!$M$7)</f>
        <v>85000</v>
      </c>
      <c r="L32" s="77">
        <f>SUMIFS(REALIZADO[AT_SMARTPHONE],REALIZADO[PDV],MIRACEMA!$M$7)</f>
        <v>3477</v>
      </c>
      <c r="M32" s="49">
        <f t="shared" si="12"/>
        <v>4.0905882352941174E-2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0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5500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SUMIFS(REALIZADO[META_ACESSORIO],REALIZADO[PDV],MIRACEMA!$M$7)</f>
        <v>11000</v>
      </c>
      <c r="L33" s="86">
        <f>SUMIFS(REALIZADO[AT_ACESSORIOS_A],REALIZADO[PDV],MIRACEMA!$M$7)</f>
        <v>0</v>
      </c>
      <c r="M33" s="114">
        <f>IFERROR((L33+L34)/K33,0)</f>
        <v>0.19081818181818183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SUMIFS(REALIZADO[AT_ACESSORIOS_B],REALIZADO[PDV],MIRACEMA!$M$7)</f>
        <v>2099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3850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SUMIFS(REALIZADO[META_ESSENCIAIS],REALIZADO[PDV],MIRACEMA!$M$7)</f>
        <v>7700</v>
      </c>
      <c r="L35" s="86">
        <f>SUMIFS(REALIZADO[AT_ESSENCIAIS_A],REALIZADO[PDV],MIRACEMA!$M$7)</f>
        <v>227</v>
      </c>
      <c r="M35" s="114">
        <f>IFERROR((L35+L36)/K35,0)</f>
        <v>6.0259740259740263E-2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SUMIFS(REALIZADO[AT_ESSENCIAIS_B],REALIZADO[PDV],MIRACEMA!$M$7)</f>
        <v>237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240</v>
      </c>
      <c r="D37" s="81">
        <f>_xlfn.XLOOKUP($J$7,REALIZADO[CONSULTOR],REALIZADO[AT_SEGUROS])</f>
        <v>0</v>
      </c>
      <c r="E37" s="83">
        <f>IFERROR(D37/C37,0)</f>
        <v>0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</v>
      </c>
      <c r="I37" s="64">
        <f t="shared" si="8"/>
        <v>0</v>
      </c>
      <c r="J37" s="64">
        <f t="shared" si="11"/>
        <v>0</v>
      </c>
      <c r="K37" s="56">
        <f>SUMIFS(REALIZADO[META_SEGUROS],REALIZADO[PDV],MIRACEMA!$M$7)</f>
        <v>480</v>
      </c>
      <c r="L37" s="78">
        <f>SUMIFS(REALIZADO[AT_SEGUROS],REALIZADO[PDV],MIRACEMA!$M$7)</f>
        <v>0</v>
      </c>
      <c r="M37" s="49">
        <f t="shared" ref="M37:M38" si="14">IFERROR(L37/K37,0)</f>
        <v>0</v>
      </c>
      <c r="N37" s="12">
        <f>IF($M$37&gt;=FATORES!$O$9,FATORES!$Q$9,0)</f>
        <v>0</v>
      </c>
      <c r="O37" s="88">
        <f t="shared" si="9"/>
        <v>0</v>
      </c>
      <c r="P37" s="13">
        <f t="shared" si="13"/>
        <v>0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190</v>
      </c>
      <c r="D38" s="57">
        <f>_xlfn.XLOOKUP($J$7,REALIZADO[CONSULTOR],REALIZADO[AT_SVA])</f>
        <v>0</v>
      </c>
      <c r="E38" s="82">
        <f>IFERROR(D38/C38,0)</f>
        <v>0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</v>
      </c>
      <c r="I38" s="64">
        <f t="shared" si="8"/>
        <v>0</v>
      </c>
      <c r="J38" s="16">
        <f t="shared" si="11"/>
        <v>0</v>
      </c>
      <c r="K38" s="75">
        <f>SUMIFS(REALIZADO[META_SVA],REALIZADO[PDV],MIRACEMA!$M$7)</f>
        <v>380</v>
      </c>
      <c r="L38" s="76">
        <f>SUMIFS(REALIZADO[AT_SVA],REALIZADO[PDV],MIRACEMA!$M$7)</f>
        <v>0</v>
      </c>
      <c r="M38" s="50">
        <f t="shared" si="14"/>
        <v>0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1.1599999999999999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2500</v>
      </c>
      <c r="D45" s="53">
        <v>2864.01</v>
      </c>
      <c r="E45" s="48">
        <f>IFERROR(D45/C45,0)</f>
        <v>1.1456040000000001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229.12080000000003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229.12080000000003</v>
      </c>
      <c r="K45" s="52">
        <v>0</v>
      </c>
      <c r="L45" s="53">
        <v>0</v>
      </c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229.12080000000003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325.73270000000002</v>
      </c>
    </row>
    <row r="46" spans="2:20" x14ac:dyDescent="0.3">
      <c r="B46" s="45" t="s">
        <v>13</v>
      </c>
      <c r="C46" s="54">
        <v>0</v>
      </c>
      <c r="D46" s="55">
        <v>0</v>
      </c>
      <c r="E46" s="49">
        <f>IFERROR(D46/C46,0)</f>
        <v>0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0</v>
      </c>
      <c r="I46" s="64">
        <f t="shared" si="16"/>
        <v>0</v>
      </c>
      <c r="J46" s="64">
        <f t="shared" ref="J46:J53" si="19">H46+I46</f>
        <v>0</v>
      </c>
      <c r="K46" s="54">
        <v>0</v>
      </c>
      <c r="L46" s="55">
        <v>0</v>
      </c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0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24500</v>
      </c>
      <c r="D47" s="55">
        <v>35638</v>
      </c>
      <c r="E47" s="49">
        <f>IFERROR(D47/C47,0)</f>
        <v>1.4546122448979593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53.457000000000001</v>
      </c>
      <c r="I47" s="64">
        <f t="shared" si="16"/>
        <v>0</v>
      </c>
      <c r="J47" s="64">
        <f t="shared" si="19"/>
        <v>53.457000000000001</v>
      </c>
      <c r="K47" s="54">
        <v>0</v>
      </c>
      <c r="L47" s="55">
        <v>0</v>
      </c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53.457000000000001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2500</v>
      </c>
      <c r="D48" s="55">
        <v>10375</v>
      </c>
      <c r="E48" s="114">
        <f>IFERROR((D48+D49)/C48,0)</f>
        <v>4.1500000000000004</v>
      </c>
      <c r="F48" s="12">
        <f>VLOOKUP($E$48,FATORES!$B$16:$E$18,3)</f>
        <v>3.0000000000000001E-3</v>
      </c>
      <c r="G48" s="12">
        <f>IFERROR(VLOOKUP($E$48,FATORES!$B$19:$E$20,3),0)</f>
        <v>1.4E-2</v>
      </c>
      <c r="H48" s="64">
        <f t="shared" si="18"/>
        <v>31.125</v>
      </c>
      <c r="I48" s="64">
        <f t="shared" si="16"/>
        <v>0</v>
      </c>
      <c r="J48" s="64">
        <f t="shared" si="19"/>
        <v>31.125</v>
      </c>
      <c r="K48" s="113">
        <v>0</v>
      </c>
      <c r="L48" s="55">
        <v>0</v>
      </c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31.125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1.5E-3</v>
      </c>
      <c r="G49" s="12">
        <f>IFERROR(VLOOKUP($E$48,FATORES!$B$19:$E$20,4),0)</f>
        <v>7.0000000000000001E-3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>
        <v>0</v>
      </c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0</v>
      </c>
      <c r="D50" s="55"/>
      <c r="E50" s="114">
        <f>IFERROR((D50+D51)/C50,0)</f>
        <v>0</v>
      </c>
      <c r="F50" s="12">
        <f>VLOOKUP($E$50,FATORES!$B$6:$E$8,3)</f>
        <v>5.0000000000000001E-3</v>
      </c>
      <c r="G50" s="12">
        <f>IFERROR(VLOOKUP($E$50,FATORES!$B$9:$E$10,3),0)</f>
        <v>0</v>
      </c>
      <c r="H50" s="64">
        <f t="shared" si="18"/>
        <v>0</v>
      </c>
      <c r="I50" s="64">
        <f t="shared" si="16"/>
        <v>0</v>
      </c>
      <c r="J50" s="64">
        <f t="shared" si="19"/>
        <v>0</v>
      </c>
      <c r="K50" s="113">
        <v>0</v>
      </c>
      <c r="L50" s="55">
        <v>0</v>
      </c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0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3375</v>
      </c>
      <c r="E51" s="114"/>
      <c r="F51" s="12">
        <f>VLOOKUP($E$50,FATORES!$B$6:$E$8,4)</f>
        <v>2E-3</v>
      </c>
      <c r="G51" s="12">
        <f>IFERROR(VLOOKUP($E$50,FATORES!$B$9:$E$10,4),0)</f>
        <v>0</v>
      </c>
      <c r="H51" s="64">
        <f t="shared" si="18"/>
        <v>6.75</v>
      </c>
      <c r="I51" s="64">
        <f t="shared" si="16"/>
        <v>0</v>
      </c>
      <c r="J51" s="64">
        <f t="shared" si="19"/>
        <v>6.75</v>
      </c>
      <c r="K51" s="113"/>
      <c r="L51" s="55">
        <v>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6.75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0</v>
      </c>
      <c r="D52" s="55">
        <v>398.7</v>
      </c>
      <c r="E52" s="49">
        <f>IFERROR(D52/C52,0)</f>
        <v>0</v>
      </c>
      <c r="F52" s="12">
        <f>VLOOKUP($E$52,FATORES!$O$4:$Q$6,3)</f>
        <v>0.01</v>
      </c>
      <c r="G52" s="12">
        <f>IFERROR(VLOOKUP($E$52,FATORES!$O$7:$Q$8,3),0)</f>
        <v>0</v>
      </c>
      <c r="H52" s="64">
        <f t="shared" si="18"/>
        <v>3.9870000000000001</v>
      </c>
      <c r="I52" s="64">
        <f t="shared" si="16"/>
        <v>0</v>
      </c>
      <c r="J52" s="64">
        <f t="shared" si="19"/>
        <v>3.9870000000000001</v>
      </c>
      <c r="K52" s="54">
        <v>0</v>
      </c>
      <c r="L52" s="55">
        <v>0</v>
      </c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3.9870000000000001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0</v>
      </c>
      <c r="D53" s="57">
        <v>129.29</v>
      </c>
      <c r="E53" s="50">
        <f>IFERROR(D53/C53,0)</f>
        <v>0</v>
      </c>
      <c r="F53" s="15">
        <f>IF(E53&gt;=0,FATORES!$Q$12)</f>
        <v>0.01</v>
      </c>
      <c r="G53" s="15">
        <f>IFERROR(VLOOKUP($E$53,FATORES!$O$15:$Q$16,3),0)</f>
        <v>0</v>
      </c>
      <c r="H53" s="16">
        <f t="shared" si="18"/>
        <v>1.2928999999999999</v>
      </c>
      <c r="I53" s="64">
        <f t="shared" si="16"/>
        <v>0</v>
      </c>
      <c r="J53" s="16">
        <f t="shared" si="19"/>
        <v>1.2928999999999999</v>
      </c>
      <c r="K53" s="56">
        <v>0</v>
      </c>
      <c r="L53" s="57">
        <v>0</v>
      </c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1.2928999999999999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325.73270000000002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bwPPGkSFVdGguJ92vaw+jkxhyoEGLkZWSCtGCRtkG13e+3vfalHcwbZVOf1SC1sGYlGqO1AFKB8//RdNSJTfGg==" saltValue="+O0Qda/NcMQhYyUet2dkdA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127" priority="22" operator="between">
      <formula>0.7</formula>
      <formula>1</formula>
    </cfRule>
    <cfRule type="cellIs" dxfId="126" priority="23" operator="greaterThanOrEqual">
      <formula>1</formula>
    </cfRule>
    <cfRule type="cellIs" dxfId="125" priority="24" operator="lessThan">
      <formula>0.7</formula>
    </cfRule>
  </conditionalFormatting>
  <conditionalFormatting sqref="E30:E33 E35 E37:E38">
    <cfRule type="cellIs" dxfId="124" priority="10" operator="between">
      <formula>0.7</formula>
      <formula>1</formula>
    </cfRule>
    <cfRule type="cellIs" dxfId="123" priority="11" operator="greaterThanOrEqual">
      <formula>1</formula>
    </cfRule>
    <cfRule type="cellIs" dxfId="122" priority="12" operator="lessThan">
      <formula>0.7</formula>
    </cfRule>
  </conditionalFormatting>
  <conditionalFormatting sqref="E45:E48 E50 E52:E53">
    <cfRule type="cellIs" dxfId="121" priority="34" operator="between">
      <formula>0.7</formula>
      <formula>1</formula>
    </cfRule>
    <cfRule type="cellIs" dxfId="120" priority="35" operator="greaterThanOrEqual">
      <formula>1</formula>
    </cfRule>
    <cfRule type="cellIs" dxfId="119" priority="36" operator="lessThan">
      <formula>0.7</formula>
    </cfRule>
  </conditionalFormatting>
  <conditionalFormatting sqref="M15:M18">
    <cfRule type="cellIs" dxfId="118" priority="16" operator="between">
      <formula>0.7</formula>
      <formula>1</formula>
    </cfRule>
    <cfRule type="cellIs" dxfId="117" priority="17" operator="greaterThanOrEqual">
      <formula>1</formula>
    </cfRule>
    <cfRule type="cellIs" dxfId="116" priority="18" operator="lessThan">
      <formula>0.7</formula>
    </cfRule>
  </conditionalFormatting>
  <conditionalFormatting sqref="M20">
    <cfRule type="cellIs" dxfId="115" priority="13" operator="between">
      <formula>0.7</formula>
      <formula>1</formula>
    </cfRule>
    <cfRule type="cellIs" dxfId="114" priority="14" operator="greaterThanOrEqual">
      <formula>1</formula>
    </cfRule>
    <cfRule type="cellIs" dxfId="113" priority="15" operator="lessThan">
      <formula>0.7</formula>
    </cfRule>
  </conditionalFormatting>
  <conditionalFormatting sqref="M22:M23">
    <cfRule type="cellIs" dxfId="112" priority="19" operator="between">
      <formula>0.7</formula>
      <formula>1</formula>
    </cfRule>
    <cfRule type="cellIs" dxfId="111" priority="20" operator="greaterThanOrEqual">
      <formula>1</formula>
    </cfRule>
    <cfRule type="cellIs" dxfId="110" priority="21" operator="lessThan">
      <formula>0.7</formula>
    </cfRule>
  </conditionalFormatting>
  <conditionalFormatting sqref="M30:M33">
    <cfRule type="cellIs" dxfId="109" priority="4" operator="between">
      <formula>0.7</formula>
      <formula>1</formula>
    </cfRule>
    <cfRule type="cellIs" dxfId="108" priority="5" operator="greaterThanOrEqual">
      <formula>1</formula>
    </cfRule>
    <cfRule type="cellIs" dxfId="107" priority="6" operator="lessThan">
      <formula>0.7</formula>
    </cfRule>
  </conditionalFormatting>
  <conditionalFormatting sqref="M35">
    <cfRule type="cellIs" dxfId="106" priority="1" operator="between">
      <formula>0.7</formula>
      <formula>1</formula>
    </cfRule>
    <cfRule type="cellIs" dxfId="105" priority="2" operator="greaterThanOrEqual">
      <formula>1</formula>
    </cfRule>
    <cfRule type="cellIs" dxfId="104" priority="3" operator="lessThan">
      <formula>0.7</formula>
    </cfRule>
  </conditionalFormatting>
  <conditionalFormatting sqref="M37:M38">
    <cfRule type="cellIs" dxfId="103" priority="7" operator="between">
      <formula>0.7</formula>
      <formula>1</formula>
    </cfRule>
    <cfRule type="cellIs" dxfId="102" priority="8" operator="greaterThanOrEqual">
      <formula>1</formula>
    </cfRule>
    <cfRule type="cellIs" dxfId="101" priority="9" operator="lessThan">
      <formula>0.7</formula>
    </cfRule>
  </conditionalFormatting>
  <conditionalFormatting sqref="M45:M48">
    <cfRule type="cellIs" dxfId="100" priority="28" operator="between">
      <formula>0.7</formula>
      <formula>1</formula>
    </cfRule>
    <cfRule type="cellIs" dxfId="99" priority="29" operator="greaterThanOrEqual">
      <formula>1</formula>
    </cfRule>
    <cfRule type="cellIs" dxfId="98" priority="30" operator="lessThan">
      <formula>0.7</formula>
    </cfRule>
  </conditionalFormatting>
  <conditionalFormatting sqref="M50">
    <cfRule type="cellIs" dxfId="97" priority="25" operator="between">
      <formula>0.7</formula>
      <formula>1</formula>
    </cfRule>
    <cfRule type="cellIs" dxfId="96" priority="26" operator="greaterThanOrEqual">
      <formula>1</formula>
    </cfRule>
    <cfRule type="cellIs" dxfId="95" priority="27" operator="lessThan">
      <formula>0.7</formula>
    </cfRule>
  </conditionalFormatting>
  <conditionalFormatting sqref="M52:M53">
    <cfRule type="cellIs" dxfId="94" priority="31" operator="between">
      <formula>0.7</formula>
      <formula>1</formula>
    </cfRule>
    <cfRule type="cellIs" dxfId="93" priority="32" operator="greaterThanOrEqual">
      <formula>1</formula>
    </cfRule>
    <cfRule type="cellIs" dxfId="92" priority="33" operator="lessThan">
      <formula>0.7</formula>
    </cfRule>
  </conditionalFormatting>
  <dataValidations count="1">
    <dataValidation type="list" allowBlank="1" showInputMessage="1" showErrorMessage="1" sqref="B8:H8" xr:uid="{3B332176-9106-40FA-B446-E5233D442426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D01901-C6FA-4B05-83B1-AE02BEB0A665}">
          <x14:formula1>
            <xm:f>HC!$Y$2:$Y$4</xm:f>
          </x14:formula1>
          <xm:sqref>J7:K7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D009-49A5-41B6-B55F-7F463FD7DDE4}">
  <dimension ref="B1:X54"/>
  <sheetViews>
    <sheetView showGridLines="0" workbookViewId="0">
      <selection activeCell="J7" sqref="J7:K7"/>
    </sheetView>
  </sheetViews>
  <sheetFormatPr defaultRowHeight="14.4" x14ac:dyDescent="0.3"/>
  <cols>
    <col min="1" max="1" width="2" customWidth="1"/>
    <col min="2" max="2" width="16.44140625" customWidth="1"/>
    <col min="3" max="4" width="16.21875" customWidth="1"/>
    <col min="5" max="5" width="13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6.21875" customWidth="1"/>
    <col min="13" max="13" width="13" customWidth="1"/>
    <col min="14" max="14" width="20.5546875" customWidth="1"/>
    <col min="15" max="15" width="21" customWidth="1"/>
    <col min="16" max="16" width="15.21875" customWidth="1"/>
    <col min="17" max="19" width="13.21875" customWidth="1"/>
    <col min="20" max="20" width="16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107</v>
      </c>
      <c r="K7" s="179"/>
      <c r="M7" s="178" t="s">
        <v>43</v>
      </c>
      <c r="N7" s="179"/>
      <c r="P7" s="74" t="s">
        <v>45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2100</v>
      </c>
      <c r="D15" s="76">
        <f>_xlfn.XLOOKUP($J$7,PROJEÇÃO[CONSULTOR],PROJEÇÃO[PROJ_MOVEL])</f>
        <v>2909.1900000000014</v>
      </c>
      <c r="E15" s="48">
        <f>IFERROR(D15/C15,0)</f>
        <v>1.3853285714285721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232.73520000000011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436.3785000000002</v>
      </c>
      <c r="J15" s="9">
        <f>H15+I15</f>
        <v>669.11370000000034</v>
      </c>
      <c r="K15" s="75">
        <f>SUMIFS(REALIZADO[META_MOVEL],REALIZADO[PDV],ITACIBA!$M$7)</f>
        <v>6300</v>
      </c>
      <c r="L15" s="76">
        <f>SUMIFS(PROJEÇÃO[PROJ_MOVEL],PROJEÇÃO[PDV],ITACIBA!$M$7)</f>
        <v>5347.1800000000021</v>
      </c>
      <c r="M15" s="48">
        <f>IFERROR(L15/K15,0)</f>
        <v>0.84875873015873049</v>
      </c>
      <c r="N15" s="8">
        <f>IF($M$15&gt;=FATORES!$I$9,FATORES!$K$9,0)</f>
        <v>0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669.11370000000034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1895.6422100000011</v>
      </c>
    </row>
    <row r="16" spans="2:24" x14ac:dyDescent="0.3">
      <c r="B16" s="45" t="s">
        <v>13</v>
      </c>
      <c r="C16" s="75">
        <f>_xlfn.XLOOKUP($J$7,REALIZADO[CONSULTOR],REALIZADO[META_FIXA])</f>
        <v>983.33330000000001</v>
      </c>
      <c r="D16" s="76">
        <f>_xlfn.XLOOKUP($J$7,PROJEÇÃO[CONSULTOR],PROJEÇÃO[PROJ_FIXA])</f>
        <v>1200.0000000000005</v>
      </c>
      <c r="E16" s="49">
        <f>IFERROR(D16/C16,0)</f>
        <v>1.2203390244182724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96.000000000000043</v>
      </c>
      <c r="I16" s="64">
        <f t="shared" si="0"/>
        <v>180.00000000000006</v>
      </c>
      <c r="J16" s="64">
        <f t="shared" ref="J16:J23" si="3">H16+I16</f>
        <v>276.00000000000011</v>
      </c>
      <c r="K16" s="75">
        <f>SUMIFS(REALIZADO[META_FIXA],REALIZADO[PDV],ITACIBA!$M$7)</f>
        <v>2949.9998999999998</v>
      </c>
      <c r="L16" s="76">
        <f>SUMIFS(PROJEÇÃO[PROJ_FIXA],PROJEÇÃO[PDV],ITACIBA!$M$7)</f>
        <v>2429.9800000000009</v>
      </c>
      <c r="M16" s="49">
        <f t="shared" ref="M16:M17" si="4">IFERROR(L16/K16,0)</f>
        <v>0.8237220618210872</v>
      </c>
      <c r="N16" s="12">
        <f>IF($M$17&gt;=FATORES!$I$17,FATORES!$K$17,0)</f>
        <v>0.15</v>
      </c>
      <c r="O16" s="88">
        <f t="shared" si="1"/>
        <v>180.00000000000006</v>
      </c>
      <c r="P16" s="13">
        <f t="shared" ref="P16:P23" si="5">J16+O16</f>
        <v>456.00000000000017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30000</v>
      </c>
      <c r="D17" s="76">
        <f>_xlfn.XLOOKUP($J$7,PROJEÇÃO[CONSULTOR],PROJEÇÃO[PROJ_APARELHO])</f>
        <v>42262.000000000022</v>
      </c>
      <c r="E17" s="49">
        <f>IFERROR(D17/C17,0)</f>
        <v>1.4087333333333341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63.393000000000036</v>
      </c>
      <c r="I17" s="64">
        <f t="shared" si="0"/>
        <v>84.524000000000044</v>
      </c>
      <c r="J17" s="64">
        <f t="shared" si="3"/>
        <v>147.91700000000009</v>
      </c>
      <c r="K17" s="52">
        <f>SUMIFS(REALIZADO[META_SMARTPHONE],REALIZADO[PDV],ITACIBA!$M$7)</f>
        <v>90000</v>
      </c>
      <c r="L17" s="77">
        <f>SUMIFS(PROJEÇÃO[PROJ_APARELHO],PROJEÇÃO[PDV],ITACIBA!$M$7)</f>
        <v>96965.000000000044</v>
      </c>
      <c r="M17" s="49">
        <f t="shared" si="4"/>
        <v>1.0773888888888894</v>
      </c>
      <c r="N17" s="12">
        <f>IF($M$17&gt;=FATORES!$B$28,FATORES!$D$28,0)</f>
        <v>2.5000000000000001E-3</v>
      </c>
      <c r="O17" s="88">
        <f t="shared" si="1"/>
        <v>105.65500000000006</v>
      </c>
      <c r="P17" s="13">
        <f t="shared" si="5"/>
        <v>253.57200000000014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3333.3332999999998</v>
      </c>
      <c r="D18" s="77">
        <f>_xlfn.XLOOKUP($J$7,PROJEÇÃO[CONSULTOR],PROJEÇÃO[PROJ_ELETRO_A])</f>
        <v>378.00000000000017</v>
      </c>
      <c r="E18" s="140">
        <f>IFERROR((D18+D19)/C18,0)</f>
        <v>1.4922000149220007</v>
      </c>
      <c r="F18" s="12">
        <f>VLOOKUP($E$18,FATORES!$B$16:$E$18,3)</f>
        <v>3.0000000000000001E-3</v>
      </c>
      <c r="G18" s="12">
        <f>IFERROR(VLOOKUP($E$18,FATORES!$B$19:$E$20,3),0)</f>
        <v>1.2E-2</v>
      </c>
      <c r="H18" s="64">
        <f t="shared" si="2"/>
        <v>1.1340000000000006</v>
      </c>
      <c r="I18" s="64">
        <f t="shared" si="0"/>
        <v>4.5360000000000023</v>
      </c>
      <c r="J18" s="64">
        <f t="shared" si="3"/>
        <v>5.6700000000000026</v>
      </c>
      <c r="K18" s="141">
        <f>SUMIFS(REALIZADO[META_ACESSORIO],REALIZADO[PDV],ITACIBA!$M$7)</f>
        <v>9999.9998999999989</v>
      </c>
      <c r="L18" s="86">
        <f>SUMIFS(PROJEÇÃO[PROJ_ELETRO_A],PROJEÇÃO[PDV],ITACIBA!$M$7)</f>
        <v>378.00000000000017</v>
      </c>
      <c r="M18" s="114">
        <f>IFERROR((L18+L19)/K18,0)</f>
        <v>1.1912000119120005</v>
      </c>
      <c r="N18" s="12">
        <f>IF($M$18&gt;=FATORES!$B$21,FATORES!$D$21,0)</f>
        <v>5.0000000000000001E-3</v>
      </c>
      <c r="O18" s="88">
        <f t="shared" si="1"/>
        <v>1.8900000000000008</v>
      </c>
      <c r="P18" s="13">
        <f t="shared" si="5"/>
        <v>7.5600000000000032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4596.0000000000018</v>
      </c>
      <c r="E19" s="140"/>
      <c r="F19" s="12">
        <f>VLOOKUP($E$18,FATORES!$B$16:$E$18,4)</f>
        <v>1.5E-3</v>
      </c>
      <c r="G19" s="12">
        <f>IFERROR(VLOOKUP($E$18,FATORES!$B$19:$E$20,4),0)</f>
        <v>6.0000000000000001E-3</v>
      </c>
      <c r="H19" s="64">
        <f t="shared" si="2"/>
        <v>6.8940000000000028</v>
      </c>
      <c r="I19" s="64">
        <f t="shared" si="0"/>
        <v>27.576000000000011</v>
      </c>
      <c r="J19" s="64">
        <f t="shared" si="3"/>
        <v>34.470000000000013</v>
      </c>
      <c r="K19" s="142"/>
      <c r="L19" s="87">
        <f>SUMIFS(PROJEÇÃO[PROJ_ELETRO_B],PROJEÇÃO[PDV],ITACIBA!$M$7)</f>
        <v>11534.000000000004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34.470000000000013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2200</v>
      </c>
      <c r="D20" s="77">
        <f>_xlfn.XLOOKUP($J$7,PROJEÇÃO[CONSULTOR],PROJEÇÃO[PROJ_ESSEN_A])</f>
        <v>1761.0000000000007</v>
      </c>
      <c r="E20" s="140">
        <f>IFERROR((D20+D21)/C20,0)</f>
        <v>1.5868181818181823</v>
      </c>
      <c r="F20" s="12">
        <f>VLOOKUP($E$20,FATORES!$B$6:$E$8,3)</f>
        <v>1.4999999999999999E-2</v>
      </c>
      <c r="G20" s="12">
        <f>IFERROR(VLOOKUP($E$20,FATORES!$B$9:$E$10,3),0)</f>
        <v>0.05</v>
      </c>
      <c r="H20" s="64">
        <f t="shared" si="2"/>
        <v>26.41500000000001</v>
      </c>
      <c r="I20" s="64">
        <f t="shared" si="0"/>
        <v>88.05000000000004</v>
      </c>
      <c r="J20" s="64">
        <f t="shared" si="3"/>
        <v>114.46500000000005</v>
      </c>
      <c r="K20" s="141">
        <f>SUMIFS(REALIZADO[META_ESSENCIAIS],REALIZADO[PDV],ITACIBA!$M$7)</f>
        <v>6600</v>
      </c>
      <c r="L20" s="86">
        <f>SUMIFS(PROJEÇÃO[PROJ_ESSEN_A],PROJEÇÃO[PDV],ITACIBA!$M$7)</f>
        <v>3372.0000000000014</v>
      </c>
      <c r="M20" s="114">
        <f>IFERROR((L20+L21)/K20,0)</f>
        <v>1.1453030303030309</v>
      </c>
      <c r="N20" s="12">
        <f>IF($M$20&gt;=FATORES!$B$11,FATORES!$D$11,0)</f>
        <v>1.4999999999999999E-2</v>
      </c>
      <c r="O20" s="88">
        <f t="shared" si="1"/>
        <v>26.41500000000001</v>
      </c>
      <c r="P20" s="13">
        <f t="shared" si="5"/>
        <v>140.88000000000005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1730.0000000000007</v>
      </c>
      <c r="E21" s="140"/>
      <c r="F21" s="12">
        <f>VLOOKUP($E$20,FATORES!$B$6:$E$8,4)</f>
        <v>0.01</v>
      </c>
      <c r="G21" s="12">
        <f>IFERROR(VLOOKUP($E$20,FATORES!$B$9:$E$10,4),0)</f>
        <v>0.02</v>
      </c>
      <c r="H21" s="64">
        <f t="shared" si="2"/>
        <v>17.300000000000008</v>
      </c>
      <c r="I21" s="64">
        <f t="shared" si="0"/>
        <v>34.600000000000016</v>
      </c>
      <c r="J21" s="64">
        <f t="shared" si="3"/>
        <v>51.90000000000002</v>
      </c>
      <c r="K21" s="142"/>
      <c r="L21" s="87">
        <f>SUMIFS(PROJEÇÃO[PROJ_ESSEN_B],PROJEÇÃO[PDV],ITACIBA!$M$7)</f>
        <v>4187.0000000000018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51.90000000000002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200</v>
      </c>
      <c r="D22" s="81">
        <f>_xlfn.XLOOKUP($J$7,PROJEÇÃO[CONSULTOR],PROJEÇÃO[PROJ_SEGURO])</f>
        <v>284.60000000000008</v>
      </c>
      <c r="E22" s="83">
        <f>IFERROR(D22/C22,0)</f>
        <v>1.4230000000000005</v>
      </c>
      <c r="F22" s="83">
        <f>VLOOKUP($E$22,FATORES!$O$4:$Q$6,3)</f>
        <v>0.05</v>
      </c>
      <c r="G22" s="12">
        <f>IFERROR(VLOOKUP($E$22,FATORES!$O$7:$Q$8,3),0)</f>
        <v>0.2</v>
      </c>
      <c r="H22" s="64">
        <f t="shared" si="2"/>
        <v>14.230000000000004</v>
      </c>
      <c r="I22" s="64">
        <f t="shared" si="0"/>
        <v>56.920000000000016</v>
      </c>
      <c r="J22" s="64">
        <f t="shared" si="3"/>
        <v>71.15000000000002</v>
      </c>
      <c r="K22" s="56">
        <f>SUMIFS(REALIZADO[META_SEGUROS],REALIZADO[PDV],ITACIBA!$M$7)</f>
        <v>600</v>
      </c>
      <c r="L22" s="78">
        <f>SUMIFS(PROJEÇÃO[PROJ_SEGURO],PROJEÇÃO[PDV],ITACIBA!$M$7)</f>
        <v>701.3000000000003</v>
      </c>
      <c r="M22" s="49">
        <f t="shared" ref="M22:M23" si="6">IFERROR(L22/K22,0)</f>
        <v>1.1688333333333338</v>
      </c>
      <c r="N22" s="12">
        <f>IF($M$22&gt;=FATORES!$O$9,FATORES!$Q$9,0)</f>
        <v>0.1</v>
      </c>
      <c r="O22" s="88">
        <f t="shared" si="1"/>
        <v>28.460000000000008</v>
      </c>
      <c r="P22" s="13">
        <f t="shared" si="5"/>
        <v>99.610000000000028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230</v>
      </c>
      <c r="D23" s="57">
        <f>_xlfn.XLOOKUP($J$7,PROJEÇÃO[CONSULTOR],PROJEÇÃO[PROJ_SVA])</f>
        <v>340.18000000000012</v>
      </c>
      <c r="E23" s="82">
        <f>IFERROR(D23/C23,0)</f>
        <v>1.4790434782608701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3.4018000000000015</v>
      </c>
      <c r="I23" s="64">
        <f t="shared" si="0"/>
        <v>3.4018000000000015</v>
      </c>
      <c r="J23" s="16">
        <f t="shared" si="3"/>
        <v>6.803600000000003</v>
      </c>
      <c r="K23" s="75">
        <f>SUMIFS(REALIZADO[META_SVA],REALIZADO[PDV],ITACIBA!$M$7)</f>
        <v>690</v>
      </c>
      <c r="L23" s="76">
        <f>SUMIFS(PROJEÇÃO[PROJ_SVA],PROJEÇÃO[PDV],ITACIBA!$M$7)</f>
        <v>734.41000000000031</v>
      </c>
      <c r="M23" s="50">
        <f t="shared" si="6"/>
        <v>1.0643623188405802</v>
      </c>
      <c r="N23" s="15">
        <f>IF($M$23&gt;=FATORES!$O$17,FATORES!$Q$17,0)</f>
        <v>0.01</v>
      </c>
      <c r="O23" s="88">
        <f t="shared" si="1"/>
        <v>3.4018000000000015</v>
      </c>
      <c r="P23" s="17">
        <f t="shared" si="5"/>
        <v>10.205400000000004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1723.311100000001</v>
      </c>
      <c r="Q24" s="69">
        <f t="shared" ref="Q24:R24" si="7">SUM(Q15:Q23)</f>
        <v>0</v>
      </c>
      <c r="R24" s="69">
        <f t="shared" si="7"/>
        <v>0</v>
      </c>
      <c r="S24" s="70">
        <f>IF($P$7="ARIEL",IF(MIN(E15,E17,E18,E19,E20,E22,E23)&gt;=100%,SUM(P24:R24)*S15,""),IF(MIN(E15:E23)&gt;=100%,SUM(P24:R24)*S15,""))</f>
        <v>172.33111000000011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2100</v>
      </c>
      <c r="D30" s="76">
        <f>_xlfn.XLOOKUP($J$7,REALIZADO[CONSULTOR],REALIZADO[AT_MOVEL])</f>
        <v>206</v>
      </c>
      <c r="E30" s="48">
        <f>IFERROR(D30/C30,0)</f>
        <v>9.8095238095238096E-2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2.06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2.06</v>
      </c>
      <c r="K30" s="75">
        <f>SUMIFS(REALIZADO[META_MOVEL],REALIZADO[PDV],ITACIBA!$M$7)</f>
        <v>6300</v>
      </c>
      <c r="L30" s="76">
        <f>SUMIFS(REALIZADO[AT_MOVEL],REALIZADO[PDV],ITACIBA!$M$7)</f>
        <v>536</v>
      </c>
      <c r="M30" s="48">
        <f>IFERROR(L30/K30,0)</f>
        <v>8.5079365079365074E-2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2.06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10.6145</v>
      </c>
    </row>
    <row r="31" spans="2:20" x14ac:dyDescent="0.3">
      <c r="B31" s="45" t="s">
        <v>13</v>
      </c>
      <c r="C31" s="75">
        <f>_xlfn.XLOOKUP($J$7,REALIZADO[CONSULTOR],REALIZADO[META_FIXA])</f>
        <v>983.33330000000001</v>
      </c>
      <c r="D31" s="76">
        <f>_xlfn.XLOOKUP($J$7,REALIZADO[CONSULTOR],REALIZADO[AT_FIXA])</f>
        <v>280</v>
      </c>
      <c r="E31" s="49">
        <f>IFERROR(D31/C31,0)</f>
        <v>0.28474577236426346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2.8000000000000003</v>
      </c>
      <c r="I31" s="64">
        <f t="shared" si="8"/>
        <v>0</v>
      </c>
      <c r="J31" s="64">
        <f t="shared" ref="J31:J38" si="11">H31+I31</f>
        <v>2.8000000000000003</v>
      </c>
      <c r="K31" s="75">
        <f>SUMIFS(REALIZADO[META_FIXA],REALIZADO[PDV],ITACIBA!$M$7)</f>
        <v>2949.9998999999998</v>
      </c>
      <c r="L31" s="76">
        <f>SUMIFS(REALIZADO[AT_FIXA],REALIZADO[PDV],ITACIBA!$M$7)</f>
        <v>390</v>
      </c>
      <c r="M31" s="49">
        <f t="shared" ref="M31:M32" si="12">IFERROR(L31/K31,0)</f>
        <v>0.13220339431197947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2.8000000000000003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30000</v>
      </c>
      <c r="D32" s="76">
        <f>_xlfn.XLOOKUP($J$7,REALIZADO[CONSULTOR],REALIZADO[AT_SMARTPHONE])</f>
        <v>4948</v>
      </c>
      <c r="E32" s="49">
        <f>IFERROR(D32/C32,0)</f>
        <v>0.16493333333333332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2.4740000000000002</v>
      </c>
      <c r="I32" s="64">
        <f t="shared" si="8"/>
        <v>0</v>
      </c>
      <c r="J32" s="64">
        <f t="shared" si="11"/>
        <v>2.4740000000000002</v>
      </c>
      <c r="K32" s="52">
        <f>SUMIFS(REALIZADO[META_SMARTPHONE],REALIZADO[PDV],ITACIBA!$M$7)</f>
        <v>90000</v>
      </c>
      <c r="L32" s="77">
        <f>SUMIFS(REALIZADO[AT_SMARTPHONE],REALIZADO[PDV],ITACIBA!$M$7)</f>
        <v>18094</v>
      </c>
      <c r="M32" s="49">
        <f t="shared" si="12"/>
        <v>0.20104444444444444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2.4740000000000002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3333.3332999999998</v>
      </c>
      <c r="D33" s="77">
        <f>_xlfn.XLOOKUP($J$7,REALIZADO[CONSULTOR],REALIZADO[AT_ACESSORIOS_A])</f>
        <v>0</v>
      </c>
      <c r="E33" s="140">
        <f>IFERROR((D33+D34)/C33,0)</f>
        <v>5.670000056700001E-2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SUMIFS(REALIZADO[META_ACESSORIO],REALIZADO[PDV],ITACIBA!$M$7)</f>
        <v>9999.9998999999989</v>
      </c>
      <c r="L33" s="86">
        <f>SUMIFS(REALIZADO[AT_ACESSORIOS_A],REALIZADO[PDV],ITACIBA!$M$7)</f>
        <v>0</v>
      </c>
      <c r="M33" s="114">
        <f>IFERROR((L33+L34)/K33,0)</f>
        <v>4.1800000418000006E-2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189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9.4500000000000001E-2</v>
      </c>
      <c r="I34" s="64">
        <f t="shared" si="8"/>
        <v>0</v>
      </c>
      <c r="J34" s="64">
        <f t="shared" si="11"/>
        <v>9.4500000000000001E-2</v>
      </c>
      <c r="K34" s="142"/>
      <c r="L34" s="87">
        <f>SUMIFS(REALIZADO[AT_ACESSORIOS_B],REALIZADO[PDV],ITACIBA!$M$7)</f>
        <v>418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9.4500000000000001E-2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2200</v>
      </c>
      <c r="D35" s="77">
        <f>_xlfn.XLOOKUP($J$7,REALIZADO[CONSULTOR],REALIZADO[AT_ESSENCIAIS_A])</f>
        <v>119</v>
      </c>
      <c r="E35" s="140">
        <f>IFERROR((D35+D36)/C35,0)</f>
        <v>0.24409090909090908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0.59499999999999997</v>
      </c>
      <c r="I35" s="64">
        <f t="shared" si="8"/>
        <v>0</v>
      </c>
      <c r="J35" s="64">
        <f t="shared" si="11"/>
        <v>0.59499999999999997</v>
      </c>
      <c r="K35" s="141">
        <f>SUMIFS(REALIZADO[META_ESSENCIAIS],REALIZADO[PDV],ITACIBA!$M$7)</f>
        <v>6600</v>
      </c>
      <c r="L35" s="86">
        <f>SUMIFS(REALIZADO[AT_ESSENCIAIS_A],REALIZADO[PDV],ITACIBA!$M$7)</f>
        <v>257</v>
      </c>
      <c r="M35" s="114">
        <f>IFERROR((L35+L36)/K35,0)</f>
        <v>0.17757575757575758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0.59499999999999997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418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0.83599999999999997</v>
      </c>
      <c r="I36" s="64">
        <f t="shared" si="8"/>
        <v>0</v>
      </c>
      <c r="J36" s="64">
        <f t="shared" si="11"/>
        <v>0.83599999999999997</v>
      </c>
      <c r="K36" s="142"/>
      <c r="L36" s="87">
        <f>SUMIFS(REALIZADO[AT_ESSENCIAIS_B],REALIZADO[PDV],ITACIBA!$M$7)</f>
        <v>915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0.83599999999999997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200</v>
      </c>
      <c r="D37" s="81">
        <f>_xlfn.XLOOKUP($J$7,REALIZADO[CONSULTOR],REALIZADO[AT_SEGUROS])</f>
        <v>33.799999999999997</v>
      </c>
      <c r="E37" s="83">
        <f>IFERROR(D37/C37,0)</f>
        <v>0.16899999999999998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0.33799999999999997</v>
      </c>
      <c r="I37" s="64">
        <f t="shared" si="8"/>
        <v>0</v>
      </c>
      <c r="J37" s="64">
        <f t="shared" si="11"/>
        <v>0.33799999999999997</v>
      </c>
      <c r="K37" s="56">
        <f>SUMIFS(REALIZADO[META_SEGUROS],REALIZADO[PDV],ITACIBA!$M$7)</f>
        <v>600</v>
      </c>
      <c r="L37" s="78">
        <f>SUMIFS(REALIZADO[AT_SEGUROS],REALIZADO[PDV],ITACIBA!$M$7)</f>
        <v>33.799999999999997</v>
      </c>
      <c r="M37" s="49">
        <f t="shared" ref="M37:M38" si="14">IFERROR(L37/K37,0)</f>
        <v>5.6333333333333326E-2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0.33799999999999997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230</v>
      </c>
      <c r="D38" s="57">
        <f>_xlfn.XLOOKUP($J$7,REALIZADO[CONSULTOR],REALIZADO[AT_SVA])</f>
        <v>141.69999999999999</v>
      </c>
      <c r="E38" s="82">
        <f>IFERROR(D38/C38,0)</f>
        <v>0.61608695652173906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1.4169999999999998</v>
      </c>
      <c r="I38" s="64">
        <f t="shared" si="8"/>
        <v>0</v>
      </c>
      <c r="J38" s="16">
        <f t="shared" si="11"/>
        <v>1.4169999999999998</v>
      </c>
      <c r="K38" s="75">
        <f>SUMIFS(REALIZADO[META_SVA],REALIZADO[PDV],ITACIBA!$M$7)</f>
        <v>690</v>
      </c>
      <c r="L38" s="76">
        <f>SUMIFS(REALIZADO[AT_SVA],REALIZADO[PDV],ITACIBA!$M$7)</f>
        <v>259.45999999999998</v>
      </c>
      <c r="M38" s="50">
        <f t="shared" si="14"/>
        <v>0.37602898550724634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1.4169999999999998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10.6145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2067</v>
      </c>
      <c r="D45" s="53">
        <v>2100</v>
      </c>
      <c r="E45" s="48">
        <f>IFERROR(D45/C45,0)</f>
        <v>1.0159651669085632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168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168</v>
      </c>
      <c r="K45" s="52">
        <v>6200</v>
      </c>
      <c r="L45" s="53">
        <v>6010</v>
      </c>
      <c r="M45" s="48">
        <f>IFERROR(L45/K45,0)</f>
        <v>0.96935483870967742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168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269.47329999999999</v>
      </c>
    </row>
    <row r="46" spans="2:20" x14ac:dyDescent="0.3">
      <c r="B46" s="45" t="s">
        <v>13</v>
      </c>
      <c r="C46" s="54">
        <v>1067</v>
      </c>
      <c r="D46" s="55">
        <v>650</v>
      </c>
      <c r="E46" s="49">
        <f>IFERROR(D46/C46,0)</f>
        <v>0.60918462980318655</v>
      </c>
      <c r="F46" s="12">
        <f>VLOOKUP($E$46,FATORES!$I$12:$K$14,3)</f>
        <v>0.01</v>
      </c>
      <c r="G46" s="12">
        <f>IFERROR(VLOOKUP($E$46,FATORES!$I$15:$K$16,3),0)</f>
        <v>0</v>
      </c>
      <c r="H46" s="64">
        <f t="shared" ref="H46:H53" si="18">D46*F46</f>
        <v>6.5</v>
      </c>
      <c r="I46" s="64">
        <f t="shared" si="16"/>
        <v>0</v>
      </c>
      <c r="J46" s="64">
        <f t="shared" ref="J46:J53" si="19">H46+I46</f>
        <v>6.5</v>
      </c>
      <c r="K46" s="54">
        <v>3200</v>
      </c>
      <c r="L46" s="55">
        <v>3000</v>
      </c>
      <c r="M46" s="49">
        <f t="shared" ref="M46:M53" si="20">IFERROR(L46/K46,0)</f>
        <v>0.9375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6.5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f>_xlfn.XLOOKUP($J$7,REALIZADO[CONSULTOR],REALIZADO[META_SMARTPHONE])</f>
        <v>30000</v>
      </c>
      <c r="D47" s="55">
        <v>29067</v>
      </c>
      <c r="E47" s="49">
        <f>IFERROR(D47/C47,0)</f>
        <v>0.96889999999999998</v>
      </c>
      <c r="F47" s="12">
        <f>VLOOKUP($E$47,FATORES!$B$25:$D$26,3)</f>
        <v>1.5E-3</v>
      </c>
      <c r="G47" s="12">
        <f>IFERROR(VLOOKUP($E$47,FATORES!$B$27:$D$27,3),0)</f>
        <v>0</v>
      </c>
      <c r="H47" s="64">
        <f t="shared" si="18"/>
        <v>43.600500000000004</v>
      </c>
      <c r="I47" s="64">
        <f t="shared" si="16"/>
        <v>0</v>
      </c>
      <c r="J47" s="64">
        <f t="shared" si="19"/>
        <v>43.600500000000004</v>
      </c>
      <c r="K47" s="54">
        <v>79000</v>
      </c>
      <c r="L47" s="55">
        <v>69000</v>
      </c>
      <c r="M47" s="49">
        <f t="shared" si="20"/>
        <v>0.87341772151898733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43.600500000000004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f>_xlfn.XLOOKUP($J$7,REALIZADO[CONSULTOR],REALIZADO[META_ACESSORIO])</f>
        <v>3333.3332999999998</v>
      </c>
      <c r="D48" s="55">
        <v>3505</v>
      </c>
      <c r="E48" s="114">
        <f>IFERROR((D48+D49)/C48,0)</f>
        <v>1.0515000105150001</v>
      </c>
      <c r="F48" s="12">
        <f>VLOOKUP($E$48,FATORES!$B$16:$E$18,3)</f>
        <v>3.0000000000000001E-3</v>
      </c>
      <c r="G48" s="12">
        <f>IFERROR(VLOOKUP($E$48,FATORES!$B$19:$E$20,3),0)</f>
        <v>1.2E-2</v>
      </c>
      <c r="H48" s="64">
        <f t="shared" si="18"/>
        <v>10.515000000000001</v>
      </c>
      <c r="I48" s="64">
        <f t="shared" si="16"/>
        <v>0</v>
      </c>
      <c r="J48" s="64">
        <f t="shared" si="19"/>
        <v>10.515000000000001</v>
      </c>
      <c r="K48" s="113">
        <v>10200</v>
      </c>
      <c r="L48" s="55">
        <v>8846</v>
      </c>
      <c r="M48" s="114">
        <f>IFERROR((L48+L49)/K48,0)</f>
        <v>0.86725490196078436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10.515000000000001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/>
      <c r="E49" s="114"/>
      <c r="F49" s="12">
        <f>VLOOKUP($E$48,FATORES!$B$16:$E$18,4)</f>
        <v>1.5E-3</v>
      </c>
      <c r="G49" s="12">
        <f>IFERROR(VLOOKUP($E$48,FATORES!$B$19:$E$20,4),0)</f>
        <v>6.0000000000000001E-3</v>
      </c>
      <c r="H49" s="64">
        <f t="shared" si="18"/>
        <v>0</v>
      </c>
      <c r="I49" s="64">
        <f t="shared" si="16"/>
        <v>0</v>
      </c>
      <c r="J49" s="64">
        <f t="shared" si="19"/>
        <v>0</v>
      </c>
      <c r="K49" s="113"/>
      <c r="L49" s="55"/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0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2167</v>
      </c>
      <c r="D50" s="55">
        <v>1227</v>
      </c>
      <c r="E50" s="114">
        <f>IFERROR((D50+D51)/C50,0)</f>
        <v>1.0055376095985233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18.404999999999998</v>
      </c>
      <c r="I50" s="64">
        <f t="shared" si="16"/>
        <v>0</v>
      </c>
      <c r="J50" s="64">
        <f t="shared" si="19"/>
        <v>18.404999999999998</v>
      </c>
      <c r="K50" s="113">
        <v>6500</v>
      </c>
      <c r="L50" s="55"/>
      <c r="M50" s="114">
        <f>IFERROR((L50+L51)/K50,0)</f>
        <v>0.8</v>
      </c>
      <c r="N50" s="12">
        <f>IF($M$50&gt;=FATORES!$B$11,FATORES!D11,0)</f>
        <v>0</v>
      </c>
      <c r="O50" s="88">
        <f t="shared" si="17"/>
        <v>0</v>
      </c>
      <c r="P50" s="13">
        <f t="shared" si="21"/>
        <v>18.404999999999998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952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9.52</v>
      </c>
      <c r="I51" s="64">
        <f t="shared" si="16"/>
        <v>0</v>
      </c>
      <c r="J51" s="64">
        <f t="shared" si="19"/>
        <v>9.52</v>
      </c>
      <c r="K51" s="113"/>
      <c r="L51" s="55">
        <v>5200</v>
      </c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9.52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194</v>
      </c>
      <c r="D52" s="55">
        <v>200</v>
      </c>
      <c r="E52" s="49">
        <f>IFERROR(D52/C52,0)</f>
        <v>1.0309278350515463</v>
      </c>
      <c r="F52" s="12">
        <f>VLOOKUP($E$52,FATORES!$O$4:$Q$6,3)</f>
        <v>0.05</v>
      </c>
      <c r="G52" s="12">
        <f>IFERROR(VLOOKUP($E$52,FATORES!$O$7:$Q$8,3),0)</f>
        <v>0.2</v>
      </c>
      <c r="H52" s="64">
        <f t="shared" si="18"/>
        <v>10</v>
      </c>
      <c r="I52" s="64">
        <f t="shared" si="16"/>
        <v>0</v>
      </c>
      <c r="J52" s="64">
        <f t="shared" si="19"/>
        <v>10</v>
      </c>
      <c r="K52" s="54">
        <v>580</v>
      </c>
      <c r="L52" s="55">
        <v>634</v>
      </c>
      <c r="M52" s="49">
        <f t="shared" si="20"/>
        <v>1.0931034482758621</v>
      </c>
      <c r="N52" s="12">
        <f>IF($M$52&gt;=FATORES!$O$9,FATORES!$Q$9,0)</f>
        <v>0.1</v>
      </c>
      <c r="O52" s="88">
        <f t="shared" si="17"/>
        <v>0</v>
      </c>
      <c r="P52" s="13">
        <f t="shared" si="21"/>
        <v>10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217</v>
      </c>
      <c r="D53" s="57">
        <v>293.27999999999997</v>
      </c>
      <c r="E53" s="50">
        <f>IFERROR(D53/C53,0)</f>
        <v>1.3515207373271889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2.9327999999999999</v>
      </c>
      <c r="I53" s="64">
        <f t="shared" si="16"/>
        <v>0</v>
      </c>
      <c r="J53" s="16">
        <f t="shared" si="19"/>
        <v>2.9327999999999999</v>
      </c>
      <c r="K53" s="56">
        <v>650</v>
      </c>
      <c r="L53" s="57">
        <v>701</v>
      </c>
      <c r="M53" s="50">
        <f t="shared" si="20"/>
        <v>1.0784615384615384</v>
      </c>
      <c r="N53" s="15">
        <f>IF($M$53&gt;=FATORES!$O$17,FATORES!$Q$17,0)</f>
        <v>0.01</v>
      </c>
      <c r="O53" s="88">
        <f t="shared" si="17"/>
        <v>0</v>
      </c>
      <c r="P53" s="17">
        <f t="shared" si="21"/>
        <v>2.9327999999999999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269.47329999999999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OhPlBPnjtjfu2zT/EDFybViZFLjf1evHuareMmK0QKnz3Vo8oOfe8z4yCtG8L/IFHjy9weNylBQsxoTNsWyuuw==" saltValue="1aF051smivCPIyUpLRGoew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91" priority="22" operator="between">
      <formula>0.7</formula>
      <formula>1</formula>
    </cfRule>
    <cfRule type="cellIs" dxfId="90" priority="23" operator="greaterThanOrEqual">
      <formula>1</formula>
    </cfRule>
    <cfRule type="cellIs" dxfId="89" priority="24" operator="lessThan">
      <formula>0.7</formula>
    </cfRule>
  </conditionalFormatting>
  <conditionalFormatting sqref="E30:E33 E35 E37:E38">
    <cfRule type="cellIs" dxfId="88" priority="10" operator="between">
      <formula>0.7</formula>
      <formula>1</formula>
    </cfRule>
    <cfRule type="cellIs" dxfId="87" priority="11" operator="greaterThanOrEqual">
      <formula>1</formula>
    </cfRule>
    <cfRule type="cellIs" dxfId="86" priority="12" operator="lessThan">
      <formula>0.7</formula>
    </cfRule>
  </conditionalFormatting>
  <conditionalFormatting sqref="E45:E48 E50 E52:E53">
    <cfRule type="cellIs" dxfId="85" priority="34" operator="between">
      <formula>0.7</formula>
      <formula>1</formula>
    </cfRule>
    <cfRule type="cellIs" dxfId="84" priority="35" operator="greaterThanOrEqual">
      <formula>1</formula>
    </cfRule>
    <cfRule type="cellIs" dxfId="83" priority="36" operator="lessThan">
      <formula>0.7</formula>
    </cfRule>
  </conditionalFormatting>
  <conditionalFormatting sqref="M15:M18">
    <cfRule type="cellIs" dxfId="82" priority="16" operator="between">
      <formula>0.7</formula>
      <formula>1</formula>
    </cfRule>
    <cfRule type="cellIs" dxfId="81" priority="17" operator="greaterThanOrEqual">
      <formula>1</formula>
    </cfRule>
    <cfRule type="cellIs" dxfId="80" priority="18" operator="lessThan">
      <formula>0.7</formula>
    </cfRule>
  </conditionalFormatting>
  <conditionalFormatting sqref="M20">
    <cfRule type="cellIs" dxfId="79" priority="13" operator="between">
      <formula>0.7</formula>
      <formula>1</formula>
    </cfRule>
    <cfRule type="cellIs" dxfId="78" priority="14" operator="greaterThanOrEqual">
      <formula>1</formula>
    </cfRule>
    <cfRule type="cellIs" dxfId="77" priority="15" operator="lessThan">
      <formula>0.7</formula>
    </cfRule>
  </conditionalFormatting>
  <conditionalFormatting sqref="M22:M23">
    <cfRule type="cellIs" dxfId="76" priority="19" operator="between">
      <formula>0.7</formula>
      <formula>1</formula>
    </cfRule>
    <cfRule type="cellIs" dxfId="75" priority="20" operator="greaterThanOrEqual">
      <formula>1</formula>
    </cfRule>
    <cfRule type="cellIs" dxfId="74" priority="21" operator="lessThan">
      <formula>0.7</formula>
    </cfRule>
  </conditionalFormatting>
  <conditionalFormatting sqref="M30:M33">
    <cfRule type="cellIs" dxfId="73" priority="4" operator="between">
      <formula>0.7</formula>
      <formula>1</formula>
    </cfRule>
    <cfRule type="cellIs" dxfId="72" priority="5" operator="greaterThanOrEqual">
      <formula>1</formula>
    </cfRule>
    <cfRule type="cellIs" dxfId="71" priority="6" operator="lessThan">
      <formula>0.7</formula>
    </cfRule>
  </conditionalFormatting>
  <conditionalFormatting sqref="M35">
    <cfRule type="cellIs" dxfId="70" priority="1" operator="between">
      <formula>0.7</formula>
      <formula>1</formula>
    </cfRule>
    <cfRule type="cellIs" dxfId="69" priority="2" operator="greaterThanOrEqual">
      <formula>1</formula>
    </cfRule>
    <cfRule type="cellIs" dxfId="68" priority="3" operator="lessThan">
      <formula>0.7</formula>
    </cfRule>
  </conditionalFormatting>
  <conditionalFormatting sqref="M37:M38">
    <cfRule type="cellIs" dxfId="67" priority="7" operator="between">
      <formula>0.7</formula>
      <formula>1</formula>
    </cfRule>
    <cfRule type="cellIs" dxfId="66" priority="8" operator="greaterThanOrEqual">
      <formula>1</formula>
    </cfRule>
    <cfRule type="cellIs" dxfId="65" priority="9" operator="lessThan">
      <formula>0.7</formula>
    </cfRule>
  </conditionalFormatting>
  <conditionalFormatting sqref="M45:M48">
    <cfRule type="cellIs" dxfId="64" priority="28" operator="between">
      <formula>0.7</formula>
      <formula>1</formula>
    </cfRule>
    <cfRule type="cellIs" dxfId="63" priority="29" operator="greaterThanOrEqual">
      <formula>1</formula>
    </cfRule>
    <cfRule type="cellIs" dxfId="62" priority="30" operator="lessThan">
      <formula>0.7</formula>
    </cfRule>
  </conditionalFormatting>
  <conditionalFormatting sqref="M50">
    <cfRule type="cellIs" dxfId="61" priority="25" operator="between">
      <formula>0.7</formula>
      <formula>1</formula>
    </cfRule>
    <cfRule type="cellIs" dxfId="60" priority="26" operator="greaterThanOrEqual">
      <formula>1</formula>
    </cfRule>
    <cfRule type="cellIs" dxfId="59" priority="27" operator="lessThan">
      <formula>0.7</formula>
    </cfRule>
  </conditionalFormatting>
  <conditionalFormatting sqref="M52:M53">
    <cfRule type="cellIs" dxfId="58" priority="31" operator="between">
      <formula>0.7</formula>
      <formula>1</formula>
    </cfRule>
    <cfRule type="cellIs" dxfId="57" priority="32" operator="greaterThanOrEqual">
      <formula>1</formula>
    </cfRule>
    <cfRule type="cellIs" dxfId="56" priority="33" operator="lessThan">
      <formula>0.7</formula>
    </cfRule>
  </conditionalFormatting>
  <dataValidations count="1">
    <dataValidation type="list" allowBlank="1" showInputMessage="1" showErrorMessage="1" sqref="B8:H8" xr:uid="{E9E9EB0C-EC13-4855-8937-F94993DCD445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C8B934-C291-4660-AAEC-1F9418505595}">
          <x14:formula1>
            <xm:f>HC!$M$2:$M$5</xm:f>
          </x14:formula1>
          <xm:sqref>J7:K7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0F83-7457-4FA0-A879-7450BA06B97D}">
  <dimension ref="B1:X54"/>
  <sheetViews>
    <sheetView showGridLines="0" topLeftCell="B30" workbookViewId="0">
      <selection activeCell="D47" sqref="D47"/>
    </sheetView>
  </sheetViews>
  <sheetFormatPr defaultRowHeight="14.4" x14ac:dyDescent="0.3"/>
  <cols>
    <col min="1" max="1" width="2" customWidth="1"/>
    <col min="2" max="2" width="16.44140625" customWidth="1"/>
    <col min="3" max="4" width="15.77734375" customWidth="1"/>
    <col min="5" max="5" width="12.5546875" customWidth="1"/>
    <col min="6" max="6" width="14" customWidth="1"/>
    <col min="7" max="7" width="18.77734375" customWidth="1"/>
    <col min="8" max="8" width="14.77734375" customWidth="1"/>
    <col min="9" max="9" width="20" customWidth="1"/>
    <col min="10" max="10" width="21.21875" customWidth="1"/>
    <col min="11" max="12" width="15.77734375" customWidth="1"/>
    <col min="13" max="13" width="12.5546875" customWidth="1"/>
    <col min="14" max="14" width="20.5546875" customWidth="1"/>
    <col min="15" max="15" width="21" customWidth="1"/>
    <col min="16" max="16" width="15.21875" customWidth="1"/>
    <col min="17" max="19" width="15.5546875" customWidth="1"/>
    <col min="20" max="20" width="17.21875" customWidth="1"/>
  </cols>
  <sheetData>
    <row r="1" spans="2:24" x14ac:dyDescent="0.3">
      <c r="B1" s="58"/>
    </row>
    <row r="2" spans="2:24" x14ac:dyDescent="0.3">
      <c r="B2" s="164" t="s">
        <v>208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2:24" x14ac:dyDescent="0.3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</row>
    <row r="4" spans="2:24" x14ac:dyDescent="0.3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2:24" x14ac:dyDescent="0.3">
      <c r="B5" s="59"/>
      <c r="T5" s="60"/>
    </row>
    <row r="6" spans="2:24" x14ac:dyDescent="0.3">
      <c r="B6" s="173" t="s">
        <v>209</v>
      </c>
      <c r="C6" s="174"/>
      <c r="D6" s="174"/>
      <c r="E6" s="174"/>
      <c r="F6" s="174"/>
      <c r="G6" s="174"/>
      <c r="H6" s="175"/>
      <c r="J6" s="176" t="s">
        <v>53</v>
      </c>
      <c r="K6" s="176"/>
      <c r="M6" s="177" t="s">
        <v>54</v>
      </c>
      <c r="N6" s="176"/>
      <c r="P6" s="73" t="s">
        <v>23</v>
      </c>
      <c r="T6" s="60"/>
      <c r="V6" s="1">
        <v>0</v>
      </c>
      <c r="W6" s="1">
        <v>2</v>
      </c>
      <c r="X6" s="1">
        <v>3</v>
      </c>
    </row>
    <row r="7" spans="2:24" x14ac:dyDescent="0.3">
      <c r="B7" s="61" t="s">
        <v>210</v>
      </c>
      <c r="C7" s="2" t="s">
        <v>13</v>
      </c>
      <c r="D7" s="2" t="s">
        <v>211</v>
      </c>
      <c r="E7" s="2" t="s">
        <v>16</v>
      </c>
      <c r="F7" s="2" t="s">
        <v>212</v>
      </c>
      <c r="G7" s="2" t="s">
        <v>213</v>
      </c>
      <c r="H7" s="3" t="s">
        <v>14</v>
      </c>
      <c r="J7" s="178" t="s">
        <v>177</v>
      </c>
      <c r="K7" s="179"/>
      <c r="M7" s="178" t="s">
        <v>50</v>
      </c>
      <c r="N7" s="179"/>
      <c r="P7" s="74" t="s">
        <v>45</v>
      </c>
      <c r="T7" s="60"/>
    </row>
    <row r="8" spans="2:24" x14ac:dyDescent="0.3">
      <c r="B8" s="62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0"/>
    </row>
    <row r="9" spans="2:24" x14ac:dyDescent="0.3">
      <c r="B9" s="84"/>
      <c r="C9" s="85"/>
      <c r="D9" s="85"/>
      <c r="E9" s="85"/>
      <c r="F9" s="85"/>
      <c r="G9" s="85"/>
      <c r="H9" s="85"/>
    </row>
    <row r="10" spans="2:24" x14ac:dyDescent="0.3">
      <c r="B10" s="84"/>
      <c r="C10" s="85"/>
      <c r="D10" s="85"/>
      <c r="E10" s="85"/>
      <c r="F10" s="85"/>
      <c r="G10" s="85"/>
      <c r="H10" s="85"/>
    </row>
    <row r="11" spans="2:24" ht="18" x14ac:dyDescent="0.3">
      <c r="B11" s="162" t="s">
        <v>214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 spans="2:24" x14ac:dyDescent="0.3">
      <c r="B12" s="150" t="s">
        <v>9</v>
      </c>
      <c r="C12" s="151"/>
      <c r="D12" s="151"/>
      <c r="E12" s="151"/>
      <c r="F12" s="151"/>
      <c r="G12" s="151"/>
      <c r="H12" s="151"/>
      <c r="I12" s="151"/>
      <c r="J12" s="152"/>
      <c r="K12" s="153" t="s">
        <v>54</v>
      </c>
      <c r="L12" s="151"/>
      <c r="M12" s="151"/>
      <c r="N12" s="151"/>
      <c r="O12" s="151"/>
      <c r="P12" s="151"/>
      <c r="Q12" s="151"/>
      <c r="R12" s="151"/>
      <c r="S12" s="151"/>
      <c r="T12" s="154"/>
    </row>
    <row r="13" spans="2:24" ht="14.55" customHeight="1" x14ac:dyDescent="0.3">
      <c r="B13" s="132" t="s">
        <v>215</v>
      </c>
      <c r="C13" s="133" t="s">
        <v>216</v>
      </c>
      <c r="D13" s="134"/>
      <c r="E13" s="121"/>
      <c r="F13" s="156" t="s">
        <v>217</v>
      </c>
      <c r="G13" s="156" t="s">
        <v>218</v>
      </c>
      <c r="H13" s="156" t="s">
        <v>219</v>
      </c>
      <c r="I13" s="156" t="s">
        <v>220</v>
      </c>
      <c r="J13" s="156" t="s">
        <v>221</v>
      </c>
      <c r="K13" s="133" t="s">
        <v>222</v>
      </c>
      <c r="L13" s="134"/>
      <c r="M13" s="121"/>
      <c r="N13" s="146" t="s">
        <v>223</v>
      </c>
      <c r="O13" s="146" t="s">
        <v>224</v>
      </c>
      <c r="P13" s="146" t="s">
        <v>225</v>
      </c>
      <c r="Q13" s="146" t="s">
        <v>226</v>
      </c>
      <c r="R13" s="146" t="s">
        <v>227</v>
      </c>
      <c r="S13" s="146" t="s">
        <v>228</v>
      </c>
      <c r="T13" s="158" t="s">
        <v>229</v>
      </c>
    </row>
    <row r="14" spans="2:24" ht="15" customHeight="1" x14ac:dyDescent="0.3">
      <c r="B14" s="155"/>
      <c r="C14" s="110" t="s">
        <v>230</v>
      </c>
      <c r="D14" s="160" t="s">
        <v>231</v>
      </c>
      <c r="E14" s="161"/>
      <c r="F14" s="157"/>
      <c r="G14" s="157"/>
      <c r="H14" s="157"/>
      <c r="I14" s="157"/>
      <c r="J14" s="157"/>
      <c r="K14" s="51" t="s">
        <v>230</v>
      </c>
      <c r="L14" s="160" t="s">
        <v>231</v>
      </c>
      <c r="M14" s="161"/>
      <c r="N14" s="147"/>
      <c r="O14" s="147"/>
      <c r="P14" s="147"/>
      <c r="Q14" s="147"/>
      <c r="R14" s="147"/>
      <c r="S14" s="147"/>
      <c r="T14" s="159"/>
    </row>
    <row r="15" spans="2:24" x14ac:dyDescent="0.3">
      <c r="B15" s="44" t="s">
        <v>2</v>
      </c>
      <c r="C15" s="75">
        <f>_xlfn.XLOOKUP($J$7,REALIZADO[CONSULTOR],REALIZADO[META_MOVEL])</f>
        <v>3989.5832999999998</v>
      </c>
      <c r="D15" s="76">
        <f>_xlfn.XLOOKUP($J$7,PROJEÇÃO[CONSULTOR],PROJEÇÃO[PROJ_MOVEL])</f>
        <v>4039.010000000002</v>
      </c>
      <c r="E15" s="48">
        <f>IFERROR(D15/C15,0)</f>
        <v>1.0123889379625191</v>
      </c>
      <c r="F15" s="8">
        <f>VLOOKUP($E$15,FATORES!$I$4:$K$6,3)</f>
        <v>0.08</v>
      </c>
      <c r="G15" s="8">
        <f>IFERROR(VLOOKUP($E$15,FATORES!$I$7:$K$8,3),0)</f>
        <v>0.15</v>
      </c>
      <c r="H15" s="9">
        <f>D15*F15</f>
        <v>323.12080000000014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605.85150000000033</v>
      </c>
      <c r="J15" s="9">
        <f>H15+I15</f>
        <v>928.97230000000047</v>
      </c>
      <c r="K15" s="75">
        <f>SUMIFS(REALIZADO[META_MOVEL],REALIZADO[PDV],'SERRA SEDE'!$M$7)</f>
        <v>19149.999899999999</v>
      </c>
      <c r="L15" s="76">
        <f>SUMIFS(PROJEÇÃO[PROJ_MOVEL],PROJEÇÃO[PDV],'SERRA SEDE'!$M$7)</f>
        <v>20730.71000000001</v>
      </c>
      <c r="M15" s="48">
        <f>IFERROR(L15/K15,0)</f>
        <v>1.0825436087861291</v>
      </c>
      <c r="N15" s="8">
        <f>IF($M$15&gt;=FATORES!$I$9,FATORES!$K$9,0)</f>
        <v>0.1</v>
      </c>
      <c r="O15" s="88">
        <f t="shared" ref="O15:O23" si="1"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403.90100000000024</v>
      </c>
      <c r="P15" s="10">
        <f>J15+O15</f>
        <v>1332.8733000000007</v>
      </c>
      <c r="Q15" s="11">
        <f>IF($B$8=2,P15*0.05,0)</f>
        <v>0</v>
      </c>
      <c r="R15" s="11">
        <f>IF($B$8=3,P15*0.15,0)</f>
        <v>0</v>
      </c>
      <c r="S15" s="115">
        <v>0.1</v>
      </c>
      <c r="T15" s="143">
        <f>SUM(P24:S24)</f>
        <v>3003.9600800000007</v>
      </c>
    </row>
    <row r="16" spans="2:24" x14ac:dyDescent="0.3">
      <c r="B16" s="45" t="s">
        <v>13</v>
      </c>
      <c r="C16" s="75">
        <f>_xlfn.XLOOKUP($J$7,REALIZADO[CONSULTOR],REALIZADO[META_FIXA])</f>
        <v>1666.6667</v>
      </c>
      <c r="D16" s="76">
        <f>_xlfn.XLOOKUP($J$7,PROJEÇÃO[CONSULTOR],PROJEÇÃO[PROJ_FIXA])</f>
        <v>1885.0000000000009</v>
      </c>
      <c r="E16" s="49">
        <f>IFERROR(D16/C16,0)</f>
        <v>1.130999977380001</v>
      </c>
      <c r="F16" s="12">
        <f>VLOOKUP($E$16,FATORES!$I$12:$K$14,3)</f>
        <v>0.08</v>
      </c>
      <c r="G16" s="12">
        <f>IFERROR(VLOOKUP($E$16,FATORES!$I$15:$K$16,3),0)</f>
        <v>0.15</v>
      </c>
      <c r="H16" s="64">
        <f t="shared" ref="H16:H23" si="2">D16*F16</f>
        <v>150.80000000000007</v>
      </c>
      <c r="I16" s="64">
        <f t="shared" si="0"/>
        <v>282.75000000000011</v>
      </c>
      <c r="J16" s="64">
        <f t="shared" ref="J16:J23" si="3">H16+I16</f>
        <v>433.55000000000018</v>
      </c>
      <c r="K16" s="75">
        <f>SUMIFS(REALIZADO[META_FIXA],REALIZADO[PDV],'SERRA SEDE'!$M$7)</f>
        <v>8000.0001000000002</v>
      </c>
      <c r="L16" s="76">
        <f>SUMIFS(PROJEÇÃO[PROJ_FIXA],PROJEÇÃO[PDV],'SERRA SEDE'!$M$7)</f>
        <v>9349.9900000000052</v>
      </c>
      <c r="M16" s="49">
        <f t="shared" ref="M16:M17" si="4">IFERROR(L16/K16,0)</f>
        <v>1.1687487353906414</v>
      </c>
      <c r="N16" s="12">
        <f>IF($M$17&gt;=FATORES!$I$17,FATORES!$K$17,0)</f>
        <v>0.15</v>
      </c>
      <c r="O16" s="88">
        <f t="shared" si="1"/>
        <v>282.75000000000011</v>
      </c>
      <c r="P16" s="13">
        <f t="shared" ref="P16:P23" si="5">J16+O16</f>
        <v>716.3000000000003</v>
      </c>
      <c r="Q16" s="14">
        <f>IF($C$8=2,P16*0.05,0)</f>
        <v>0</v>
      </c>
      <c r="R16" s="14">
        <f>IF($C$8=3,P16*0.15,0)</f>
        <v>0</v>
      </c>
      <c r="S16" s="116"/>
      <c r="T16" s="144"/>
    </row>
    <row r="17" spans="2:20" x14ac:dyDescent="0.3">
      <c r="B17" s="45" t="s">
        <v>232</v>
      </c>
      <c r="C17" s="75">
        <f>_xlfn.XLOOKUP($J$7,REALIZADO[CONSULTOR],REALIZADO[META_SMARTPHONE])</f>
        <v>39375</v>
      </c>
      <c r="D17" s="76">
        <f>_xlfn.XLOOKUP($J$7,PROJEÇÃO[CONSULTOR],PROJEÇÃO[PROJ_APARELHO])</f>
        <v>42690.000000000022</v>
      </c>
      <c r="E17" s="49">
        <f>IFERROR(D17/C17,0)</f>
        <v>1.0841904761904768</v>
      </c>
      <c r="F17" s="12">
        <f>VLOOKUP($E$17,FATORES!$B$25:$D$26,3)</f>
        <v>1.5E-3</v>
      </c>
      <c r="G17" s="12">
        <f>IFERROR(VLOOKUP($E$17,FATORES!$B$27:$D$27,3),0)</f>
        <v>2E-3</v>
      </c>
      <c r="H17" s="64">
        <f t="shared" si="2"/>
        <v>64.035000000000039</v>
      </c>
      <c r="I17" s="64">
        <f t="shared" si="0"/>
        <v>85.380000000000052</v>
      </c>
      <c r="J17" s="64">
        <f t="shared" si="3"/>
        <v>149.41500000000008</v>
      </c>
      <c r="K17" s="52">
        <f>SUMIFS(REALIZADO[META_SMARTPHONE],REALIZADO[PDV],'SERRA SEDE'!$M$7)</f>
        <v>189000</v>
      </c>
      <c r="L17" s="77">
        <f>SUMIFS(PROJEÇÃO[PROJ_APARELHO],PROJEÇÃO[PDV],'SERRA SEDE'!$M$7)</f>
        <v>189768.00000000009</v>
      </c>
      <c r="M17" s="49">
        <f t="shared" si="4"/>
        <v>1.0040634920634925</v>
      </c>
      <c r="N17" s="12">
        <f>IF($M$17&gt;=FATORES!$B$28,FATORES!$D$28,0)</f>
        <v>2.5000000000000001E-3</v>
      </c>
      <c r="O17" s="88">
        <f t="shared" si="1"/>
        <v>106.72500000000005</v>
      </c>
      <c r="P17" s="13">
        <f t="shared" si="5"/>
        <v>256.1400000000001</v>
      </c>
      <c r="Q17" s="14">
        <f>IF($D$8=2,P17*0.05,0)</f>
        <v>0</v>
      </c>
      <c r="R17" s="14">
        <f>IF($D$8=3,P17*0.15,0)</f>
        <v>0</v>
      </c>
      <c r="S17" s="116"/>
      <c r="T17" s="144"/>
    </row>
    <row r="18" spans="2:20" x14ac:dyDescent="0.3">
      <c r="B18" s="46" t="s">
        <v>233</v>
      </c>
      <c r="C18" s="138">
        <f>_xlfn.XLOOKUP($J$7,REALIZADO[CONSULTOR],REALIZADO[META_ACESSORIO])</f>
        <v>7500</v>
      </c>
      <c r="D18" s="77">
        <f>_xlfn.XLOOKUP($J$7,PROJEÇÃO[CONSULTOR],PROJEÇÃO[PROJ_ELETRO_A])</f>
        <v>0</v>
      </c>
      <c r="E18" s="140">
        <f>IFERROR((D18+D19)/C18,0)</f>
        <v>1.4993333333333341</v>
      </c>
      <c r="F18" s="12">
        <f>VLOOKUP($E$18,FATORES!$B$16:$E$18,3)</f>
        <v>3.0000000000000001E-3</v>
      </c>
      <c r="G18" s="12">
        <f>IFERROR(VLOOKUP($E$18,FATORES!$B$19:$E$20,3),0)</f>
        <v>1.2E-2</v>
      </c>
      <c r="H18" s="64">
        <f t="shared" si="2"/>
        <v>0</v>
      </c>
      <c r="I18" s="64">
        <f t="shared" si="0"/>
        <v>0</v>
      </c>
      <c r="J18" s="64">
        <f t="shared" si="3"/>
        <v>0</v>
      </c>
      <c r="K18" s="141">
        <f>SUMIFS(REALIZADO[META_ACESSORIO],REALIZADO[PDV],'SERRA SEDE'!$M$7)</f>
        <v>36000</v>
      </c>
      <c r="L18" s="86">
        <f>SUMIFS(PROJEÇÃO[PROJ_ELETRO_A],PROJEÇÃO[PDV],'SERRA SEDE'!$M$7)</f>
        <v>438.00000000000023</v>
      </c>
      <c r="M18" s="114">
        <f>IFERROR((L18+L19)/K18,0)</f>
        <v>1.4512777777777783</v>
      </c>
      <c r="N18" s="12">
        <f>IF($M$18&gt;=FATORES!$B$21,FATORES!$D$21,0)</f>
        <v>5.0000000000000001E-3</v>
      </c>
      <c r="O18" s="88">
        <f t="shared" si="1"/>
        <v>0</v>
      </c>
      <c r="P18" s="13">
        <f t="shared" si="5"/>
        <v>0</v>
      </c>
      <c r="Q18" s="14">
        <f>IF($E$8=2,P18*0.05,0)</f>
        <v>0</v>
      </c>
      <c r="R18" s="14">
        <f>IF($E$8=3,P18*0.15,0)</f>
        <v>0</v>
      </c>
      <c r="S18" s="116"/>
      <c r="T18" s="144"/>
    </row>
    <row r="19" spans="2:20" x14ac:dyDescent="0.3">
      <c r="B19" s="46" t="s">
        <v>234</v>
      </c>
      <c r="C19" s="139"/>
      <c r="D19" s="78">
        <f>_xlfn.XLOOKUP($J$7,PROJEÇÃO[CONSULTOR],PROJEÇÃO[PROJ_ELETRO_B])</f>
        <v>11245.000000000005</v>
      </c>
      <c r="E19" s="140"/>
      <c r="F19" s="12">
        <f>VLOOKUP($E$18,FATORES!$B$16:$E$18,4)</f>
        <v>1.5E-3</v>
      </c>
      <c r="G19" s="12">
        <f>IFERROR(VLOOKUP($E$18,FATORES!$B$19:$E$20,4),0)</f>
        <v>6.0000000000000001E-3</v>
      </c>
      <c r="H19" s="64">
        <f t="shared" si="2"/>
        <v>16.867500000000007</v>
      </c>
      <c r="I19" s="64">
        <f t="shared" si="0"/>
        <v>67.470000000000027</v>
      </c>
      <c r="J19" s="64">
        <f t="shared" si="3"/>
        <v>84.337500000000034</v>
      </c>
      <c r="K19" s="142"/>
      <c r="L19" s="87">
        <f>SUMIFS(PROJEÇÃO[PROJ_ELETRO_B],PROJEÇÃO[PDV],'SERRA SEDE'!$M$7)</f>
        <v>51808.000000000022</v>
      </c>
      <c r="M19" s="114"/>
      <c r="N19" s="12">
        <f>IF($M$18&gt;=FATORES!$B$21,FATORES!$E$21,0)</f>
        <v>2.5000000000000001E-3</v>
      </c>
      <c r="O19" s="88">
        <f t="shared" si="1"/>
        <v>0</v>
      </c>
      <c r="P19" s="13">
        <f t="shared" si="5"/>
        <v>84.337500000000034</v>
      </c>
      <c r="Q19" s="14">
        <f>IF($E$8=2,P19*0.05,0)</f>
        <v>0</v>
      </c>
      <c r="R19" s="14">
        <f>IF($E$8=3,P19*0.15,0)</f>
        <v>0</v>
      </c>
      <c r="S19" s="116"/>
      <c r="T19" s="144"/>
    </row>
    <row r="20" spans="2:20" x14ac:dyDescent="0.3">
      <c r="B20" s="45" t="s">
        <v>235</v>
      </c>
      <c r="C20" s="138">
        <f>_xlfn.XLOOKUP($J$7,REALIZADO[CONSULTOR],REALIZADO[META_ESSENCIAIS])</f>
        <v>2812.5</v>
      </c>
      <c r="D20" s="77">
        <f>_xlfn.XLOOKUP($J$7,PROJEÇÃO[CONSULTOR],PROJEÇÃO[PROJ_ESSEN_A])</f>
        <v>1347.0000000000007</v>
      </c>
      <c r="E20" s="140">
        <f>IFERROR((D20+D21)/C20,0)</f>
        <v>1.163733333333334</v>
      </c>
      <c r="F20" s="12">
        <f>VLOOKUP($E$20,FATORES!$B$6:$E$8,3)</f>
        <v>1.4999999999999999E-2</v>
      </c>
      <c r="G20" s="12">
        <f>IFERROR(VLOOKUP($E$20,FATORES!$B$9:$E$10,3),0)</f>
        <v>0.04</v>
      </c>
      <c r="H20" s="64">
        <f t="shared" si="2"/>
        <v>20.205000000000009</v>
      </c>
      <c r="I20" s="64">
        <f t="shared" si="0"/>
        <v>53.880000000000031</v>
      </c>
      <c r="J20" s="64">
        <f t="shared" si="3"/>
        <v>74.085000000000036</v>
      </c>
      <c r="K20" s="141">
        <f>SUMIFS(REALIZADO[META_ESSENCIAIS],REALIZADO[PDV],'SERRA SEDE'!$M$7)</f>
        <v>13500</v>
      </c>
      <c r="L20" s="86">
        <f>SUMIFS(PROJEÇÃO[PROJ_ESSEN_A],PROJEÇÃO[PDV],'SERRA SEDE'!$M$7)</f>
        <v>6187.0000000000027</v>
      </c>
      <c r="M20" s="114">
        <f>IFERROR((L20+L21)/K20,0)</f>
        <v>1.0893333333333339</v>
      </c>
      <c r="N20" s="12">
        <f>IF($M$20&gt;=FATORES!$B$11,FATORES!$D$11,0)</f>
        <v>1.4999999999999999E-2</v>
      </c>
      <c r="O20" s="88">
        <f t="shared" si="1"/>
        <v>20.205000000000009</v>
      </c>
      <c r="P20" s="13">
        <f t="shared" si="5"/>
        <v>94.290000000000049</v>
      </c>
      <c r="Q20" s="14">
        <f>IF($F$8=2,P20*0.05,0)</f>
        <v>0</v>
      </c>
      <c r="R20" s="14">
        <f>IF($F$8=3,P20*0.15,0)</f>
        <v>0</v>
      </c>
      <c r="S20" s="116"/>
      <c r="T20" s="144"/>
    </row>
    <row r="21" spans="2:20" x14ac:dyDescent="0.3">
      <c r="B21" s="45" t="s">
        <v>236</v>
      </c>
      <c r="C21" s="139"/>
      <c r="D21" s="78">
        <f>_xlfn.XLOOKUP($J$7,PROJEÇÃO[CONSULTOR],PROJEÇÃO[PROJ_ESSEN_B])</f>
        <v>1926.0000000000009</v>
      </c>
      <c r="E21" s="140"/>
      <c r="F21" s="12">
        <f>VLOOKUP($E$20,FATORES!$B$6:$E$8,4)</f>
        <v>0.01</v>
      </c>
      <c r="G21" s="12">
        <f>IFERROR(VLOOKUP($E$20,FATORES!$B$9:$E$10,4),0)</f>
        <v>1.4999999999999999E-2</v>
      </c>
      <c r="H21" s="64">
        <f t="shared" si="2"/>
        <v>19.260000000000009</v>
      </c>
      <c r="I21" s="64">
        <f t="shared" si="0"/>
        <v>28.890000000000011</v>
      </c>
      <c r="J21" s="64">
        <f t="shared" si="3"/>
        <v>48.15000000000002</v>
      </c>
      <c r="K21" s="142"/>
      <c r="L21" s="87">
        <f>SUMIFS(PROJEÇÃO[PROJ_ESSEN_B],PROJEÇÃO[PDV],'SERRA SEDE'!$M$7)</f>
        <v>8519.0000000000036</v>
      </c>
      <c r="M21" s="114"/>
      <c r="N21" s="12">
        <f>IF($M$20&gt;=FATORES!$B$11,FATORES!$E$11,0)</f>
        <v>0.01</v>
      </c>
      <c r="O21" s="88">
        <f t="shared" si="1"/>
        <v>0</v>
      </c>
      <c r="P21" s="13">
        <f t="shared" si="5"/>
        <v>48.15000000000002</v>
      </c>
      <c r="Q21" s="14">
        <f>IF($F$8=2,P21*0.05,0)</f>
        <v>0</v>
      </c>
      <c r="R21" s="14">
        <f>IF($F$8=3,P21*0.15,0)</f>
        <v>0</v>
      </c>
      <c r="S21" s="116"/>
      <c r="T21" s="144"/>
    </row>
    <row r="22" spans="2:20" x14ac:dyDescent="0.3">
      <c r="B22" s="45" t="s">
        <v>213</v>
      </c>
      <c r="C22" s="75">
        <f>_xlfn.XLOOKUP($J$7,REALIZADO[CONSULTOR],REALIZADO[META_SEGUROS])</f>
        <v>427.08330000000001</v>
      </c>
      <c r="D22" s="81">
        <f>_xlfn.XLOOKUP($J$7,PROJEÇÃO[CONSULTOR],PROJEÇÃO[PROJ_SEGURO])</f>
        <v>518.20000000000005</v>
      </c>
      <c r="E22" s="83">
        <f>IFERROR(D22/C22,0)</f>
        <v>1.2133464361636244</v>
      </c>
      <c r="F22" s="83">
        <f>VLOOKUP($E$22,FATORES!$O$4:$Q$6,3)</f>
        <v>0.05</v>
      </c>
      <c r="G22" s="12">
        <f>IFERROR(VLOOKUP($E$22,FATORES!$O$7:$Q$8,3),0)</f>
        <v>0.2</v>
      </c>
      <c r="H22" s="64">
        <f t="shared" si="2"/>
        <v>25.910000000000004</v>
      </c>
      <c r="I22" s="64">
        <f t="shared" si="0"/>
        <v>103.64000000000001</v>
      </c>
      <c r="J22" s="64">
        <f t="shared" si="3"/>
        <v>129.55000000000001</v>
      </c>
      <c r="K22" s="56">
        <f>SUMIFS(REALIZADO[META_SEGUROS],REALIZADO[PDV],'SERRA SEDE'!$M$7)</f>
        <v>2049.9998999999998</v>
      </c>
      <c r="L22" s="78">
        <f>SUMIFS(PROJEÇÃO[PROJ_SEGURO],PROJEÇÃO[PDV],'SERRA SEDE'!$M$7)</f>
        <v>2151.9000000000005</v>
      </c>
      <c r="M22" s="49">
        <f t="shared" ref="M22:M23" si="6">IFERROR(L22/K22,0)</f>
        <v>1.0497073682784086</v>
      </c>
      <c r="N22" s="12">
        <f>IF($M$22&gt;=FATORES!$O$9,FATORES!$Q$9,0)</f>
        <v>0.1</v>
      </c>
      <c r="O22" s="88">
        <f t="shared" si="1"/>
        <v>51.820000000000007</v>
      </c>
      <c r="P22" s="13">
        <f t="shared" si="5"/>
        <v>181.37</v>
      </c>
      <c r="Q22" s="14">
        <f>IF($G$8=2,P22*0.05,0)</f>
        <v>0</v>
      </c>
      <c r="R22" s="14">
        <f>IF($G$8=3,P22*0.15,0)</f>
        <v>0</v>
      </c>
      <c r="S22" s="116"/>
      <c r="T22" s="144"/>
    </row>
    <row r="23" spans="2:20" x14ac:dyDescent="0.3">
      <c r="B23" s="47" t="s">
        <v>14</v>
      </c>
      <c r="C23" s="57">
        <f>_xlfn.XLOOKUP($J$7,REALIZADO[CONSULTOR],REALIZADO[META_SVA])</f>
        <v>291.66669999999999</v>
      </c>
      <c r="D23" s="57">
        <f>_xlfn.XLOOKUP($J$7,PROJEÇÃO[CONSULTOR],PROJEÇÃO[PROJ_SVA])</f>
        <v>580.40000000000009</v>
      </c>
      <c r="E23" s="82">
        <f>IFERROR(D23/C23,0)</f>
        <v>1.9899426297208427</v>
      </c>
      <c r="F23" s="15">
        <f>IF(E23&gt;=0,FATORES!$Q$12)</f>
        <v>0.01</v>
      </c>
      <c r="G23" s="15">
        <f>IFERROR(VLOOKUP($E$23,FATORES!$O$15:$Q$16,3),0)</f>
        <v>0.01</v>
      </c>
      <c r="H23" s="16">
        <f t="shared" si="2"/>
        <v>5.8040000000000012</v>
      </c>
      <c r="I23" s="64">
        <f t="shared" si="0"/>
        <v>5.8040000000000012</v>
      </c>
      <c r="J23" s="16">
        <f t="shared" si="3"/>
        <v>11.608000000000002</v>
      </c>
      <c r="K23" s="75">
        <f>SUMIFS(REALIZADO[META_SVA],REALIZADO[PDV],'SERRA SEDE'!$M$7)</f>
        <v>1400.0001</v>
      </c>
      <c r="L23" s="76">
        <f>SUMIFS(PROJEÇÃO[PROJ_SVA],PROJEÇÃO[PDV],'SERRA SEDE'!$M$7)</f>
        <v>1919.9600000000005</v>
      </c>
      <c r="M23" s="50">
        <f t="shared" si="6"/>
        <v>1.3713999020428644</v>
      </c>
      <c r="N23" s="15">
        <f>IF($M$23&gt;=FATORES!$O$17,FATORES!$Q$17,0)</f>
        <v>0.01</v>
      </c>
      <c r="O23" s="88">
        <f t="shared" si="1"/>
        <v>5.8040000000000012</v>
      </c>
      <c r="P23" s="17">
        <f t="shared" si="5"/>
        <v>17.412000000000003</v>
      </c>
      <c r="Q23" s="18">
        <f>IF($H$8=2,P23*0.05,0)</f>
        <v>0</v>
      </c>
      <c r="R23" s="18">
        <f>IF($H$8=3,P23*0.15,0)</f>
        <v>0</v>
      </c>
      <c r="S23" s="117"/>
      <c r="T23" s="145"/>
    </row>
    <row r="24" spans="2:20" x14ac:dyDescent="0.3">
      <c r="B24" s="65"/>
      <c r="C24" s="66"/>
      <c r="D24" s="66"/>
      <c r="E24" s="66"/>
      <c r="F24" s="66"/>
      <c r="G24" s="66"/>
      <c r="H24" s="66"/>
      <c r="I24" s="66"/>
      <c r="J24" s="67"/>
      <c r="K24" s="68"/>
      <c r="L24" s="66"/>
      <c r="M24" s="66"/>
      <c r="N24" s="66"/>
      <c r="O24" s="66"/>
      <c r="P24" s="69">
        <f>SUM(P15:P23)</f>
        <v>2730.8728000000006</v>
      </c>
      <c r="Q24" s="69">
        <f t="shared" ref="Q24:R24" si="7">SUM(Q15:Q23)</f>
        <v>0</v>
      </c>
      <c r="R24" s="69">
        <f t="shared" si="7"/>
        <v>0</v>
      </c>
      <c r="S24" s="70">
        <f>IF($P$7="ARIEL",IF(MIN(E15,E17,E18,E19,E20,E22,E23)&gt;=100%,SUM(P24:R24)*S15,""),IF(MIN(E15:E23)&gt;=100%,SUM(P24:R24)*S15,""))</f>
        <v>273.08728000000008</v>
      </c>
      <c r="T24" s="71"/>
    </row>
    <row r="25" spans="2:20" ht="16.2" customHeight="1" x14ac:dyDescent="0.3">
      <c r="B25" s="79"/>
      <c r="C25" s="6"/>
      <c r="D25" s="6"/>
      <c r="E25" s="6"/>
      <c r="F25" s="6"/>
      <c r="G25" s="6"/>
      <c r="H25" s="6"/>
      <c r="T25" s="60"/>
    </row>
    <row r="26" spans="2:20" ht="18" x14ac:dyDescent="0.3">
      <c r="B26" s="148" t="s">
        <v>237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2:20" x14ac:dyDescent="0.3">
      <c r="B27" s="150" t="s">
        <v>9</v>
      </c>
      <c r="C27" s="151"/>
      <c r="D27" s="151"/>
      <c r="E27" s="151"/>
      <c r="F27" s="151"/>
      <c r="G27" s="151"/>
      <c r="H27" s="151"/>
      <c r="I27" s="151"/>
      <c r="J27" s="152"/>
      <c r="K27" s="153" t="s">
        <v>54</v>
      </c>
      <c r="L27" s="151"/>
      <c r="M27" s="151"/>
      <c r="N27" s="151"/>
      <c r="O27" s="151"/>
      <c r="P27" s="151"/>
      <c r="Q27" s="151"/>
      <c r="R27" s="151"/>
      <c r="S27" s="151"/>
      <c r="T27" s="154"/>
    </row>
    <row r="28" spans="2:20" ht="14.55" customHeight="1" x14ac:dyDescent="0.3">
      <c r="B28" s="132" t="s">
        <v>215</v>
      </c>
      <c r="C28" s="133" t="s">
        <v>216</v>
      </c>
      <c r="D28" s="134"/>
      <c r="E28" s="121"/>
      <c r="F28" s="156" t="s">
        <v>217</v>
      </c>
      <c r="G28" s="156" t="s">
        <v>218</v>
      </c>
      <c r="H28" s="156" t="s">
        <v>219</v>
      </c>
      <c r="I28" s="156" t="s">
        <v>220</v>
      </c>
      <c r="J28" s="156" t="s">
        <v>221</v>
      </c>
      <c r="K28" s="133" t="s">
        <v>222</v>
      </c>
      <c r="L28" s="134"/>
      <c r="M28" s="121"/>
      <c r="N28" s="146" t="s">
        <v>223</v>
      </c>
      <c r="O28" s="146" t="s">
        <v>224</v>
      </c>
      <c r="P28" s="146" t="s">
        <v>225</v>
      </c>
      <c r="Q28" s="146" t="s">
        <v>226</v>
      </c>
      <c r="R28" s="146" t="s">
        <v>227</v>
      </c>
      <c r="S28" s="146" t="s">
        <v>228</v>
      </c>
      <c r="T28" s="158" t="s">
        <v>229</v>
      </c>
    </row>
    <row r="29" spans="2:20" ht="14.55" customHeight="1" x14ac:dyDescent="0.3">
      <c r="B29" s="155"/>
      <c r="C29" s="110" t="s">
        <v>230</v>
      </c>
      <c r="D29" s="160" t="s">
        <v>231</v>
      </c>
      <c r="E29" s="161"/>
      <c r="F29" s="157"/>
      <c r="G29" s="157"/>
      <c r="H29" s="157"/>
      <c r="I29" s="157"/>
      <c r="J29" s="157"/>
      <c r="K29" s="51" t="s">
        <v>230</v>
      </c>
      <c r="L29" s="160" t="s">
        <v>231</v>
      </c>
      <c r="M29" s="161"/>
      <c r="N29" s="147"/>
      <c r="O29" s="147"/>
      <c r="P29" s="147"/>
      <c r="Q29" s="147"/>
      <c r="R29" s="147"/>
      <c r="S29" s="147"/>
      <c r="T29" s="159"/>
    </row>
    <row r="30" spans="2:20" x14ac:dyDescent="0.3">
      <c r="B30" s="44" t="s">
        <v>2</v>
      </c>
      <c r="C30" s="75">
        <f>_xlfn.XLOOKUP($J$7,REALIZADO[CONSULTOR],REALIZADO[META_MOVEL])</f>
        <v>3989.5832999999998</v>
      </c>
      <c r="D30" s="76">
        <f>_xlfn.XLOOKUP($J$7,REALIZADO[CONSULTOR],REALIZADO[AT_MOVEL])</f>
        <v>256</v>
      </c>
      <c r="E30" s="48">
        <f>IFERROR(D30/C30,0)</f>
        <v>6.4167102363798245E-2</v>
      </c>
      <c r="F30" s="8">
        <f>VLOOKUP($E$30,FATORES!$I$4:$K$6,3)</f>
        <v>0.01</v>
      </c>
      <c r="G30" s="8">
        <f>IFERROR(VLOOKUP($E$30,FATORES!$I$7:$K$8,3),0)</f>
        <v>0</v>
      </c>
      <c r="H30" s="9">
        <f>D30*F30</f>
        <v>2.56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2.56</v>
      </c>
      <c r="K30" s="75">
        <f>SUMIFS(REALIZADO[META_MOVEL],REALIZADO[PDV],'SERRA SEDE'!$M$7)</f>
        <v>19149.999899999999</v>
      </c>
      <c r="L30" s="76">
        <f>SUMIFS(REALIZADO[AT_MOVEL],REALIZADO[PDV],'SERRA SEDE'!$M$7)</f>
        <v>2163.52</v>
      </c>
      <c r="M30" s="48">
        <f>IFERROR(L30/K30,0)</f>
        <v>0.11297754628186708</v>
      </c>
      <c r="N30" s="8">
        <f>IF($M$30&gt;=FATORES!$I$9,FATORES!$K$9,0)</f>
        <v>0</v>
      </c>
      <c r="O30" s="88">
        <f t="shared" ref="O30:O38" si="9"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2.56</v>
      </c>
      <c r="Q30" s="11">
        <f>IF($B$8=2,P30*0.05,0)</f>
        <v>0</v>
      </c>
      <c r="R30" s="11">
        <f>IF($B$8=3,P30*0.15,0)</f>
        <v>0</v>
      </c>
      <c r="S30" s="115">
        <v>0.1</v>
      </c>
      <c r="T30" s="143">
        <f>SUM(P39:S39)</f>
        <v>5.2374999999999998</v>
      </c>
    </row>
    <row r="31" spans="2:20" x14ac:dyDescent="0.3">
      <c r="B31" s="45" t="s">
        <v>13</v>
      </c>
      <c r="C31" s="75">
        <f>_xlfn.XLOOKUP($J$7,REALIZADO[CONSULTOR],REALIZADO[META_FIXA])</f>
        <v>1666.6667</v>
      </c>
      <c r="D31" s="76">
        <f>_xlfn.XLOOKUP($J$7,REALIZADO[CONSULTOR],REALIZADO[AT_FIXA])</f>
        <v>0</v>
      </c>
      <c r="E31" s="49">
        <f>IFERROR(D31/C31,0)</f>
        <v>0</v>
      </c>
      <c r="F31" s="12">
        <f>VLOOKUP($E$31,FATORES!$I$12:$K$14,3)</f>
        <v>0.01</v>
      </c>
      <c r="G31" s="12">
        <f>IFERROR(VLOOKUP($E$31,FATORES!$I$15:$K$16,3),0)</f>
        <v>0</v>
      </c>
      <c r="H31" s="64">
        <f t="shared" ref="H31:H38" si="10">D31*F31</f>
        <v>0</v>
      </c>
      <c r="I31" s="64">
        <f t="shared" si="8"/>
        <v>0</v>
      </c>
      <c r="J31" s="64">
        <f t="shared" ref="J31:J38" si="11">H31+I31</f>
        <v>0</v>
      </c>
      <c r="K31" s="75">
        <f>SUMIFS(REALIZADO[META_FIXA],REALIZADO[PDV],'SERRA SEDE'!$M$7)</f>
        <v>8000.0001000000002</v>
      </c>
      <c r="L31" s="76">
        <f>SUMIFS(REALIZADO[AT_FIXA],REALIZADO[PDV],'SERRA SEDE'!$M$7)</f>
        <v>312</v>
      </c>
      <c r="M31" s="49">
        <f t="shared" ref="M31:M32" si="12">IFERROR(L31/K31,0)</f>
        <v>3.8999999512500008E-2</v>
      </c>
      <c r="N31" s="12">
        <f>IF($M$31&gt;=FATORES!$I$17,FATORES!$K$17,0)</f>
        <v>0</v>
      </c>
      <c r="O31" s="88">
        <f t="shared" si="9"/>
        <v>0</v>
      </c>
      <c r="P31" s="13">
        <f t="shared" ref="P31:P38" si="13">J31+O31</f>
        <v>0</v>
      </c>
      <c r="Q31" s="14">
        <f>IF($C$8=2,P31*0.05,0)</f>
        <v>0</v>
      </c>
      <c r="R31" s="14">
        <f>IF($C$8=3,P31*0.15,0)</f>
        <v>0</v>
      </c>
      <c r="S31" s="116"/>
      <c r="T31" s="144"/>
    </row>
    <row r="32" spans="2:20" x14ac:dyDescent="0.3">
      <c r="B32" s="45" t="s">
        <v>232</v>
      </c>
      <c r="C32" s="75">
        <f>_xlfn.XLOOKUP($J$7,REALIZADO[CONSULTOR],REALIZADO[META_SMARTPHONE])</f>
        <v>39375</v>
      </c>
      <c r="D32" s="76">
        <f>_xlfn.XLOOKUP($J$7,REALIZADO[CONSULTOR],REALIZADO[AT_SMARTPHONE])</f>
        <v>4599</v>
      </c>
      <c r="E32" s="49">
        <f>IFERROR(D32/C32,0)</f>
        <v>0.1168</v>
      </c>
      <c r="F32" s="12">
        <f>VLOOKUP($E$32,FATORES!$B$25:$D$26,3)</f>
        <v>5.0000000000000001E-4</v>
      </c>
      <c r="G32" s="12">
        <f>IFERROR(VLOOKUP($E$32,FATORES!$B$27:$D$27,3),0)</f>
        <v>0</v>
      </c>
      <c r="H32" s="64">
        <f t="shared" si="10"/>
        <v>2.2995000000000001</v>
      </c>
      <c r="I32" s="64">
        <f t="shared" si="8"/>
        <v>0</v>
      </c>
      <c r="J32" s="64">
        <f t="shared" si="11"/>
        <v>2.2995000000000001</v>
      </c>
      <c r="K32" s="52">
        <f>SUMIFS(REALIZADO[META_SMARTPHONE],REALIZADO[PDV],'SERRA SEDE'!$M$7)</f>
        <v>189000</v>
      </c>
      <c r="L32" s="77">
        <f>SUMIFS(REALIZADO[AT_SMARTPHONE],REALIZADO[PDV],'SERRA SEDE'!$M$7)</f>
        <v>18892</v>
      </c>
      <c r="M32" s="49">
        <f t="shared" si="12"/>
        <v>9.9957671957671954E-2</v>
      </c>
      <c r="N32" s="12">
        <f>IF($M$32&gt;=FATORES!$B$28,FATORES!$D$28,0)</f>
        <v>0</v>
      </c>
      <c r="O32" s="88">
        <f t="shared" si="9"/>
        <v>0</v>
      </c>
      <c r="P32" s="13">
        <f t="shared" si="13"/>
        <v>2.2995000000000001</v>
      </c>
      <c r="Q32" s="14">
        <f>IF($D$8=2,P32*0.05,0)</f>
        <v>0</v>
      </c>
      <c r="R32" s="14">
        <f>IF($D$8=3,P32*0.15,0)</f>
        <v>0</v>
      </c>
      <c r="S32" s="116"/>
      <c r="T32" s="144"/>
    </row>
    <row r="33" spans="2:20" x14ac:dyDescent="0.3">
      <c r="B33" s="46" t="s">
        <v>233</v>
      </c>
      <c r="C33" s="138">
        <f>_xlfn.XLOOKUP($J$7,REALIZADO[CONSULTOR],REALIZADO[META_ACESSORIO])</f>
        <v>7500</v>
      </c>
      <c r="D33" s="77">
        <f>_xlfn.XLOOKUP($J$7,REALIZADO[CONSULTOR],REALIZADO[AT_ACESSORIOS_A])</f>
        <v>0</v>
      </c>
      <c r="E33" s="140">
        <f>IFERROR((D33+D34)/C33,0)</f>
        <v>0</v>
      </c>
      <c r="F33" s="12">
        <f>VLOOKUP($E$33,FATORES!$B$16:$E$18,3)</f>
        <v>1E-3</v>
      </c>
      <c r="G33" s="12">
        <f>IFERROR(VLOOKUP($E$33,FATORES!$B$19:$E$20,3),0)</f>
        <v>0</v>
      </c>
      <c r="H33" s="64">
        <f t="shared" si="10"/>
        <v>0</v>
      </c>
      <c r="I33" s="64">
        <f t="shared" si="8"/>
        <v>0</v>
      </c>
      <c r="J33" s="64">
        <f t="shared" si="11"/>
        <v>0</v>
      </c>
      <c r="K33" s="141">
        <f>SUMIFS(REALIZADO[META_ACESSORIO],REALIZADO[PDV],'SERRA SEDE'!$M$7)</f>
        <v>36000</v>
      </c>
      <c r="L33" s="86">
        <f>SUMIFS(REALIZADO[AT_ACESSORIOS_A],REALIZADO[PDV],'SERRA SEDE'!$M$7)</f>
        <v>0</v>
      </c>
      <c r="M33" s="114">
        <f>IFERROR((L33+L34)/K33,0)</f>
        <v>0.13822222222222222</v>
      </c>
      <c r="N33" s="12">
        <f>IF($M$33&gt;=FATORES!$B$21,FATORES!$D$21,0)</f>
        <v>0</v>
      </c>
      <c r="O33" s="88">
        <f t="shared" si="9"/>
        <v>0</v>
      </c>
      <c r="P33" s="13">
        <f t="shared" si="13"/>
        <v>0</v>
      </c>
      <c r="Q33" s="14">
        <f>IF($E$8=2,P33*0.05,0)</f>
        <v>0</v>
      </c>
      <c r="R33" s="14">
        <f>IF($E$8=3,P33*0.15,0)</f>
        <v>0</v>
      </c>
      <c r="S33" s="116"/>
      <c r="T33" s="144"/>
    </row>
    <row r="34" spans="2:20" x14ac:dyDescent="0.3">
      <c r="B34" s="46" t="s">
        <v>234</v>
      </c>
      <c r="C34" s="139"/>
      <c r="D34" s="78">
        <f>_xlfn.XLOOKUP($J$7,REALIZADO[CONSULTOR],REALIZADO[AT_ACESSORIOS_B])</f>
        <v>0</v>
      </c>
      <c r="E34" s="140"/>
      <c r="F34" s="12">
        <f>VLOOKUP($E$33,FATORES!$B$16:$E$18,4)</f>
        <v>5.0000000000000001E-4</v>
      </c>
      <c r="G34" s="12">
        <f>IFERROR(VLOOKUP($E$33,FATORES!$B$19:$E$20,4),0)</f>
        <v>0</v>
      </c>
      <c r="H34" s="64">
        <f t="shared" si="10"/>
        <v>0</v>
      </c>
      <c r="I34" s="64">
        <f t="shared" si="8"/>
        <v>0</v>
      </c>
      <c r="J34" s="64">
        <f t="shared" si="11"/>
        <v>0</v>
      </c>
      <c r="K34" s="142"/>
      <c r="L34" s="87">
        <f>SUMIFS(REALIZADO[AT_ACESSORIOS_B],REALIZADO[PDV],'SERRA SEDE'!$M$7)</f>
        <v>4976</v>
      </c>
      <c r="M34" s="114"/>
      <c r="N34" s="12">
        <f>IF($M$33&gt;=FATORES!$B$21,FATORES!$E$21,0)</f>
        <v>0</v>
      </c>
      <c r="O34" s="88">
        <f t="shared" si="9"/>
        <v>0</v>
      </c>
      <c r="P34" s="13">
        <f t="shared" si="13"/>
        <v>0</v>
      </c>
      <c r="Q34" s="14">
        <f>IF($E$8=2,P34*0.05,0)</f>
        <v>0</v>
      </c>
      <c r="R34" s="14">
        <f>IF($E$8=3,P34*0.15,0)</f>
        <v>0</v>
      </c>
      <c r="S34" s="116"/>
      <c r="T34" s="144"/>
    </row>
    <row r="35" spans="2:20" x14ac:dyDescent="0.3">
      <c r="B35" s="45" t="s">
        <v>235</v>
      </c>
      <c r="C35" s="138">
        <f>_xlfn.XLOOKUP($J$7,REALIZADO[CONSULTOR],REALIZADO[META_ESSENCIAIS])</f>
        <v>2812.5</v>
      </c>
      <c r="D35" s="77">
        <f>_xlfn.XLOOKUP($J$7,REALIZADO[CONSULTOR],REALIZADO[AT_ESSENCIAIS_A])</f>
        <v>0</v>
      </c>
      <c r="E35" s="140">
        <f>IFERROR((D35+D36)/C35,0)</f>
        <v>0</v>
      </c>
      <c r="F35" s="12">
        <f>VLOOKUP($E$35,FATORES!$B$6:$E$8,3)</f>
        <v>5.0000000000000001E-3</v>
      </c>
      <c r="G35" s="12">
        <f>IFERROR(VLOOKUP($E$35,FATORES!$B$9:$E$10,3),0)</f>
        <v>0</v>
      </c>
      <c r="H35" s="64">
        <f t="shared" si="10"/>
        <v>0</v>
      </c>
      <c r="I35" s="64">
        <f t="shared" si="8"/>
        <v>0</v>
      </c>
      <c r="J35" s="64">
        <f t="shared" si="11"/>
        <v>0</v>
      </c>
      <c r="K35" s="141">
        <f>SUMIFS(REALIZADO[META_ESSENCIAIS],REALIZADO[PDV],'SERRA SEDE'!$M$7)</f>
        <v>13500</v>
      </c>
      <c r="L35" s="86">
        <f>SUMIFS(REALIZADO[AT_ESSENCIAIS_A],REALIZADO[PDV],'SERRA SEDE'!$M$7)</f>
        <v>496</v>
      </c>
      <c r="M35" s="114">
        <f>IFERROR((L35+L36)/K35,0)</f>
        <v>8.6592592592592596E-2</v>
      </c>
      <c r="N35" s="12">
        <f>IF($M$35&gt;=FATORES!$B$11,FATORES!$D$11,0)</f>
        <v>0</v>
      </c>
      <c r="O35" s="88">
        <f t="shared" si="9"/>
        <v>0</v>
      </c>
      <c r="P35" s="13">
        <f t="shared" si="13"/>
        <v>0</v>
      </c>
      <c r="Q35" s="14">
        <f>IF($F$8=2,P35*0.05,0)</f>
        <v>0</v>
      </c>
      <c r="R35" s="14">
        <f>IF($F$8=3,P35*0.15,0)</f>
        <v>0</v>
      </c>
      <c r="S35" s="116"/>
      <c r="T35" s="144"/>
    </row>
    <row r="36" spans="2:20" x14ac:dyDescent="0.3">
      <c r="B36" s="45" t="s">
        <v>236</v>
      </c>
      <c r="C36" s="139"/>
      <c r="D36" s="78">
        <f>_xlfn.XLOOKUP($J$7,REALIZADO[CONSULTOR],REALIZADO[AT_ESSENCIAIS_B])</f>
        <v>0</v>
      </c>
      <c r="E36" s="140"/>
      <c r="F36" s="12">
        <f>VLOOKUP($E$35,FATORES!$B$6:$E$8,4)</f>
        <v>2E-3</v>
      </c>
      <c r="G36" s="12">
        <f>IFERROR(VLOOKUP($E$35,FATORES!$B$9:$E$10,4),0)</f>
        <v>0</v>
      </c>
      <c r="H36" s="64">
        <f t="shared" si="10"/>
        <v>0</v>
      </c>
      <c r="I36" s="64">
        <f t="shared" si="8"/>
        <v>0</v>
      </c>
      <c r="J36" s="64">
        <f t="shared" si="11"/>
        <v>0</v>
      </c>
      <c r="K36" s="142"/>
      <c r="L36" s="87">
        <f>SUMIFS(REALIZADO[AT_ESSENCIAIS_B],REALIZADO[PDV],'SERRA SEDE'!$M$7)</f>
        <v>673</v>
      </c>
      <c r="M36" s="114"/>
      <c r="N36" s="12">
        <f>IF($M$35&gt;=FATORES!$B$11,FATORES!$E$11,0)</f>
        <v>0</v>
      </c>
      <c r="O36" s="88">
        <f t="shared" si="9"/>
        <v>0</v>
      </c>
      <c r="P36" s="13">
        <f t="shared" si="13"/>
        <v>0</v>
      </c>
      <c r="Q36" s="14">
        <f>IF($F$8=2,P36*0.05,0)</f>
        <v>0</v>
      </c>
      <c r="R36" s="14">
        <f>IF($F$8=3,P36*0.15,0)</f>
        <v>0</v>
      </c>
      <c r="S36" s="116"/>
      <c r="T36" s="144"/>
    </row>
    <row r="37" spans="2:20" x14ac:dyDescent="0.3">
      <c r="B37" s="45" t="s">
        <v>213</v>
      </c>
      <c r="C37" s="75">
        <f>_xlfn.XLOOKUP($J$7,REALIZADO[CONSULTOR],REALIZADO[META_SEGUROS])</f>
        <v>427.08330000000001</v>
      </c>
      <c r="D37" s="81">
        <f>_xlfn.XLOOKUP($J$7,REALIZADO[CONSULTOR],REALIZADO[AT_SEGUROS])</f>
        <v>16.899999999999999</v>
      </c>
      <c r="E37" s="83">
        <f>IFERROR(D37/C37,0)</f>
        <v>3.9570734795764666E-2</v>
      </c>
      <c r="F37" s="83">
        <f>VLOOKUP($E$37,FATORES!$O$4:$Q$6,3)</f>
        <v>0.01</v>
      </c>
      <c r="G37" s="12">
        <f>IFERROR(VLOOKUP($E$37,FATORES!$O$7:$Q$8,3),0)</f>
        <v>0</v>
      </c>
      <c r="H37" s="64">
        <f t="shared" si="10"/>
        <v>0.16899999999999998</v>
      </c>
      <c r="I37" s="64">
        <f t="shared" si="8"/>
        <v>0</v>
      </c>
      <c r="J37" s="64">
        <f t="shared" si="11"/>
        <v>0.16899999999999998</v>
      </c>
      <c r="K37" s="56">
        <f>SUMIFS(REALIZADO[META_SEGUROS],REALIZADO[PDV],'SERRA SEDE'!$M$7)</f>
        <v>2049.9998999999998</v>
      </c>
      <c r="L37" s="78">
        <f>SUMIFS(REALIZADO[AT_SEGUROS],REALIZADO[PDV],'SERRA SEDE'!$M$7)</f>
        <v>185.10000000000002</v>
      </c>
      <c r="M37" s="49">
        <f t="shared" ref="M37:M38" si="14">IFERROR(L37/K37,0)</f>
        <v>9.0292687331350624E-2</v>
      </c>
      <c r="N37" s="12">
        <f>IF($M$37&gt;=FATORES!$O$9,FATORES!$Q$9,0)</f>
        <v>0</v>
      </c>
      <c r="O37" s="88">
        <f t="shared" si="9"/>
        <v>0</v>
      </c>
      <c r="P37" s="13">
        <f t="shared" si="13"/>
        <v>0.16899999999999998</v>
      </c>
      <c r="Q37" s="14">
        <f>IF($G$8=2,P37*0.05,0)</f>
        <v>0</v>
      </c>
      <c r="R37" s="14">
        <f>IF($G$8=3,P37*0.15,0)</f>
        <v>0</v>
      </c>
      <c r="S37" s="116"/>
      <c r="T37" s="144"/>
    </row>
    <row r="38" spans="2:20" x14ac:dyDescent="0.3">
      <c r="B38" s="47" t="s">
        <v>14</v>
      </c>
      <c r="C38" s="57">
        <f>_xlfn.XLOOKUP($J$7,REALIZADO[CONSULTOR],REALIZADO[META_SVA])</f>
        <v>291.66669999999999</v>
      </c>
      <c r="D38" s="57">
        <f>_xlfn.XLOOKUP($J$7,REALIZADO[CONSULTOR],REALIZADO[AT_SVA])</f>
        <v>20.9</v>
      </c>
      <c r="E38" s="82">
        <f>IFERROR(D38/C38,0)</f>
        <v>7.1657134667756028E-2</v>
      </c>
      <c r="F38" s="15">
        <f>IF(E38&gt;=0,FATORES!$Q$12)</f>
        <v>0.01</v>
      </c>
      <c r="G38" s="15">
        <f>IFERROR(VLOOKUP($E$38,FATORES!$O$15:$Q$16,3),0)</f>
        <v>0</v>
      </c>
      <c r="H38" s="16">
        <f t="shared" si="10"/>
        <v>0.20899999999999999</v>
      </c>
      <c r="I38" s="64">
        <f t="shared" si="8"/>
        <v>0</v>
      </c>
      <c r="J38" s="16">
        <f t="shared" si="11"/>
        <v>0.20899999999999999</v>
      </c>
      <c r="K38" s="75">
        <f>SUMIFS(REALIZADO[META_SVA],REALIZADO[PDV],'SERRA SEDE'!$M$7)</f>
        <v>1400.0001</v>
      </c>
      <c r="L38" s="76">
        <f>SUMIFS(REALIZADO[AT_SVA],REALIZADO[PDV],'SERRA SEDE'!$M$7)</f>
        <v>235.48</v>
      </c>
      <c r="M38" s="50">
        <f t="shared" si="14"/>
        <v>0.16819998798571514</v>
      </c>
      <c r="N38" s="15">
        <f>IF($M$38&gt;=FATORES!$O$17,FATORES!$Q$17,0)</f>
        <v>0</v>
      </c>
      <c r="O38" s="88">
        <f t="shared" si="9"/>
        <v>0</v>
      </c>
      <c r="P38" s="17">
        <f t="shared" si="13"/>
        <v>0.20899999999999999</v>
      </c>
      <c r="Q38" s="18">
        <f>IF($H$8=2,P38*0.05,0)</f>
        <v>0</v>
      </c>
      <c r="R38" s="18">
        <f>IF($H$8=3,P38*0.15,0)</f>
        <v>0</v>
      </c>
      <c r="S38" s="117"/>
      <c r="T38" s="145"/>
    </row>
    <row r="39" spans="2:20" x14ac:dyDescent="0.3">
      <c r="B39" s="65"/>
      <c r="C39" s="66"/>
      <c r="D39" s="66"/>
      <c r="E39" s="66"/>
      <c r="F39" s="66"/>
      <c r="G39" s="66"/>
      <c r="H39" s="66"/>
      <c r="I39" s="66"/>
      <c r="J39" s="67"/>
      <c r="K39" s="68"/>
      <c r="L39" s="66"/>
      <c r="M39" s="66"/>
      <c r="N39" s="66"/>
      <c r="O39" s="66"/>
      <c r="P39" s="69">
        <f>SUM(P30:P38)</f>
        <v>5.2374999999999998</v>
      </c>
      <c r="Q39" s="69">
        <f t="shared" ref="Q39:R39" si="15">SUM(Q30:Q38)</f>
        <v>0</v>
      </c>
      <c r="R39" s="69">
        <f t="shared" si="15"/>
        <v>0</v>
      </c>
      <c r="S39" s="70" t="str">
        <f>IF($P$7="ARIEL",IF(MIN(E30,E32,E33,E34,E35,E37,E38)&gt;=100%,SUM(P39:R39)*S30,""),IF(MIN(E30:E38)&gt;=100%,SUM(P39:R39)*S30,""))</f>
        <v/>
      </c>
      <c r="T39" s="71"/>
    </row>
    <row r="41" spans="2:20" ht="18" x14ac:dyDescent="0.3">
      <c r="B41" s="124" t="s">
        <v>238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2:20" x14ac:dyDescent="0.3">
      <c r="B42" s="126" t="s">
        <v>9</v>
      </c>
      <c r="C42" s="127"/>
      <c r="D42" s="127"/>
      <c r="E42" s="127"/>
      <c r="F42" s="127"/>
      <c r="G42" s="127"/>
      <c r="H42" s="127"/>
      <c r="I42" s="127"/>
      <c r="J42" s="128"/>
      <c r="K42" s="129" t="s">
        <v>54</v>
      </c>
      <c r="L42" s="130"/>
      <c r="M42" s="130"/>
      <c r="N42" s="130"/>
      <c r="O42" s="130"/>
      <c r="P42" s="7"/>
      <c r="Q42" s="7"/>
      <c r="R42" s="7"/>
      <c r="S42" s="7"/>
      <c r="T42" s="63"/>
    </row>
    <row r="43" spans="2:20" ht="15" customHeight="1" x14ac:dyDescent="0.3">
      <c r="B43" s="131" t="s">
        <v>215</v>
      </c>
      <c r="C43" s="133" t="s">
        <v>216</v>
      </c>
      <c r="D43" s="134"/>
      <c r="E43" s="121"/>
      <c r="F43" s="135" t="s">
        <v>217</v>
      </c>
      <c r="G43" s="135" t="s">
        <v>218</v>
      </c>
      <c r="H43" s="135" t="s">
        <v>219</v>
      </c>
      <c r="I43" s="135" t="s">
        <v>220</v>
      </c>
      <c r="J43" s="135" t="s">
        <v>221</v>
      </c>
      <c r="K43" s="121" t="s">
        <v>222</v>
      </c>
      <c r="L43" s="122"/>
      <c r="M43" s="122"/>
      <c r="N43" s="123" t="s">
        <v>223</v>
      </c>
      <c r="O43" s="123" t="s">
        <v>224</v>
      </c>
      <c r="P43" s="123" t="s">
        <v>225</v>
      </c>
      <c r="Q43" s="123" t="s">
        <v>226</v>
      </c>
      <c r="R43" s="123" t="s">
        <v>227</v>
      </c>
      <c r="S43" s="123" t="s">
        <v>228</v>
      </c>
      <c r="T43" s="136" t="s">
        <v>229</v>
      </c>
    </row>
    <row r="44" spans="2:20" ht="15" customHeight="1" x14ac:dyDescent="0.3">
      <c r="B44" s="132"/>
      <c r="C44" s="110" t="s">
        <v>230</v>
      </c>
      <c r="D44" s="137" t="s">
        <v>231</v>
      </c>
      <c r="E44" s="137"/>
      <c r="F44" s="135"/>
      <c r="G44" s="135"/>
      <c r="H44" s="135"/>
      <c r="I44" s="135"/>
      <c r="J44" s="135"/>
      <c r="K44" s="51" t="s">
        <v>230</v>
      </c>
      <c r="L44" s="137" t="s">
        <v>231</v>
      </c>
      <c r="M44" s="137"/>
      <c r="N44" s="123"/>
      <c r="O44" s="123"/>
      <c r="P44" s="123"/>
      <c r="Q44" s="123"/>
      <c r="R44" s="123"/>
      <c r="S44" s="123"/>
      <c r="T44" s="136"/>
    </row>
    <row r="45" spans="2:20" x14ac:dyDescent="0.3">
      <c r="B45" s="44" t="s">
        <v>2</v>
      </c>
      <c r="C45" s="52">
        <v>1725.61</v>
      </c>
      <c r="D45" s="53">
        <v>1800</v>
      </c>
      <c r="E45" s="48">
        <f>IFERROR(D45/C45,0)</f>
        <v>1.0431093932000859</v>
      </c>
      <c r="F45" s="8">
        <f>VLOOKUP($E$45,FATORES!$I$4:$K$6,3)</f>
        <v>0.08</v>
      </c>
      <c r="G45" s="8">
        <f>IFERROR(VLOOKUP($E$45,FATORES!$I$7:$K$8,3),0)</f>
        <v>0.15</v>
      </c>
      <c r="H45" s="9">
        <f>D45*F45</f>
        <v>144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270</v>
      </c>
      <c r="J45" s="9">
        <f>H45+I45</f>
        <v>414</v>
      </c>
      <c r="K45" s="52">
        <f>SUMIFS(REALIZADO[META_MOVEL],REALIZADO[PDV],'SERRA SEDE'!$M$7)</f>
        <v>19149.999899999999</v>
      </c>
      <c r="L45" s="53"/>
      <c r="M45" s="48">
        <f>IFERROR(L45/K45,0)</f>
        <v>0</v>
      </c>
      <c r="N45" s="8">
        <f>IF($M$45&gt;=FATORES!$I$9,FATORES!$K$9,0)</f>
        <v>0</v>
      </c>
      <c r="O45" s="88">
        <f t="shared" ref="O45:O53" si="17"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414</v>
      </c>
      <c r="Q45" s="11">
        <f>IF($B$8=2,P45*0.05,0)</f>
        <v>0</v>
      </c>
      <c r="R45" s="11">
        <f>IF($B$8=3,P45*0.15,0)</f>
        <v>0</v>
      </c>
      <c r="S45" s="115">
        <v>0.1</v>
      </c>
      <c r="T45" s="118">
        <f>SUM($P$54:$S$54)</f>
        <v>1196.4714999999999</v>
      </c>
    </row>
    <row r="46" spans="2:20" x14ac:dyDescent="0.3">
      <c r="B46" s="45" t="s">
        <v>13</v>
      </c>
      <c r="C46" s="54">
        <v>1785</v>
      </c>
      <c r="D46" s="55">
        <v>1786</v>
      </c>
      <c r="E46" s="49">
        <f>IFERROR(D46/C46,0)</f>
        <v>1.0005602240896359</v>
      </c>
      <c r="F46" s="12">
        <f>VLOOKUP($E$46,FATORES!$I$12:$K$14,3)</f>
        <v>0.08</v>
      </c>
      <c r="G46" s="12">
        <f>IFERROR(VLOOKUP($E$46,FATORES!$I$15:$K$16,3),0)</f>
        <v>0.15</v>
      </c>
      <c r="H46" s="64">
        <f t="shared" ref="H46:H53" si="18">D46*F46</f>
        <v>142.88</v>
      </c>
      <c r="I46" s="64">
        <f t="shared" si="16"/>
        <v>267.89999999999998</v>
      </c>
      <c r="J46" s="64">
        <f t="shared" ref="J46:J53" si="19">H46+I46</f>
        <v>410.78</v>
      </c>
      <c r="K46" s="54">
        <f>SUMIFS(REALIZADO[META_FIXA],REALIZADO[PDV],'SERRA SEDE'!$M$7)</f>
        <v>8000.0001000000002</v>
      </c>
      <c r="L46" s="55"/>
      <c r="M46" s="49">
        <f t="shared" ref="M46:M53" si="20">IFERROR(L46/K46,0)</f>
        <v>0</v>
      </c>
      <c r="N46" s="12">
        <f>IF($M$46&gt;=FATORES!$I$17,FATORES!$K$17,0)</f>
        <v>0</v>
      </c>
      <c r="O46" s="88">
        <f t="shared" si="17"/>
        <v>0</v>
      </c>
      <c r="P46" s="13">
        <f t="shared" ref="P46:P53" si="21">J46+O46</f>
        <v>410.78</v>
      </c>
      <c r="Q46" s="14">
        <f>IF($C$8=2,P46*0.05,0)</f>
        <v>0</v>
      </c>
      <c r="R46" s="14">
        <f>IF($C$8=3,P46*0.15,0)</f>
        <v>0</v>
      </c>
      <c r="S46" s="116"/>
      <c r="T46" s="119"/>
    </row>
    <row r="47" spans="2:20" x14ac:dyDescent="0.3">
      <c r="B47" s="45" t="s">
        <v>232</v>
      </c>
      <c r="C47" s="54">
        <v>35662.51</v>
      </c>
      <c r="D47" s="55">
        <v>36089</v>
      </c>
      <c r="E47" s="49">
        <f>IFERROR(D47/C47,0)</f>
        <v>1.0119590572845265</v>
      </c>
      <c r="F47" s="12">
        <f>VLOOKUP($E$47,FATORES!$B$25:$D$26,3)</f>
        <v>1.5E-3</v>
      </c>
      <c r="G47" s="12">
        <f>IFERROR(VLOOKUP($E$47,FATORES!$B$27:$D$27,3),0)</f>
        <v>2E-3</v>
      </c>
      <c r="H47" s="64">
        <f t="shared" si="18"/>
        <v>54.133499999999998</v>
      </c>
      <c r="I47" s="64">
        <f t="shared" si="16"/>
        <v>72.177999999999997</v>
      </c>
      <c r="J47" s="64">
        <f t="shared" si="19"/>
        <v>126.3115</v>
      </c>
      <c r="K47" s="54">
        <f>SUMIFS(REALIZADO[META_SMARTPHONE],REALIZADO[PDV],'SERRA SEDE'!$M$7)</f>
        <v>189000</v>
      </c>
      <c r="L47" s="55"/>
      <c r="M47" s="49">
        <f t="shared" si="20"/>
        <v>0</v>
      </c>
      <c r="N47" s="12">
        <f>IF($M$47&gt;=FATORES!$B$28,FATORES!$D$28,0)</f>
        <v>0</v>
      </c>
      <c r="O47" s="88">
        <f t="shared" si="17"/>
        <v>0</v>
      </c>
      <c r="P47" s="13">
        <f t="shared" si="21"/>
        <v>126.3115</v>
      </c>
      <c r="Q47" s="14">
        <f>IF($D$8=2,P47*0.05,0)</f>
        <v>0</v>
      </c>
      <c r="R47" s="14">
        <f>IF($D$8=3,P47*0.15,0)</f>
        <v>0</v>
      </c>
      <c r="S47" s="116"/>
      <c r="T47" s="119"/>
    </row>
    <row r="48" spans="2:20" x14ac:dyDescent="0.3">
      <c r="B48" s="46" t="s">
        <v>233</v>
      </c>
      <c r="C48" s="113">
        <v>3681.29</v>
      </c>
      <c r="D48" s="55">
        <v>947</v>
      </c>
      <c r="E48" s="114">
        <f>IFERROR((D48+D49)/C48,0)</f>
        <v>1.2351648471052268</v>
      </c>
      <c r="F48" s="12">
        <f>VLOOKUP($E$48,FATORES!$B$16:$E$18,3)</f>
        <v>3.0000000000000001E-3</v>
      </c>
      <c r="G48" s="12">
        <f>IFERROR(VLOOKUP($E$48,FATORES!$B$19:$E$20,3),0)</f>
        <v>1.2E-2</v>
      </c>
      <c r="H48" s="64">
        <f t="shared" si="18"/>
        <v>2.8410000000000002</v>
      </c>
      <c r="I48" s="64">
        <f t="shared" si="16"/>
        <v>11.364000000000001</v>
      </c>
      <c r="J48" s="64">
        <f t="shared" si="19"/>
        <v>14.205000000000002</v>
      </c>
      <c r="K48" s="113">
        <f>SUMIFS(REALIZADO[META_ACESSORIO],REALIZADO[PDV],'SERRA SEDE'!$M$7)</f>
        <v>36000</v>
      </c>
      <c r="L48" s="55"/>
      <c r="M48" s="114">
        <f>IFERROR((L48+L49)/K48,0)</f>
        <v>0</v>
      </c>
      <c r="N48" s="12">
        <f>IF($M$48&gt;=FATORES!$B$21,FATORES!$D$21,0)</f>
        <v>0</v>
      </c>
      <c r="O48" s="88">
        <f t="shared" si="17"/>
        <v>0</v>
      </c>
      <c r="P48" s="13">
        <f t="shared" si="21"/>
        <v>14.205000000000002</v>
      </c>
      <c r="Q48" s="14">
        <f>IF($E$8=2,P48*0.05,0)</f>
        <v>0</v>
      </c>
      <c r="R48" s="14">
        <f>IF($E$8=3,P48*0.15,0)</f>
        <v>0</v>
      </c>
      <c r="S48" s="116"/>
      <c r="T48" s="119"/>
    </row>
    <row r="49" spans="2:20" x14ac:dyDescent="0.3">
      <c r="B49" s="46" t="s">
        <v>234</v>
      </c>
      <c r="C49" s="113"/>
      <c r="D49" s="55">
        <v>3600</v>
      </c>
      <c r="E49" s="114"/>
      <c r="F49" s="12">
        <f>VLOOKUP($E$48,FATORES!$B$16:$E$18,4)</f>
        <v>1.5E-3</v>
      </c>
      <c r="G49" s="12">
        <f>IFERROR(VLOOKUP($E$48,FATORES!$B$19:$E$20,4),0)</f>
        <v>6.0000000000000001E-3</v>
      </c>
      <c r="H49" s="64">
        <f t="shared" si="18"/>
        <v>5.4</v>
      </c>
      <c r="I49" s="64">
        <f t="shared" si="16"/>
        <v>21.6</v>
      </c>
      <c r="J49" s="64">
        <f t="shared" si="19"/>
        <v>27</v>
      </c>
      <c r="K49" s="113"/>
      <c r="L49" s="55"/>
      <c r="M49" s="114"/>
      <c r="N49" s="12">
        <f>IF($M$48&gt;=FATORES!$B$21,FATORES!$E$21,0)</f>
        <v>0</v>
      </c>
      <c r="O49" s="88">
        <f t="shared" si="17"/>
        <v>0</v>
      </c>
      <c r="P49" s="13">
        <f t="shared" si="21"/>
        <v>27</v>
      </c>
      <c r="Q49" s="14">
        <f>IF($E$8=2,P49*0.05,0)</f>
        <v>0</v>
      </c>
      <c r="R49" s="14">
        <f>IF($E$8=3,P49*0.15,0)</f>
        <v>0</v>
      </c>
      <c r="S49" s="116"/>
      <c r="T49" s="119"/>
    </row>
    <row r="50" spans="2:20" x14ac:dyDescent="0.3">
      <c r="B50" s="45" t="s">
        <v>235</v>
      </c>
      <c r="C50" s="113">
        <v>2231.7800000000002</v>
      </c>
      <c r="D50" s="55">
        <v>1715</v>
      </c>
      <c r="E50" s="114">
        <f>IFERROR((D50+D51)/C50,0)</f>
        <v>1.2165177571265984</v>
      </c>
      <c r="F50" s="12">
        <f>VLOOKUP($E$50,FATORES!$B$6:$E$8,3)</f>
        <v>1.4999999999999999E-2</v>
      </c>
      <c r="G50" s="12">
        <f>IFERROR(VLOOKUP($E$50,FATORES!$B$9:$E$10,3),0)</f>
        <v>0.04</v>
      </c>
      <c r="H50" s="64">
        <f t="shared" si="18"/>
        <v>25.724999999999998</v>
      </c>
      <c r="I50" s="64">
        <f t="shared" si="16"/>
        <v>68.600000000000009</v>
      </c>
      <c r="J50" s="64">
        <f t="shared" si="19"/>
        <v>94.325000000000003</v>
      </c>
      <c r="K50" s="113">
        <f>SUMIFS(REALIZADO[META_ESSENCIAIS],REALIZADO[PDV],'SERRA SEDE'!$M$7)</f>
        <v>13500</v>
      </c>
      <c r="L50" s="55"/>
      <c r="M50" s="114">
        <f>IFERROR((L50+L51)/K50,0)</f>
        <v>0</v>
      </c>
      <c r="N50" s="12">
        <f>IF($M$50&gt;=FATORES!$B$11,FATORES!D11,0)</f>
        <v>0</v>
      </c>
      <c r="O50" s="88">
        <f t="shared" si="17"/>
        <v>0</v>
      </c>
      <c r="P50" s="13">
        <f t="shared" si="21"/>
        <v>94.325000000000003</v>
      </c>
      <c r="Q50" s="14">
        <f>IF($F$8=2,P50*0.05,0)</f>
        <v>0</v>
      </c>
      <c r="R50" s="14">
        <f>IF($F$8=3,P50*0.15,0)</f>
        <v>0</v>
      </c>
      <c r="S50" s="116"/>
      <c r="T50" s="119"/>
    </row>
    <row r="51" spans="2:20" x14ac:dyDescent="0.3">
      <c r="B51" s="45" t="s">
        <v>236</v>
      </c>
      <c r="C51" s="113"/>
      <c r="D51" s="55">
        <v>1000</v>
      </c>
      <c r="E51" s="114"/>
      <c r="F51" s="12">
        <f>VLOOKUP($E$50,FATORES!$B$6:$E$8,4)</f>
        <v>0.01</v>
      </c>
      <c r="G51" s="12">
        <f>IFERROR(VLOOKUP($E$50,FATORES!$B$9:$E$10,4),0)</f>
        <v>1.4999999999999999E-2</v>
      </c>
      <c r="H51" s="64">
        <f t="shared" si="18"/>
        <v>10</v>
      </c>
      <c r="I51" s="64">
        <f t="shared" si="16"/>
        <v>15</v>
      </c>
      <c r="J51" s="64">
        <f t="shared" si="19"/>
        <v>25</v>
      </c>
      <c r="K51" s="113"/>
      <c r="L51" s="55"/>
      <c r="M51" s="114"/>
      <c r="N51" s="12">
        <f>IF($M$50&gt;=FATORES!$B$11,FATORES!$E$11,0)</f>
        <v>0</v>
      </c>
      <c r="O51" s="88">
        <f t="shared" si="17"/>
        <v>0</v>
      </c>
      <c r="P51" s="13">
        <f t="shared" si="21"/>
        <v>25</v>
      </c>
      <c r="Q51" s="14">
        <f>IF($F$8=2,P51*0.05,0)</f>
        <v>0</v>
      </c>
      <c r="R51" s="14">
        <f>IF($F$8=3,P51*0.15,0)</f>
        <v>0</v>
      </c>
      <c r="S51" s="116"/>
      <c r="T51" s="119"/>
    </row>
    <row r="52" spans="2:20" x14ac:dyDescent="0.3">
      <c r="B52" s="45" t="s">
        <v>213</v>
      </c>
      <c r="C52" s="54">
        <v>230.08</v>
      </c>
      <c r="D52" s="55">
        <v>321</v>
      </c>
      <c r="E52" s="49">
        <f>IFERROR(D52/C52,0)</f>
        <v>1.3951668984700973</v>
      </c>
      <c r="F52" s="12">
        <f>VLOOKUP($E$52,FATORES!$O$4:$Q$6,3)</f>
        <v>0.05</v>
      </c>
      <c r="G52" s="12">
        <f>IFERROR(VLOOKUP($E$52,FATORES!$O$7:$Q$8,3),0)</f>
        <v>0.2</v>
      </c>
      <c r="H52" s="64">
        <f t="shared" si="18"/>
        <v>16.05</v>
      </c>
      <c r="I52" s="64">
        <f t="shared" si="16"/>
        <v>64.2</v>
      </c>
      <c r="J52" s="64">
        <f t="shared" si="19"/>
        <v>80.25</v>
      </c>
      <c r="K52" s="54">
        <f>SUMIFS(REALIZADO[META_SEGUROS],REALIZADO[PDV],'SERRA SEDE'!$M$7)</f>
        <v>2049.9998999999998</v>
      </c>
      <c r="L52" s="55"/>
      <c r="M52" s="49">
        <f t="shared" si="20"/>
        <v>0</v>
      </c>
      <c r="N52" s="12">
        <f>IF($M$52&gt;=FATORES!$O$9,FATORES!$Q$9,0)</f>
        <v>0</v>
      </c>
      <c r="O52" s="88">
        <f t="shared" si="17"/>
        <v>0</v>
      </c>
      <c r="P52" s="13">
        <f t="shared" si="21"/>
        <v>80.25</v>
      </c>
      <c r="Q52" s="14">
        <f>IF($G$8=2,P52*0.05,0)</f>
        <v>0</v>
      </c>
      <c r="R52" s="14">
        <f>IF($G$8=3,P52*0.15,0)</f>
        <v>0</v>
      </c>
      <c r="S52" s="116"/>
      <c r="T52" s="119"/>
    </row>
    <row r="53" spans="2:20" x14ac:dyDescent="0.3">
      <c r="B53" s="47" t="s">
        <v>14</v>
      </c>
      <c r="C53" s="56">
        <v>203.24</v>
      </c>
      <c r="D53" s="57">
        <v>230</v>
      </c>
      <c r="E53" s="50">
        <f>IFERROR(D53/C53,0)</f>
        <v>1.1316669946860853</v>
      </c>
      <c r="F53" s="15">
        <f>IF(E53&gt;=0,FATORES!$Q$12)</f>
        <v>0.01</v>
      </c>
      <c r="G53" s="15">
        <f>IFERROR(VLOOKUP($E$53,FATORES!$O$15:$Q$16,3),0)</f>
        <v>0.01</v>
      </c>
      <c r="H53" s="16">
        <f t="shared" si="18"/>
        <v>2.3000000000000003</v>
      </c>
      <c r="I53" s="64">
        <f t="shared" si="16"/>
        <v>2.3000000000000003</v>
      </c>
      <c r="J53" s="16">
        <f t="shared" si="19"/>
        <v>4.6000000000000005</v>
      </c>
      <c r="K53" s="56">
        <f>SUMIFS(REALIZADO[META_SVA],REALIZADO[PDV],'SERRA SEDE'!$M$7)</f>
        <v>1400.0001</v>
      </c>
      <c r="L53" s="57"/>
      <c r="M53" s="50">
        <f t="shared" si="20"/>
        <v>0</v>
      </c>
      <c r="N53" s="15">
        <f>IF($M$53&gt;=FATORES!$O$17,FATORES!$Q$17,0)</f>
        <v>0</v>
      </c>
      <c r="O53" s="88">
        <f t="shared" si="17"/>
        <v>0</v>
      </c>
      <c r="P53" s="17">
        <f t="shared" si="21"/>
        <v>4.6000000000000005</v>
      </c>
      <c r="Q53" s="18">
        <f>IF($H$8=2,P53*0.05,0)</f>
        <v>0</v>
      </c>
      <c r="R53" s="18">
        <f>IF($H$8=3,P53*0.15,0)</f>
        <v>0</v>
      </c>
      <c r="S53" s="117"/>
      <c r="T53" s="120"/>
    </row>
    <row r="54" spans="2:20" x14ac:dyDescent="0.3">
      <c r="B54" s="65"/>
      <c r="C54" s="66"/>
      <c r="D54" s="66"/>
      <c r="E54" s="66"/>
      <c r="F54" s="66"/>
      <c r="G54" s="66"/>
      <c r="H54" s="66"/>
      <c r="I54" s="66"/>
      <c r="J54" s="67"/>
      <c r="K54" s="68"/>
      <c r="L54" s="66"/>
      <c r="M54" s="66"/>
      <c r="N54" s="66"/>
      <c r="O54" s="66"/>
      <c r="P54" s="69">
        <f>SUM(P45:P53)</f>
        <v>1196.4714999999999</v>
      </c>
      <c r="Q54" s="69">
        <f t="shared" ref="Q54:R54" si="22">SUM(Q45:Q53)</f>
        <v>0</v>
      </c>
      <c r="R54" s="69">
        <f t="shared" si="22"/>
        <v>0</v>
      </c>
      <c r="S54" s="70" t="str">
        <f>IF($P$7="ARIEL",IF(MIN(E45,E47,E48,E49,E50,E52,E53)&gt;=100,SUM(P54:R54)*S45,""),IF(MIN(E45:E53)&gt;=100,SUM(P54:R54)*S45,""))</f>
        <v/>
      </c>
      <c r="T54" s="71"/>
    </row>
  </sheetData>
  <sheetProtection algorithmName="SHA-512" hashValue="UtG2FORr4ezXZfamHzrL5z/M6edPa6kI/4F95cQUUKAZNFX9K5ws3e6UVt3Fh+Dj4ekALKNOtqy/fgOJxL0tDA==" saltValue="q/AyLnxVy1vxffFDKjk+cA==" spinCount="100000" sheet="1" objects="1" scenarios="1"/>
  <protectedRanges>
    <protectedRange sqref="J7:K7" name="Intervalo2"/>
    <protectedRange sqref="B8:H10 J7 C45:D53 K45:L53" name="Intervalo1"/>
  </protectedRanges>
  <mergeCells count="96">
    <mergeCell ref="B2:T4"/>
    <mergeCell ref="B6:H6"/>
    <mergeCell ref="J6:K6"/>
    <mergeCell ref="M6:N6"/>
    <mergeCell ref="J7:K7"/>
    <mergeCell ref="M7:N7"/>
    <mergeCell ref="B11:T11"/>
    <mergeCell ref="B12:J12"/>
    <mergeCell ref="K12:T12"/>
    <mergeCell ref="B13:B14"/>
    <mergeCell ref="C13:E13"/>
    <mergeCell ref="F13:F14"/>
    <mergeCell ref="G13:G14"/>
    <mergeCell ref="H13:H14"/>
    <mergeCell ref="I13:I14"/>
    <mergeCell ref="J13:J14"/>
    <mergeCell ref="S13:S14"/>
    <mergeCell ref="T13:T14"/>
    <mergeCell ref="D14:E14"/>
    <mergeCell ref="L14:M14"/>
    <mergeCell ref="S15:S23"/>
    <mergeCell ref="T15:T23"/>
    <mergeCell ref="K13:M13"/>
    <mergeCell ref="N13:N14"/>
    <mergeCell ref="O13:O14"/>
    <mergeCell ref="P13:P14"/>
    <mergeCell ref="Q13:Q14"/>
    <mergeCell ref="R13:R14"/>
    <mergeCell ref="C18:C19"/>
    <mergeCell ref="E18:E19"/>
    <mergeCell ref="K18:K19"/>
    <mergeCell ref="M18:M19"/>
    <mergeCell ref="C20:C21"/>
    <mergeCell ref="E20:E21"/>
    <mergeCell ref="K20:K21"/>
    <mergeCell ref="M20:M21"/>
    <mergeCell ref="B26:T26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55" priority="22" operator="between">
      <formula>0.7</formula>
      <formula>1</formula>
    </cfRule>
    <cfRule type="cellIs" dxfId="54" priority="23" operator="greaterThanOrEqual">
      <formula>1</formula>
    </cfRule>
    <cfRule type="cellIs" dxfId="53" priority="24" operator="lessThan">
      <formula>0.7</formula>
    </cfRule>
  </conditionalFormatting>
  <conditionalFormatting sqref="E30:E33 E35 E37:E38">
    <cfRule type="cellIs" dxfId="52" priority="10" operator="between">
      <formula>0.7</formula>
      <formula>1</formula>
    </cfRule>
    <cfRule type="cellIs" dxfId="51" priority="11" operator="greaterThanOrEqual">
      <formula>1</formula>
    </cfRule>
    <cfRule type="cellIs" dxfId="50" priority="12" operator="lessThan">
      <formula>0.7</formula>
    </cfRule>
  </conditionalFormatting>
  <conditionalFormatting sqref="E45:E48 E50 E52:E53">
    <cfRule type="cellIs" dxfId="49" priority="34" operator="between">
      <formula>0.7</formula>
      <formula>1</formula>
    </cfRule>
    <cfRule type="cellIs" dxfId="48" priority="35" operator="greaterThanOrEqual">
      <formula>1</formula>
    </cfRule>
    <cfRule type="cellIs" dxfId="47" priority="36" operator="lessThan">
      <formula>0.7</formula>
    </cfRule>
  </conditionalFormatting>
  <conditionalFormatting sqref="M15:M18">
    <cfRule type="cellIs" dxfId="46" priority="16" operator="between">
      <formula>0.7</formula>
      <formula>1</formula>
    </cfRule>
    <cfRule type="cellIs" dxfId="45" priority="17" operator="greaterThanOrEqual">
      <formula>1</formula>
    </cfRule>
    <cfRule type="cellIs" dxfId="44" priority="18" operator="lessThan">
      <formula>0.7</formula>
    </cfRule>
  </conditionalFormatting>
  <conditionalFormatting sqref="M20">
    <cfRule type="cellIs" dxfId="43" priority="13" operator="between">
      <formula>0.7</formula>
      <formula>1</formula>
    </cfRule>
    <cfRule type="cellIs" dxfId="42" priority="14" operator="greaterThanOrEqual">
      <formula>1</formula>
    </cfRule>
    <cfRule type="cellIs" dxfId="41" priority="15" operator="lessThan">
      <formula>0.7</formula>
    </cfRule>
  </conditionalFormatting>
  <conditionalFormatting sqref="M22:M23">
    <cfRule type="cellIs" dxfId="40" priority="19" operator="between">
      <formula>0.7</formula>
      <formula>1</formula>
    </cfRule>
    <cfRule type="cellIs" dxfId="39" priority="20" operator="greaterThanOrEqual">
      <formula>1</formula>
    </cfRule>
    <cfRule type="cellIs" dxfId="38" priority="21" operator="lessThan">
      <formula>0.7</formula>
    </cfRule>
  </conditionalFormatting>
  <conditionalFormatting sqref="M30:M33">
    <cfRule type="cellIs" dxfId="37" priority="4" operator="between">
      <formula>0.7</formula>
      <formula>1</formula>
    </cfRule>
    <cfRule type="cellIs" dxfId="36" priority="5" operator="greaterThanOrEqual">
      <formula>1</formula>
    </cfRule>
    <cfRule type="cellIs" dxfId="35" priority="6" operator="lessThan">
      <formula>0.7</formula>
    </cfRule>
  </conditionalFormatting>
  <conditionalFormatting sqref="M35">
    <cfRule type="cellIs" dxfId="34" priority="1" operator="between">
      <formula>0.7</formula>
      <formula>1</formula>
    </cfRule>
    <cfRule type="cellIs" dxfId="33" priority="2" operator="greaterThanOrEqual">
      <formula>1</formula>
    </cfRule>
    <cfRule type="cellIs" dxfId="32" priority="3" operator="lessThan">
      <formula>0.7</formula>
    </cfRule>
  </conditionalFormatting>
  <conditionalFormatting sqref="M37:M38">
    <cfRule type="cellIs" dxfId="31" priority="7" operator="between">
      <formula>0.7</formula>
      <formula>1</formula>
    </cfRule>
    <cfRule type="cellIs" dxfId="30" priority="8" operator="greaterThanOrEqual">
      <formula>1</formula>
    </cfRule>
    <cfRule type="cellIs" dxfId="29" priority="9" operator="lessThan">
      <formula>0.7</formula>
    </cfRule>
  </conditionalFormatting>
  <conditionalFormatting sqref="M45:M48">
    <cfRule type="cellIs" dxfId="28" priority="28" operator="between">
      <formula>0.7</formula>
      <formula>1</formula>
    </cfRule>
    <cfRule type="cellIs" dxfId="27" priority="29" operator="greaterThanOrEqual">
      <formula>1</formula>
    </cfRule>
    <cfRule type="cellIs" dxfId="26" priority="30" operator="lessThan">
      <formula>0.7</formula>
    </cfRule>
  </conditionalFormatting>
  <conditionalFormatting sqref="M50">
    <cfRule type="cellIs" dxfId="25" priority="25" operator="between">
      <formula>0.7</formula>
      <formula>1</formula>
    </cfRule>
    <cfRule type="cellIs" dxfId="24" priority="26" operator="greaterThanOrEqual">
      <formula>1</formula>
    </cfRule>
    <cfRule type="cellIs" dxfId="23" priority="27" operator="lessThan">
      <formula>0.7</formula>
    </cfRule>
  </conditionalFormatting>
  <conditionalFormatting sqref="M52:M53">
    <cfRule type="cellIs" dxfId="22" priority="31" operator="between">
      <formula>0.7</formula>
      <formula>1</formula>
    </cfRule>
    <cfRule type="cellIs" dxfId="21" priority="32" operator="greaterThanOrEqual">
      <formula>1</formula>
    </cfRule>
    <cfRule type="cellIs" dxfId="20" priority="33" operator="lessThan">
      <formula>0.7</formula>
    </cfRule>
  </conditionalFormatting>
  <dataValidations count="1">
    <dataValidation type="list" allowBlank="1" showInputMessage="1" showErrorMessage="1" sqref="B8:H8" xr:uid="{13B1F803-630E-4068-A653-42FF9B53A7DF}">
      <formula1>$V$6:$X$6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693FF5-FE2F-4BE1-8ECE-BB671CDA6B5A}">
          <x14:formula1>
            <xm:f>HC!$AO$2:$AO$8</xm:f>
          </x14:formula1>
          <xm:sqref>J7:K7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19B26-1765-49EF-8EC0-0E1D23B83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FATORES</vt:lpstr>
      <vt:lpstr>REALIZADO</vt:lpstr>
      <vt:lpstr>PROJEÇÃO</vt:lpstr>
      <vt:lpstr>CAPA</vt:lpstr>
      <vt:lpstr>ANCHIETA</vt:lpstr>
      <vt:lpstr>CENTRO VIX</vt:lpstr>
      <vt:lpstr>PIUMA</vt:lpstr>
      <vt:lpstr>ICONHA</vt:lpstr>
      <vt:lpstr>ST PADUA</vt:lpstr>
      <vt:lpstr>MONTSERRAT</vt:lpstr>
      <vt:lpstr>CENTRO VV</vt:lpstr>
      <vt:lpstr>SAO FIDELIS</vt:lpstr>
      <vt:lpstr>JACARAIPE</vt:lpstr>
      <vt:lpstr>JARDIM CAMBURI</vt:lpstr>
      <vt:lpstr>LARANJEIRAS</vt:lpstr>
      <vt:lpstr>QUISSAMA</vt:lpstr>
      <vt:lpstr>GLORIA</vt:lpstr>
      <vt:lpstr>HC</vt:lpstr>
      <vt:lpstr>NORTE SUL</vt:lpstr>
      <vt:lpstr>MARCILIO DE NORONHA</vt:lpstr>
      <vt:lpstr>PORTO CANOA</vt:lpstr>
      <vt:lpstr>MASTERPLACE</vt:lpstr>
      <vt:lpstr>BOM JESUS</vt:lpstr>
      <vt:lpstr>MIRACEMA</vt:lpstr>
      <vt:lpstr>ITACIBA</vt:lpstr>
      <vt:lpstr>SERRA SEDE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Rede Confiança</dc:creator>
  <cp:keywords/>
  <dc:description/>
  <cp:lastModifiedBy>João Rede Confiança</cp:lastModifiedBy>
  <cp:revision/>
  <dcterms:created xsi:type="dcterms:W3CDTF">2025-10-16T19:49:07Z</dcterms:created>
  <dcterms:modified xsi:type="dcterms:W3CDTF">2026-05-04T11:34:28Z</dcterms:modified>
  <cp:category/>
  <cp:contentStatus/>
</cp:coreProperties>
</file>