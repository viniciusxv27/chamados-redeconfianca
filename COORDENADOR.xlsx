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Meu Drive\Inteligencia\Inteligencia\SIMULADORES\"/>
    </mc:Choice>
  </mc:AlternateContent>
  <xr:revisionPtr revIDLastSave="0" documentId="13_ncr:1_{10FF1008-C1C3-4A9F-9EEF-DB9F4410E1AE}" xr6:coauthVersionLast="47" xr6:coauthVersionMax="47" xr10:uidLastSave="{00000000-0000-0000-0000-000000000000}"/>
  <bookViews>
    <workbookView xWindow="-20610" yWindow="-120" windowWidth="20730" windowHeight="11040" firstSheet="2" activeTab="5" xr2:uid="{7DFB0D06-DF95-4772-BB9F-35EFA7E45105}"/>
  </bookViews>
  <sheets>
    <sheet name="FATORES" sheetId="3" state="hidden" r:id="rId1"/>
    <sheet name="REALIZADO" sheetId="4" state="hidden" r:id="rId2"/>
    <sheet name="PROJEÇÃO" sheetId="5" r:id="rId3"/>
    <sheet name="CAPA" sheetId="26" state="hidden" r:id="rId4"/>
    <sheet name="ARIEL" sheetId="1" r:id="rId5"/>
    <sheet name="LUIZ" sheetId="70" r:id="rId6"/>
    <sheet name="THAYANDRA" sheetId="71" r:id="rId7"/>
  </sheets>
  <definedNames>
    <definedName name="DadosExternos_1" localSheetId="2" hidden="1">PROJEÇÃO!$A$1:$T$106</definedName>
    <definedName name="DadosExternos_1" localSheetId="1" hidden="1">'REALIZADO'!$A$1:$Y$102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4" l="1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I53" i="71"/>
  <c r="H53" i="71"/>
  <c r="E53" i="71"/>
  <c r="F53" i="71"/>
  <c r="G53" i="71"/>
  <c r="I52" i="71"/>
  <c r="H52" i="71"/>
  <c r="E52" i="71"/>
  <c r="F52" i="71"/>
  <c r="G52" i="71"/>
  <c r="H51" i="71"/>
  <c r="H50" i="71"/>
  <c r="E50" i="71"/>
  <c r="F50" i="71"/>
  <c r="G50" i="71"/>
  <c r="I50" i="71"/>
  <c r="F51" i="71"/>
  <c r="G51" i="71"/>
  <c r="I51" i="71"/>
  <c r="H49" i="71"/>
  <c r="H48" i="71"/>
  <c r="E48" i="71"/>
  <c r="F49" i="71"/>
  <c r="G49" i="71"/>
  <c r="I49" i="71"/>
  <c r="F48" i="71"/>
  <c r="G48" i="71"/>
  <c r="I48" i="71"/>
  <c r="H47" i="71"/>
  <c r="E47" i="71"/>
  <c r="F47" i="71"/>
  <c r="G47" i="71"/>
  <c r="I47" i="71"/>
  <c r="I46" i="71"/>
  <c r="H46" i="71"/>
  <c r="E46" i="71"/>
  <c r="F46" i="71"/>
  <c r="G46" i="71"/>
  <c r="I45" i="71"/>
  <c r="I54" i="71"/>
  <c r="H45" i="71"/>
  <c r="H54" i="71"/>
  <c r="E45" i="71"/>
  <c r="F45" i="71"/>
  <c r="G45" i="71"/>
  <c r="I38" i="71"/>
  <c r="H38" i="71"/>
  <c r="I37" i="71"/>
  <c r="H37" i="71"/>
  <c r="H36" i="71"/>
  <c r="H35" i="71"/>
  <c r="H34" i="71"/>
  <c r="H33" i="71"/>
  <c r="H32" i="71"/>
  <c r="I31" i="71"/>
  <c r="H31" i="71"/>
  <c r="I30" i="71"/>
  <c r="H30" i="71"/>
  <c r="I23" i="71"/>
  <c r="H23" i="71"/>
  <c r="D23" i="71"/>
  <c r="I22" i="71"/>
  <c r="H22" i="71"/>
  <c r="D22" i="71"/>
  <c r="H21" i="71"/>
  <c r="D21" i="71"/>
  <c r="H20" i="71"/>
  <c r="D20" i="71"/>
  <c r="H19" i="71"/>
  <c r="D19" i="71"/>
  <c r="H18" i="71"/>
  <c r="D18" i="71"/>
  <c r="H17" i="71"/>
  <c r="D17" i="71"/>
  <c r="I16" i="71"/>
  <c r="H16" i="71"/>
  <c r="D16" i="71"/>
  <c r="I15" i="71"/>
  <c r="H15" i="71"/>
  <c r="D15" i="71"/>
  <c r="I53" i="70"/>
  <c r="H53" i="70"/>
  <c r="E53" i="70"/>
  <c r="F53" i="70"/>
  <c r="G53" i="70"/>
  <c r="I52" i="70"/>
  <c r="H52" i="70"/>
  <c r="E52" i="70"/>
  <c r="F52" i="70"/>
  <c r="G52" i="70"/>
  <c r="I51" i="70"/>
  <c r="H51" i="70"/>
  <c r="E50" i="70"/>
  <c r="F51" i="70"/>
  <c r="G51" i="70"/>
  <c r="I50" i="70"/>
  <c r="H50" i="70"/>
  <c r="F50" i="70"/>
  <c r="G50" i="70"/>
  <c r="I49" i="70"/>
  <c r="H49" i="70"/>
  <c r="I48" i="70"/>
  <c r="H48" i="70"/>
  <c r="E48" i="70"/>
  <c r="F49" i="70"/>
  <c r="G49" i="70"/>
  <c r="I47" i="70"/>
  <c r="H47" i="70"/>
  <c r="E47" i="70"/>
  <c r="F47" i="70"/>
  <c r="G47" i="70"/>
  <c r="I46" i="70"/>
  <c r="H46" i="70"/>
  <c r="E46" i="70"/>
  <c r="F46" i="70"/>
  <c r="G46" i="70"/>
  <c r="I45" i="70"/>
  <c r="H45" i="70"/>
  <c r="E45" i="70"/>
  <c r="F45" i="70"/>
  <c r="G45" i="70"/>
  <c r="J54" i="70"/>
  <c r="K45" i="70" s="1"/>
  <c r="L45" i="70" s="1"/>
  <c r="I38" i="70"/>
  <c r="H38" i="70"/>
  <c r="I37" i="70"/>
  <c r="H37" i="70"/>
  <c r="I36" i="70"/>
  <c r="H36" i="70"/>
  <c r="I35" i="70"/>
  <c r="H35" i="70"/>
  <c r="I34" i="70"/>
  <c r="H34" i="70"/>
  <c r="I33" i="70"/>
  <c r="H33" i="70"/>
  <c r="I32" i="70"/>
  <c r="H32" i="70"/>
  <c r="I31" i="70"/>
  <c r="H31" i="70"/>
  <c r="I30" i="70"/>
  <c r="H30" i="70"/>
  <c r="I23" i="70"/>
  <c r="H23" i="70"/>
  <c r="D23" i="70"/>
  <c r="I22" i="70"/>
  <c r="H22" i="70"/>
  <c r="D22" i="70"/>
  <c r="I21" i="70"/>
  <c r="H21" i="70"/>
  <c r="D21" i="70"/>
  <c r="I20" i="70"/>
  <c r="H20" i="70"/>
  <c r="D20" i="70"/>
  <c r="I19" i="70"/>
  <c r="H19" i="70"/>
  <c r="D19" i="70"/>
  <c r="I18" i="70"/>
  <c r="H18" i="70"/>
  <c r="D18" i="70"/>
  <c r="I17" i="70"/>
  <c r="H17" i="70"/>
  <c r="D17" i="70"/>
  <c r="I16" i="70"/>
  <c r="H16" i="70"/>
  <c r="D16" i="70"/>
  <c r="I15" i="70"/>
  <c r="H15" i="70"/>
  <c r="D15" i="70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3" i="1"/>
  <c r="I22" i="1"/>
  <c r="I21" i="1"/>
  <c r="I20" i="1"/>
  <c r="I19" i="1"/>
  <c r="I18" i="1"/>
  <c r="I17" i="1"/>
  <c r="I16" i="1"/>
  <c r="I15" i="1"/>
  <c r="H23" i="1"/>
  <c r="H22" i="1"/>
  <c r="H21" i="1"/>
  <c r="H20" i="1"/>
  <c r="H19" i="1"/>
  <c r="H18" i="1"/>
  <c r="H17" i="1"/>
  <c r="H16" i="1"/>
  <c r="H15" i="1"/>
  <c r="D23" i="1"/>
  <c r="D22" i="1"/>
  <c r="D21" i="1"/>
  <c r="D20" i="1"/>
  <c r="D19" i="1"/>
  <c r="D18" i="1"/>
  <c r="D17" i="1"/>
  <c r="D16" i="1"/>
  <c r="D15" i="1"/>
  <c r="H54" i="70"/>
  <c r="I54" i="70"/>
  <c r="G54" i="71"/>
  <c r="J54" i="71"/>
  <c r="K45" i="71"/>
  <c r="L45" i="71"/>
  <c r="F48" i="70"/>
  <c r="G48" i="70"/>
  <c r="G54" i="70"/>
  <c r="D44" i="3"/>
  <c r="E44" i="3"/>
  <c r="D45" i="3"/>
  <c r="E45" i="3"/>
  <c r="D46" i="3"/>
  <c r="E46" i="3"/>
  <c r="D47" i="3"/>
  <c r="E47" i="3"/>
  <c r="D48" i="3"/>
  <c r="E48" i="3"/>
  <c r="D49" i="3"/>
  <c r="E49" i="3"/>
  <c r="C50" i="1" l="1"/>
  <c r="D47" i="1"/>
  <c r="C32" i="70"/>
  <c r="D48" i="1"/>
  <c r="E47" i="1"/>
  <c r="F47" i="1" s="1"/>
  <c r="G47" i="1" s="1"/>
  <c r="C52" i="1"/>
  <c r="C53" i="1"/>
  <c r="E53" i="1" s="1"/>
  <c r="F53" i="1" s="1"/>
  <c r="G53" i="1" s="1"/>
  <c r="C45" i="1"/>
  <c r="D53" i="1"/>
  <c r="C46" i="1"/>
  <c r="D51" i="1"/>
  <c r="D45" i="1"/>
  <c r="D52" i="1"/>
  <c r="D46" i="1"/>
  <c r="E46" i="1" s="1"/>
  <c r="F46" i="1" s="1"/>
  <c r="G46" i="1" s="1"/>
  <c r="H39" i="70"/>
  <c r="H24" i="71"/>
  <c r="D38" i="71"/>
  <c r="D30" i="71"/>
  <c r="D37" i="1"/>
  <c r="I39" i="70"/>
  <c r="C37" i="1"/>
  <c r="D37" i="71"/>
  <c r="I54" i="1"/>
  <c r="H39" i="1"/>
  <c r="I24" i="70"/>
  <c r="C30" i="70"/>
  <c r="C17" i="71"/>
  <c r="E17" i="71" s="1"/>
  <c r="F17" i="71" s="1"/>
  <c r="G17" i="71" s="1"/>
  <c r="I17" i="71" s="1"/>
  <c r="C38" i="1"/>
  <c r="C37" i="71"/>
  <c r="C16" i="71"/>
  <c r="E16" i="71" s="1"/>
  <c r="F16" i="71" s="1"/>
  <c r="G16" i="71" s="1"/>
  <c r="C22" i="70"/>
  <c r="E22" i="70" s="1"/>
  <c r="F22" i="70" s="1"/>
  <c r="G22" i="70" s="1"/>
  <c r="C17" i="1"/>
  <c r="E17" i="1" s="1"/>
  <c r="F17" i="1" s="1"/>
  <c r="G17" i="1" s="1"/>
  <c r="C18" i="71"/>
  <c r="E18" i="71" s="1"/>
  <c r="F19" i="71" s="1"/>
  <c r="G19" i="71" s="1"/>
  <c r="I19" i="71" s="1"/>
  <c r="C35" i="1"/>
  <c r="D32" i="1"/>
  <c r="H24" i="1"/>
  <c r="D35" i="1"/>
  <c r="D33" i="70"/>
  <c r="C31" i="1"/>
  <c r="C23" i="70"/>
  <c r="E23" i="70" s="1"/>
  <c r="F23" i="70" s="1"/>
  <c r="G23" i="70" s="1"/>
  <c r="C38" i="71"/>
  <c r="E38" i="71" s="1"/>
  <c r="F38" i="71" s="1"/>
  <c r="G38" i="71" s="1"/>
  <c r="D34" i="71"/>
  <c r="D36" i="70"/>
  <c r="C32" i="71"/>
  <c r="C20" i="1"/>
  <c r="E20" i="1" s="1"/>
  <c r="F21" i="1" s="1"/>
  <c r="G21" i="1" s="1"/>
  <c r="C18" i="70"/>
  <c r="E18" i="70" s="1"/>
  <c r="F18" i="70" s="1"/>
  <c r="G18" i="70" s="1"/>
  <c r="C30" i="71"/>
  <c r="C35" i="70"/>
  <c r="D31" i="71"/>
  <c r="C17" i="70"/>
  <c r="E17" i="70" s="1"/>
  <c r="F17" i="70" s="1"/>
  <c r="G17" i="70" s="1"/>
  <c r="D50" i="1"/>
  <c r="D35" i="70"/>
  <c r="C16" i="70"/>
  <c r="E16" i="70" s="1"/>
  <c r="F16" i="70" s="1"/>
  <c r="G16" i="70" s="1"/>
  <c r="D31" i="1"/>
  <c r="C33" i="70"/>
  <c r="D32" i="70"/>
  <c r="C23" i="71"/>
  <c r="E23" i="71" s="1"/>
  <c r="F23" i="71" s="1"/>
  <c r="G23" i="71" s="1"/>
  <c r="D38" i="1"/>
  <c r="C15" i="70"/>
  <c r="E15" i="70" s="1"/>
  <c r="F15" i="70" s="1"/>
  <c r="G15" i="70" s="1"/>
  <c r="C15" i="1"/>
  <c r="E15" i="1" s="1"/>
  <c r="F15" i="1" s="1"/>
  <c r="G15" i="1" s="1"/>
  <c r="C23" i="1"/>
  <c r="E23" i="1" s="1"/>
  <c r="F23" i="1" s="1"/>
  <c r="G23" i="1" s="1"/>
  <c r="C35" i="71"/>
  <c r="C33" i="71"/>
  <c r="D34" i="1"/>
  <c r="D36" i="71"/>
  <c r="C20" i="71"/>
  <c r="E20" i="71" s="1"/>
  <c r="F21" i="71" s="1"/>
  <c r="G21" i="71" s="1"/>
  <c r="I21" i="71" s="1"/>
  <c r="D35" i="71"/>
  <c r="D31" i="70"/>
  <c r="D30" i="70"/>
  <c r="D30" i="1"/>
  <c r="D33" i="71"/>
  <c r="C16" i="1"/>
  <c r="E16" i="1" s="1"/>
  <c r="F16" i="1" s="1"/>
  <c r="G16" i="1" s="1"/>
  <c r="C18" i="1"/>
  <c r="E18" i="1" s="1"/>
  <c r="F19" i="1" s="1"/>
  <c r="G19" i="1" s="1"/>
  <c r="C22" i="1"/>
  <c r="E22" i="1" s="1"/>
  <c r="F22" i="1" s="1"/>
  <c r="G22" i="1" s="1"/>
  <c r="D33" i="1"/>
  <c r="C37" i="70"/>
  <c r="C38" i="70"/>
  <c r="H24" i="70"/>
  <c r="H39" i="71"/>
  <c r="C48" i="1"/>
  <c r="C30" i="1"/>
  <c r="C31" i="71"/>
  <c r="D37" i="70"/>
  <c r="C15" i="71"/>
  <c r="E15" i="71" s="1"/>
  <c r="F15" i="71" s="1"/>
  <c r="G15" i="71" s="1"/>
  <c r="D36" i="1"/>
  <c r="D38" i="70"/>
  <c r="H54" i="1"/>
  <c r="C32" i="1"/>
  <c r="C20" i="70"/>
  <c r="E20" i="70" s="1"/>
  <c r="F21" i="70" s="1"/>
  <c r="G21" i="70" s="1"/>
  <c r="C31" i="70"/>
  <c r="D34" i="70"/>
  <c r="C22" i="71"/>
  <c r="E22" i="71" s="1"/>
  <c r="F22" i="71" s="1"/>
  <c r="G22" i="71" s="1"/>
  <c r="I24" i="1"/>
  <c r="I39" i="1"/>
  <c r="F20" i="71"/>
  <c r="G20" i="71" s="1"/>
  <c r="I20" i="71" s="1"/>
  <c r="D32" i="71"/>
  <c r="C33" i="1"/>
  <c r="E37" i="71" l="1"/>
  <c r="F37" i="71" s="1"/>
  <c r="G37" i="71" s="1"/>
  <c r="E32" i="1"/>
  <c r="F32" i="1" s="1"/>
  <c r="G32" i="1" s="1"/>
  <c r="E48" i="1"/>
  <c r="E32" i="70"/>
  <c r="F32" i="70" s="1"/>
  <c r="G32" i="70" s="1"/>
  <c r="E52" i="1"/>
  <c r="F52" i="1" s="1"/>
  <c r="G52" i="1" s="1"/>
  <c r="E45" i="1"/>
  <c r="F45" i="1" s="1"/>
  <c r="G45" i="1" s="1"/>
  <c r="F20" i="70"/>
  <c r="G20" i="70" s="1"/>
  <c r="E38" i="70"/>
  <c r="F38" i="70" s="1"/>
  <c r="G38" i="70" s="1"/>
  <c r="E31" i="70"/>
  <c r="F31" i="70" s="1"/>
  <c r="G31" i="70" s="1"/>
  <c r="E35" i="71"/>
  <c r="F36" i="71" s="1"/>
  <c r="G36" i="71" s="1"/>
  <c r="I36" i="71" s="1"/>
  <c r="E33" i="71"/>
  <c r="F34" i="71" s="1"/>
  <c r="G34" i="71" s="1"/>
  <c r="I34" i="71" s="1"/>
  <c r="E33" i="1"/>
  <c r="F33" i="1" s="1"/>
  <c r="G33" i="1" s="1"/>
  <c r="E37" i="70"/>
  <c r="F37" i="70" s="1"/>
  <c r="G37" i="70" s="1"/>
  <c r="E38" i="1"/>
  <c r="F38" i="1" s="1"/>
  <c r="G38" i="1" s="1"/>
  <c r="E30" i="71"/>
  <c r="F30" i="71" s="1"/>
  <c r="G30" i="71" s="1"/>
  <c r="E30" i="70"/>
  <c r="F30" i="70" s="1"/>
  <c r="G30" i="70" s="1"/>
  <c r="F18" i="1"/>
  <c r="G18" i="1" s="1"/>
  <c r="E37" i="1"/>
  <c r="F37" i="1" s="1"/>
  <c r="G37" i="1" s="1"/>
  <c r="F48" i="1"/>
  <c r="G48" i="1" s="1"/>
  <c r="F49" i="1"/>
  <c r="G49" i="1" s="1"/>
  <c r="J24" i="71"/>
  <c r="E31" i="1"/>
  <c r="F31" i="1" s="1"/>
  <c r="G31" i="1" s="1"/>
  <c r="F19" i="70"/>
  <c r="G19" i="70" s="1"/>
  <c r="G24" i="70" s="1"/>
  <c r="J24" i="70"/>
  <c r="J24" i="1"/>
  <c r="F18" i="71"/>
  <c r="G18" i="71" s="1"/>
  <c r="I18" i="71" s="1"/>
  <c r="E50" i="1"/>
  <c r="F20" i="1"/>
  <c r="G20" i="1" s="1"/>
  <c r="E35" i="1"/>
  <c r="E31" i="71"/>
  <c r="F31" i="71" s="1"/>
  <c r="G31" i="71" s="1"/>
  <c r="E33" i="70"/>
  <c r="E35" i="70"/>
  <c r="I24" i="71"/>
  <c r="E30" i="1"/>
  <c r="F30" i="1" s="1"/>
  <c r="G30" i="1" s="1"/>
  <c r="E32" i="71"/>
  <c r="F35" i="71" l="1"/>
  <c r="G35" i="71" s="1"/>
  <c r="I35" i="71" s="1"/>
  <c r="G24" i="1"/>
  <c r="K15" i="1" s="1"/>
  <c r="L15" i="1" s="1"/>
  <c r="F33" i="71"/>
  <c r="G33" i="71" s="1"/>
  <c r="I33" i="71" s="1"/>
  <c r="J39" i="70"/>
  <c r="F34" i="1"/>
  <c r="G34" i="1" s="1"/>
  <c r="F51" i="1"/>
  <c r="G51" i="1" s="1"/>
  <c r="F50" i="1"/>
  <c r="G50" i="1" s="1"/>
  <c r="F35" i="70"/>
  <c r="G35" i="70" s="1"/>
  <c r="F36" i="70"/>
  <c r="G36" i="70" s="1"/>
  <c r="F33" i="70"/>
  <c r="G33" i="70" s="1"/>
  <c r="F34" i="70"/>
  <c r="G34" i="70" s="1"/>
  <c r="J39" i="1"/>
  <c r="F35" i="1"/>
  <c r="G35" i="1" s="1"/>
  <c r="F36" i="1"/>
  <c r="G36" i="1" s="1"/>
  <c r="K15" i="70"/>
  <c r="L15" i="70" s="1"/>
  <c r="G24" i="71"/>
  <c r="K15" i="71" s="1"/>
  <c r="L15" i="71" s="1"/>
  <c r="F32" i="71"/>
  <c r="G32" i="71" s="1"/>
  <c r="J39" i="71"/>
  <c r="G39" i="70" l="1"/>
  <c r="K30" i="70" s="1"/>
  <c r="L30" i="70" s="1"/>
  <c r="G54" i="1"/>
  <c r="G39" i="1"/>
  <c r="K30" i="1" s="1"/>
  <c r="L30" i="1" s="1"/>
  <c r="I32" i="71"/>
  <c r="I39" i="71" s="1"/>
  <c r="G39" i="71"/>
  <c r="J54" i="1" l="1"/>
  <c r="K45" i="1" s="1"/>
  <c r="L45" i="1" s="1"/>
  <c r="K30" i="71"/>
  <c r="L30" i="7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ROJEÇÃO" description="Conexão com a consulta 'PROJEÇÃO' na pasta de trabalho." type="5" refreshedVersion="8" background="1" saveData="1">
    <dbPr connection="Provider=Microsoft.Mashup.OleDb.1;Data Source=$Workbook$;Location=PROJEÇÃO;Extended Properties=&quot;&quot;" command="SELECT * FROM [PROJEÇÃO]"/>
  </connection>
  <connection id="2" xr16:uid="{00000000-0015-0000-FFFF-FFFF01000000}" keepAlive="1" name="Consulta - REALIZADO" description="Conexão com a consulta 'REALIZADO' na pasta de trabalho." type="5" refreshedVersion="8" background="1" saveData="1">
    <dbPr connection="Provider=Microsoft.Mashup.OleDb.1;Data Source=$Workbook$;Location=REALIZADO;Extended Properties=&quot;&quot;" command="SELECT * FROM [REALIZADO]"/>
  </connection>
</connections>
</file>

<file path=xl/sharedStrings.xml><?xml version="1.0" encoding="utf-8"?>
<sst xmlns="http://schemas.openxmlformats.org/spreadsheetml/2006/main" count="986" uniqueCount="280">
  <si>
    <t>VENDEDOR</t>
  </si>
  <si>
    <t>ESSENCIAIS</t>
  </si>
  <si>
    <t>MÓVEL</t>
  </si>
  <si>
    <t>SEGURO</t>
  </si>
  <si>
    <t>A</t>
  </si>
  <si>
    <t>B</t>
  </si>
  <si>
    <t>COMISSÃO</t>
  </si>
  <si>
    <t>&lt;50</t>
  </si>
  <si>
    <t>PREMIAÇÃO ALTO DESEMPENHO</t>
  </si>
  <si>
    <t>INDIVIDUAL</t>
  </si>
  <si>
    <t>PREMIO ALTA PERFORMANCE</t>
  </si>
  <si>
    <t>LOJA</t>
  </si>
  <si>
    <t>PREMIO LOJA</t>
  </si>
  <si>
    <t>FIXA</t>
  </si>
  <si>
    <t>SVA</t>
  </si>
  <si>
    <t>VENDEU GANHOU</t>
  </si>
  <si>
    <t>ELETRONICOS</t>
  </si>
  <si>
    <t>&gt;15</t>
  </si>
  <si>
    <t>&lt;15</t>
  </si>
  <si>
    <t>Smartphone</t>
  </si>
  <si>
    <t>GERENTE</t>
  </si>
  <si>
    <t>CARTEIRA</t>
  </si>
  <si>
    <t>PREMIO CARTEIRA</t>
  </si>
  <si>
    <t>COORDENADOR</t>
  </si>
  <si>
    <t>RECEPCIONISTA / GURU</t>
  </si>
  <si>
    <t>PREMIAÇÃO FIXA</t>
  </si>
  <si>
    <t>PREMIAÇÃO</t>
  </si>
  <si>
    <t>ANCHIETA</t>
  </si>
  <si>
    <t>ARIEL</t>
  </si>
  <si>
    <t>BOM JESUS DO ITABAPOANA</t>
  </si>
  <si>
    <t>ICONHA</t>
  </si>
  <si>
    <t>MIRACEMA</t>
  </si>
  <si>
    <t>PIUMA</t>
  </si>
  <si>
    <t>QUISSAMA</t>
  </si>
  <si>
    <t>SANTO ANTONIO DE PADUA</t>
  </si>
  <si>
    <t>SAO FIDELIS</t>
  </si>
  <si>
    <t>CENTRO VILA VELHA</t>
  </si>
  <si>
    <t>IGOR</t>
  </si>
  <si>
    <t>CENTRO VIX</t>
  </si>
  <si>
    <t>GLÓRIA</t>
  </si>
  <si>
    <t>JARDIM CAMBURI</t>
  </si>
  <si>
    <t>MASTERPLACE</t>
  </si>
  <si>
    <t>NORTE SUL</t>
  </si>
  <si>
    <t>ITACIBA</t>
  </si>
  <si>
    <t>JACARAÍPE</t>
  </si>
  <si>
    <t>THAYANDRA</t>
  </si>
  <si>
    <t>LARANJEIRAS</t>
  </si>
  <si>
    <t>MARCILIO DE NORONHA</t>
  </si>
  <si>
    <t>MONTSERRAT</t>
  </si>
  <si>
    <t>PORTO CANOA</t>
  </si>
  <si>
    <t>SERRA SEDE</t>
  </si>
  <si>
    <t>SEDE ADMINISTRATIVA</t>
  </si>
  <si>
    <t>RCX</t>
  </si>
  <si>
    <t>CONSULTOR</t>
  </si>
  <si>
    <t>PDV</t>
  </si>
  <si>
    <t>AT_MOVEL</t>
  </si>
  <si>
    <t>META_MOVEL</t>
  </si>
  <si>
    <t>F_M_MOVEL</t>
  </si>
  <si>
    <t>AT_FIXA</t>
  </si>
  <si>
    <t>META_FIXA</t>
  </si>
  <si>
    <t>F_M_FIXA</t>
  </si>
  <si>
    <t>AT_SMARTPHONE</t>
  </si>
  <si>
    <t>META_SMARTPHONE</t>
  </si>
  <si>
    <t>F_M_SMARTPHONE</t>
  </si>
  <si>
    <t>AT_ACESSORIOS_A</t>
  </si>
  <si>
    <t>AT_ACESSORIOS_B</t>
  </si>
  <si>
    <t>META_ACESSORIO</t>
  </si>
  <si>
    <t>F_M_ACESSORIOS</t>
  </si>
  <si>
    <t>AT_ESSENCIAIS_A</t>
  </si>
  <si>
    <t>AT_ESSENCIAIS_B</t>
  </si>
  <si>
    <t>META_ESSENCIAIS</t>
  </si>
  <si>
    <t>F_M_ESSENCIAIS</t>
  </si>
  <si>
    <t>AT_SEGUROS</t>
  </si>
  <si>
    <t>META_SEGUROS</t>
  </si>
  <si>
    <t>F_M_SEGUROS</t>
  </si>
  <si>
    <t>AT_SVA</t>
  </si>
  <si>
    <t>META_SVA</t>
  </si>
  <si>
    <t>F_M_SVA</t>
  </si>
  <si>
    <t>COORDENAÇÃO</t>
  </si>
  <si>
    <t>GABRIEL PINHEIRO BORGES</t>
  </si>
  <si>
    <t>NOEMI BATISTA DOS SANTOS</t>
  </si>
  <si>
    <t>EVELYN MAVYE SILVEIRA</t>
  </si>
  <si>
    <t>SHIRLEY SILVA MOREIRA</t>
  </si>
  <si>
    <t>GIAN BATISTA BRANCO</t>
  </si>
  <si>
    <t>REBECA SENA DOS SANTOS</t>
  </si>
  <si>
    <t>TAHINA PAHINS COELHO</t>
  </si>
  <si>
    <t>RODRIGO ARAUJO BRAU</t>
  </si>
  <si>
    <t>ROQUELLEM HERMES RAMOS</t>
  </si>
  <si>
    <t>GYSELLA MOURA COSTA</t>
  </si>
  <si>
    <t>HERIK LUCAS SOUZA SOARES</t>
  </si>
  <si>
    <t>KLEYDSON NASCIMENTO DE JESUS</t>
  </si>
  <si>
    <t>JOHANN RAMOS SCHEIDEGGER</t>
  </si>
  <si>
    <t>MATHEUS DE OLIVEIRA ROBERTO</t>
  </si>
  <si>
    <t>DENNIS GUIMARAES SUZART DA SILVA</t>
  </si>
  <si>
    <t>HEMILLY NUNES FERREIRA</t>
  </si>
  <si>
    <t>RONARA ASSIS THOMAZELLI</t>
  </si>
  <si>
    <t>MARIA FERNANDA XAVIER GONÇALVES</t>
  </si>
  <si>
    <t>RYAN ALVES FERNANDES</t>
  </si>
  <si>
    <t>MATHEUS FERREIRA DE CASTRO ANDRADE</t>
  </si>
  <si>
    <t>HEMILLY LAVYNNIE RODRIGUES GAMA</t>
  </si>
  <si>
    <t>MAXSINE STEFANE MACIEL SOUZA</t>
  </si>
  <si>
    <t>JAIR DOMINGOS BARBOSA DO NASCIMENTO JUNIOR</t>
  </si>
  <si>
    <t>MARYLLIA CRISTINNY AMORIM CUNHA</t>
  </si>
  <si>
    <t>LAVÍNIA MONTEIRO ALMEIDA</t>
  </si>
  <si>
    <t>EDUARDO FERREIRA PEREIRA</t>
  </si>
  <si>
    <t>ÁLIFFER 1</t>
  </si>
  <si>
    <t>MILLENA LOUISE RAMOS FRASSON</t>
  </si>
  <si>
    <t>EDER FERREIRA MACHADO</t>
  </si>
  <si>
    <t>GIULIANA GAITH SIVIRINO</t>
  </si>
  <si>
    <t>JENNIFER VITORIA DINIZ RODRIGUES</t>
  </si>
  <si>
    <t>DAVI PERIM OLIVEIRA BARRETO</t>
  </si>
  <si>
    <t>SYMONTON BENÍCIO LANA</t>
  </si>
  <si>
    <t>OTAVIO CUNHA RODRIGUES</t>
  </si>
  <si>
    <t>LIDIA DE OLIVEIRA GONÇALVES ATAÍDE</t>
  </si>
  <si>
    <t>JOÃO PEDRO MACHADO ZACARIAS</t>
  </si>
  <si>
    <t>RYAN MARQUES ALVES SILVA</t>
  </si>
  <si>
    <t>SAYMON LUCAS SOBREIRO SANCHES</t>
  </si>
  <si>
    <t>DANIEL ROSA NUNES</t>
  </si>
  <si>
    <t>RAFAEL BISPO DE SOUZA</t>
  </si>
  <si>
    <t>LIVYA KUHN DE OLIVEIRA</t>
  </si>
  <si>
    <t>RAYNER NASCIMENTO</t>
  </si>
  <si>
    <t>GUSTAVO RODRIGUES DOS SANTOS</t>
  </si>
  <si>
    <t>ANA LUÍSA GOMES SANTANA</t>
  </si>
  <si>
    <t>GABRIEL RODRIGUES DE AZEVEDO</t>
  </si>
  <si>
    <t>LUIZ EDUARDO DE OLIVEIRA BARONE</t>
  </si>
  <si>
    <t>VICTORIA CONCEIÇÃO FINAMORE DOS REIS</t>
  </si>
  <si>
    <t>GEORGE ABREU LIANDRO</t>
  </si>
  <si>
    <t>RAFAEL ARCHANJO CADORINI</t>
  </si>
  <si>
    <t>MARYHANY DA SILVA LIMA</t>
  </si>
  <si>
    <t>LAIZA MATEUS ROCHA</t>
  </si>
  <si>
    <t>LARISSA APARECIDA ALVES OLIVEIRA</t>
  </si>
  <si>
    <t>PAULO JOSÉ DIAS GOMES</t>
  </si>
  <si>
    <t>ANA GABRIELLE DA SILVA</t>
  </si>
  <si>
    <t>ÁLIFFER PEREIRA SARMENTO</t>
  </si>
  <si>
    <t>MILLENA LOUISE  1</t>
  </si>
  <si>
    <t>NICOLAS LIMA DA SILVA AZEREDO</t>
  </si>
  <si>
    <t>KAYKY RIBEIRO BARRETO</t>
  </si>
  <si>
    <t>MONIQUE EVA DE SOUZA OLIVEIRA</t>
  </si>
  <si>
    <t>REBECA LARISSA NOVAES VIEIRA</t>
  </si>
  <si>
    <t>EMANUELE GOMES COSTA</t>
  </si>
  <si>
    <t>MICHELLE DA FONTE GARCIA</t>
  </si>
  <si>
    <t>JULIA CASTRO GUEDES</t>
  </si>
  <si>
    <t>NATALIA ALVES RICARDO VICENTE</t>
  </si>
  <si>
    <t>WELLINGTON BOTELHO MOTA</t>
  </si>
  <si>
    <t>EMILLI FERREIRA DOS SANTOS</t>
  </si>
  <si>
    <t>HEITOR DOS REIS SANTOS DE SOUZA</t>
  </si>
  <si>
    <t>ARTHUR GONÇALVES MILED MONTEIRO</t>
  </si>
  <si>
    <t>JEREMIAS BARRO GUIMARAES</t>
  </si>
  <si>
    <t>JENNIFFER BURMANN CORREIA</t>
  </si>
  <si>
    <t>ZION LOUREIRO SIMOES</t>
  </si>
  <si>
    <t>ANA CAROLINA XAVIER GONÇALVES</t>
  </si>
  <si>
    <t>BRUNA NEGRIS MARTINS</t>
  </si>
  <si>
    <t>WILIVIM FELICIO ANTÔNIO DAMASCENO</t>
  </si>
  <si>
    <t>RAQUEL ROSA RODRIGUES</t>
  </si>
  <si>
    <t>NICOLE MARTA PEREIRA BRAGA</t>
  </si>
  <si>
    <t>PEDRO HENRIK TAVARES CORREIA</t>
  </si>
  <si>
    <t>GUSTAVO SANTOS MONTE MOR</t>
  </si>
  <si>
    <t>MATEUS DA SILVA CARLOS DE MELLO</t>
  </si>
  <si>
    <t>MAURICIO ALVES DOS SANTOS</t>
  </si>
  <si>
    <t>MARCIO BATISTA DE SOUZA</t>
  </si>
  <si>
    <t>FILIPI ANTONIO TEIXEIRA</t>
  </si>
  <si>
    <t>ARTHUR DA SILVA VIANA</t>
  </si>
  <si>
    <t>LUIZ FELIPE DO NASCIMENTO RIBEIRO</t>
  </si>
  <si>
    <t>ELIENARIA AMARO DIAS</t>
  </si>
  <si>
    <t>JANERSON VICTOR GONÇALVES AZEVEDO</t>
  </si>
  <si>
    <t>ERICLES FRANCA RIBEIRO DE SOUZA</t>
  </si>
  <si>
    <t>JEANE DE OLIVEIRA SILVA</t>
  </si>
  <si>
    <t>ALINE ALTAFIM ALMEIDA</t>
  </si>
  <si>
    <t>DJALMA XAVIER SILVA NETO</t>
  </si>
  <si>
    <t>JOICIARA FIDELIS DE OLIVEIRA CARLOS</t>
  </si>
  <si>
    <t>LAIS BERNARDINO GONCALVES</t>
  </si>
  <si>
    <t>GEISIMARY MARTINS GOMES PENNA</t>
  </si>
  <si>
    <t>EDNA ALMEIDA VILA NOVA</t>
  </si>
  <si>
    <t>LORENA LOUIZE RAMOS</t>
  </si>
  <si>
    <t>JUNIOR PAUTZ DE SOUZA</t>
  </si>
  <si>
    <t>SARA WILLIAM MIRANDA DE OLIVEIRA</t>
  </si>
  <si>
    <t>NERIVALDO NASCIMENTO BARBOSA</t>
  </si>
  <si>
    <t>GUSTAVO RODRIGUES PAULINO</t>
  </si>
  <si>
    <t>VITORIA CRISTINA GOMES DA SILVA</t>
  </si>
  <si>
    <t>CARLOS EDUARDO DOS REIS SILVA</t>
  </si>
  <si>
    <t>PROJ_MOVEL</t>
  </si>
  <si>
    <t>PROJ_FIXA</t>
  </si>
  <si>
    <t>PROJ_APARELHO</t>
  </si>
  <si>
    <t>PROJ_ESSENCIAIS</t>
  </si>
  <si>
    <t>PROJ_ACESSORIOS</t>
  </si>
  <si>
    <t>PROJ_SEGURO</t>
  </si>
  <si>
    <t>PROJ_SVA</t>
  </si>
  <si>
    <t>PROJ_PÓS</t>
  </si>
  <si>
    <t>PROJ_CONTROLE</t>
  </si>
  <si>
    <t>PROJ_MOVEL_B2B</t>
  </si>
  <si>
    <t>PROJ_FIXA_B2B</t>
  </si>
  <si>
    <t>PROJ_ELETRO_A</t>
  </si>
  <si>
    <t>PROJ_ELETRO_B</t>
  </si>
  <si>
    <t>PROJ_ESSEN_A</t>
  </si>
  <si>
    <t>PROJ_ESSEN_B</t>
  </si>
  <si>
    <t>SELECIONE A LOJA</t>
  </si>
  <si>
    <t>CENTRO VV</t>
  </si>
  <si>
    <t>JACARAIPE</t>
  </si>
  <si>
    <t>BOM JESUS</t>
  </si>
  <si>
    <t>ST PADUA</t>
  </si>
  <si>
    <t>SIMULADOR COORDENADOR</t>
  </si>
  <si>
    <t>HUNTER</t>
  </si>
  <si>
    <t>MOVEL</t>
  </si>
  <si>
    <t>SMARTPHONE</t>
  </si>
  <si>
    <t>ESSESCIAIS</t>
  </si>
  <si>
    <t>SEGUROS</t>
  </si>
  <si>
    <t>PROJEÇÃO</t>
  </si>
  <si>
    <t>PILAR</t>
  </si>
  <si>
    <t>PROJ PDV</t>
  </si>
  <si>
    <t>% - COMISSÃO</t>
  </si>
  <si>
    <t>R$ - COMISSÃO</t>
  </si>
  <si>
    <t>HUNTER 2</t>
  </si>
  <si>
    <t>HUNTER 3</t>
  </si>
  <si>
    <t>6/7 PPILARES</t>
  </si>
  <si>
    <t>GANHO TOTAL COORDENADOR</t>
  </si>
  <si>
    <t>GANHO TOTAL SNIPER</t>
  </si>
  <si>
    <t>META</t>
  </si>
  <si>
    <t>ATINGIMENTO</t>
  </si>
  <si>
    <t>SMARTPHONES</t>
  </si>
  <si>
    <t>ELETRONICOS - A</t>
  </si>
  <si>
    <t>ELETRONICOS - B</t>
  </si>
  <si>
    <t>ESSENCIAIS - A</t>
  </si>
  <si>
    <t>ESSENCIAIS - B</t>
  </si>
  <si>
    <t>REALIZADO</t>
  </si>
  <si>
    <t>REAL PDV</t>
  </si>
  <si>
    <t>SIMULADOR</t>
  </si>
  <si>
    <t>6/7 PILARES</t>
  </si>
  <si>
    <t>LUIZ</t>
  </si>
  <si>
    <t>PROJ_BL</t>
  </si>
  <si>
    <t>PROJ_BL%</t>
  </si>
  <si>
    <t>MILENA SILVA MARTINS</t>
  </si>
  <si>
    <t>ALISSON PAULO SILVA</t>
  </si>
  <si>
    <t>ALICE COSTALONGA COLLI</t>
  </si>
  <si>
    <t>BARBARA BORGES OLIVEIRA</t>
  </si>
  <si>
    <t>SAFYRA GOMES QUINTILIANO</t>
  </si>
  <si>
    <t>BIANCA SALES SILVA</t>
  </si>
  <si>
    <t>CARLOS LUCAS FREIRE SANTANA PEREIRA</t>
  </si>
  <si>
    <t>THABATA ALVES DA SILVA SANTOS</t>
  </si>
  <si>
    <t>MARYA HEDUARDA SARTORE ALVES</t>
  </si>
  <si>
    <t>JOHANN 1</t>
  </si>
  <si>
    <t>MATHEUS FERREIRA DE CASTRO</t>
  </si>
  <si>
    <t>HEMILLY LAVYNNE RODRIGUES GAMA</t>
  </si>
  <si>
    <t>FELIPE GOMES RICIERI</t>
  </si>
  <si>
    <t>WESLEY FILIPE MICAEL DA SILVA</t>
  </si>
  <si>
    <t>STEFANY GOMES MASCARENHAS</t>
  </si>
  <si>
    <t>ARTHUR BARBOSA SCHMIDT DE OLIVEIRA</t>
  </si>
  <si>
    <t>REBECA RODRIGUES FIGUEIREDO DA SILVA</t>
  </si>
  <si>
    <t>AGATHA TEIXEIRA TARABAL</t>
  </si>
  <si>
    <t>LAVINIA MONTEIRO ALMEIDA</t>
  </si>
  <si>
    <t>LUCAS DO SANTOS SILVA</t>
  </si>
  <si>
    <t>NICOLAS TEIXEIRA PIMENTEL</t>
  </si>
  <si>
    <t>BRENDA FAGUNDES DE SOUZA</t>
  </si>
  <si>
    <t>IORANA CERQUEIRA DOS SANTOS</t>
  </si>
  <si>
    <t>WEVERSON CARVALHO</t>
  </si>
  <si>
    <t>FELIPE MARTINS DA SILVA</t>
  </si>
  <si>
    <t>GUILHERME PRADO TEIXEIRA</t>
  </si>
  <si>
    <t>LIDIA DE OLIVEIRA GONÇALVES ATAIDE</t>
  </si>
  <si>
    <t>HUDSON MARIANI</t>
  </si>
  <si>
    <t>LILIAN ARCANJO PESSOA</t>
  </si>
  <si>
    <t>MARIA VITÓRIA DE LUCENA SOUSA</t>
  </si>
  <si>
    <t>PAMELA ADÃO DIAS</t>
  </si>
  <si>
    <t>SÂMELLA ELYZA BARBOZA LAGASSE</t>
  </si>
  <si>
    <t>LOHAINA EMANUELLY PIOTZ</t>
  </si>
  <si>
    <t>LAÍZA MATEUS ROCHA</t>
  </si>
  <si>
    <t>PAULO JOSE DIAS GOMES</t>
  </si>
  <si>
    <t>RAYTNER CHRISTIAN SOARES SANTANA</t>
  </si>
  <si>
    <t>ANNA CLARA DIAS MEDEIROS BATISTA</t>
  </si>
  <si>
    <t>GABRIELA DE BARCELLOS DOMINGUES</t>
  </si>
  <si>
    <t>ROSANA GOMES DE SOUZA GONCALVES</t>
  </si>
  <si>
    <t>VITÓRIA ROMERO SILVA DE SOUZA</t>
  </si>
  <si>
    <t>NATALIA  ALVES RICARDO VICENTE</t>
  </si>
  <si>
    <t>CAMILE NUNES MARQUES DE OLIVEIRA</t>
  </si>
  <si>
    <t>LAVINIA FERREIRA MONTARROYOS PEREIRA</t>
  </si>
  <si>
    <t xml:space="preserve">GUSTAVO SANTOS MONTE MOR </t>
  </si>
  <si>
    <t>VIVIANI SILVA CIMA</t>
  </si>
  <si>
    <t>KALINCA EMANUELY LOPES ALVES</t>
  </si>
  <si>
    <t>FABIANO RODRIGUES CLAUDIANO</t>
  </si>
  <si>
    <t>LAIS BERNARDINO GONÇALVES</t>
  </si>
  <si>
    <t>MYRELLA DA CRUZ SIQUEIRA</t>
  </si>
  <si>
    <t>ADELINE BISPO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</si>
</sst>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%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51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/>
        <bgColor indexed="64"/>
      </patternFill>
    </fill>
  </fills>
  <borders count="85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34998626667073579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99">
    <xf numFmtId="0" fontId="0" fillId="0" borderId="0" xfId="0"/>
    <xf numFmtId="0" fontId="4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7" xfId="0" applyFill="1" applyBorder="1"/>
    <xf numFmtId="10" fontId="0" fillId="0" borderId="9" xfId="2" applyNumberFormat="1" applyFont="1" applyFill="1" applyBorder="1" applyAlignment="1">
      <alignment horizontal="center"/>
    </xf>
    <xf numFmtId="44" fontId="0" fillId="0" borderId="9" xfId="0" applyNumberFormat="1" applyBorder="1"/>
    <xf numFmtId="44" fontId="0" fillId="0" borderId="3" xfId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44" fontId="0" fillId="0" borderId="10" xfId="1" applyFont="1" applyFill="1" applyBorder="1" applyAlignment="1">
      <alignment horizontal="center"/>
    </xf>
    <xf numFmtId="10" fontId="0" fillId="0" borderId="11" xfId="2" applyNumberFormat="1" applyFont="1" applyFill="1" applyBorder="1" applyAlignment="1">
      <alignment horizontal="center"/>
    </xf>
    <xf numFmtId="44" fontId="0" fillId="0" borderId="11" xfId="0" applyNumberFormat="1" applyBorder="1"/>
    <xf numFmtId="44" fontId="0" fillId="0" borderId="5" xfId="1" applyFont="1" applyFill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44" fontId="0" fillId="0" borderId="13" xfId="1" applyFont="1" applyBorder="1" applyAlignment="1">
      <alignment horizontal="center" vertical="center"/>
    </xf>
    <xf numFmtId="10" fontId="4" fillId="2" borderId="13" xfId="2" applyNumberFormat="1" applyFont="1" applyFill="1" applyBorder="1" applyAlignment="1">
      <alignment horizontal="center" vertical="center"/>
    </xf>
    <xf numFmtId="9" fontId="4" fillId="2" borderId="13" xfId="2" applyFont="1" applyFill="1" applyBorder="1" applyAlignment="1">
      <alignment horizontal="center" vertical="center"/>
    </xf>
    <xf numFmtId="0" fontId="0" fillId="0" borderId="14" xfId="0" applyBorder="1"/>
    <xf numFmtId="164" fontId="0" fillId="0" borderId="13" xfId="2" applyNumberFormat="1" applyFont="1" applyBorder="1" applyAlignment="1">
      <alignment horizontal="center" vertical="center"/>
    </xf>
    <xf numFmtId="0" fontId="0" fillId="0" borderId="18" xfId="0" applyBorder="1"/>
    <xf numFmtId="0" fontId="0" fillId="0" borderId="21" xfId="0" applyBorder="1"/>
    <xf numFmtId="0" fontId="0" fillId="0" borderId="22" xfId="0" applyBorder="1"/>
    <xf numFmtId="9" fontId="2" fillId="2" borderId="13" xfId="2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0" fontId="0" fillId="0" borderId="31" xfId="2" applyNumberFormat="1" applyFont="1" applyBorder="1" applyAlignment="1">
      <alignment horizontal="center" vertical="center"/>
    </xf>
    <xf numFmtId="9" fontId="0" fillId="0" borderId="31" xfId="2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10" fontId="0" fillId="0" borderId="13" xfId="2" applyNumberFormat="1" applyFont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165" fontId="0" fillId="0" borderId="13" xfId="2" applyNumberFormat="1" applyFont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165" fontId="0" fillId="0" borderId="31" xfId="2" applyNumberFormat="1" applyFont="1" applyBorder="1" applyAlignment="1">
      <alignment horizontal="center" vertical="center"/>
    </xf>
    <xf numFmtId="9" fontId="0" fillId="0" borderId="37" xfId="2" applyFont="1" applyBorder="1" applyAlignment="1">
      <alignment horizontal="center" vertical="center"/>
    </xf>
    <xf numFmtId="9" fontId="0" fillId="0" borderId="39" xfId="2" applyFont="1" applyBorder="1" applyAlignment="1">
      <alignment horizontal="center" vertical="center"/>
    </xf>
    <xf numFmtId="9" fontId="0" fillId="0" borderId="13" xfId="2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0" fontId="3" fillId="0" borderId="44" xfId="0" applyFont="1" applyBorder="1" applyAlignment="1">
      <alignment vertical="center"/>
    </xf>
    <xf numFmtId="0" fontId="3" fillId="0" borderId="45" xfId="0" applyFont="1" applyBorder="1"/>
    <xf numFmtId="10" fontId="0" fillId="0" borderId="48" xfId="2" applyNumberFormat="1" applyFont="1" applyFill="1" applyBorder="1" applyAlignment="1">
      <alignment horizontal="center"/>
    </xf>
    <xf numFmtId="10" fontId="0" fillId="0" borderId="49" xfId="2" applyNumberFormat="1" applyFont="1" applyFill="1" applyBorder="1" applyAlignment="1">
      <alignment horizontal="center"/>
    </xf>
    <xf numFmtId="10" fontId="0" fillId="0" borderId="52" xfId="2" applyNumberFormat="1" applyFont="1" applyFill="1" applyBorder="1" applyAlignment="1">
      <alignment horizontal="center"/>
    </xf>
    <xf numFmtId="44" fontId="0" fillId="9" borderId="46" xfId="1" applyFont="1" applyFill="1" applyBorder="1"/>
    <xf numFmtId="44" fontId="0" fillId="9" borderId="47" xfId="1" applyFont="1" applyFill="1" applyBorder="1"/>
    <xf numFmtId="44" fontId="0" fillId="9" borderId="42" xfId="1" applyFont="1" applyFill="1" applyBorder="1"/>
    <xf numFmtId="44" fontId="0" fillId="9" borderId="0" xfId="1" applyFont="1" applyFill="1" applyBorder="1"/>
    <xf numFmtId="44" fontId="0" fillId="9" borderId="50" xfId="1" applyFont="1" applyFill="1" applyBorder="1"/>
    <xf numFmtId="44" fontId="0" fillId="9" borderId="51" xfId="1" applyFont="1" applyFill="1" applyBorder="1"/>
    <xf numFmtId="0" fontId="0" fillId="0" borderId="51" xfId="0" applyBorder="1"/>
    <xf numFmtId="0" fontId="0" fillId="0" borderId="42" xfId="0" applyBorder="1"/>
    <xf numFmtId="0" fontId="0" fillId="0" borderId="49" xfId="0" applyBorder="1"/>
    <xf numFmtId="0" fontId="2" fillId="2" borderId="54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2" borderId="57" xfId="0" applyFill="1" applyBorder="1"/>
    <xf numFmtId="44" fontId="0" fillId="0" borderId="0" xfId="0" applyNumberFormat="1"/>
    <xf numFmtId="0" fontId="4" fillId="2" borderId="50" xfId="0" applyFont="1" applyFill="1" applyBorder="1"/>
    <xf numFmtId="0" fontId="4" fillId="2" borderId="51" xfId="0" applyFont="1" applyFill="1" applyBorder="1"/>
    <xf numFmtId="44" fontId="2" fillId="2" borderId="51" xfId="0" applyNumberFormat="1" applyFont="1" applyFill="1" applyBorder="1"/>
    <xf numFmtId="44" fontId="4" fillId="2" borderId="51" xfId="1" applyFont="1" applyFill="1" applyBorder="1"/>
    <xf numFmtId="0" fontId="2" fillId="2" borderId="52" xfId="0" applyFont="1" applyFill="1" applyBorder="1"/>
    <xf numFmtId="44" fontId="0" fillId="0" borderId="0" xfId="1" applyFont="1"/>
    <xf numFmtId="44" fontId="0" fillId="9" borderId="59" xfId="1" applyFont="1" applyFill="1" applyBorder="1"/>
    <xf numFmtId="44" fontId="0" fillId="9" borderId="60" xfId="1" applyFont="1" applyFill="1" applyBorder="1"/>
    <xf numFmtId="44" fontId="0" fillId="9" borderId="48" xfId="1" applyFont="1" applyFill="1" applyBorder="1"/>
    <xf numFmtId="44" fontId="0" fillId="9" borderId="52" xfId="1" applyFont="1" applyFill="1" applyBorder="1"/>
    <xf numFmtId="0" fontId="0" fillId="0" borderId="42" xfId="0" applyBorder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10" fontId="0" fillId="0" borderId="61" xfId="2" applyNumberFormat="1" applyFont="1" applyFill="1" applyBorder="1" applyAlignment="1">
      <alignment horizontal="center"/>
    </xf>
    <xf numFmtId="10" fontId="0" fillId="0" borderId="62" xfId="2" applyNumberFormat="1" applyFont="1" applyFill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9" borderId="74" xfId="1" applyFont="1" applyFill="1" applyBorder="1"/>
    <xf numFmtId="44" fontId="0" fillId="9" borderId="76" xfId="1" applyFont="1" applyFill="1" applyBorder="1"/>
    <xf numFmtId="44" fontId="2" fillId="2" borderId="51" xfId="1" applyFont="1" applyFill="1" applyBorder="1"/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0" fillId="7" borderId="13" xfId="0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44" fontId="0" fillId="9" borderId="73" xfId="1" applyFont="1" applyFill="1" applyBorder="1" applyAlignment="1">
      <alignment horizontal="center" vertical="center"/>
    </xf>
    <xf numFmtId="44" fontId="0" fillId="9" borderId="75" xfId="1" applyFont="1" applyFill="1" applyBorder="1" applyAlignment="1">
      <alignment horizontal="center" vertical="center"/>
    </xf>
    <xf numFmtId="10" fontId="0" fillId="0" borderId="44" xfId="2" applyNumberFormat="1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9" fillId="2" borderId="80" xfId="0" applyFont="1" applyFill="1" applyBorder="1" applyAlignment="1">
      <alignment horizontal="center" vertical="center"/>
    </xf>
    <xf numFmtId="0" fontId="9" fillId="2" borderId="81" xfId="0" applyFont="1" applyFill="1" applyBorder="1" applyAlignment="1">
      <alignment horizontal="center" vertic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9" fillId="2" borderId="63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 wrapText="1"/>
    </xf>
    <xf numFmtId="0" fontId="5" fillId="0" borderId="66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9" fontId="0" fillId="0" borderId="3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44" fontId="11" fillId="4" borderId="68" xfId="0" applyNumberFormat="1" applyFont="1" applyFill="1" applyBorder="1" applyAlignment="1">
      <alignment horizontal="center" vertical="center"/>
    </xf>
    <xf numFmtId="44" fontId="11" fillId="4" borderId="69" xfId="0" applyNumberFormat="1" applyFont="1" applyFill="1" applyBorder="1" applyAlignment="1">
      <alignment horizontal="center" vertical="center"/>
    </xf>
    <xf numFmtId="44" fontId="11" fillId="4" borderId="70" xfId="0" applyNumberFormat="1" applyFont="1" applyFill="1" applyBorder="1" applyAlignment="1">
      <alignment horizontal="center" vertical="center"/>
    </xf>
    <xf numFmtId="0" fontId="9" fillId="11" borderId="63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10" fontId="0" fillId="0" borderId="82" xfId="2" applyNumberFormat="1" applyFont="1" applyFill="1" applyBorder="1" applyAlignment="1">
      <alignment horizontal="center" vertical="center"/>
    </xf>
    <xf numFmtId="0" fontId="9" fillId="10" borderId="56" xfId="0" applyFont="1" applyFill="1" applyBorder="1" applyAlignment="1">
      <alignment horizontal="center" vertical="center"/>
    </xf>
    <xf numFmtId="0" fontId="9" fillId="10" borderId="41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3" borderId="83" xfId="0" applyFont="1" applyFill="1" applyBorder="1" applyAlignment="1">
      <alignment horizontal="center" vertical="center" wrapText="1"/>
    </xf>
    <xf numFmtId="0" fontId="5" fillId="3" borderId="8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44" fontId="2" fillId="4" borderId="68" xfId="0" applyNumberFormat="1" applyFont="1" applyFill="1" applyBorder="1" applyAlignment="1">
      <alignment horizontal="center" vertical="center"/>
    </xf>
    <xf numFmtId="44" fontId="2" fillId="4" borderId="69" xfId="0" applyNumberFormat="1" applyFont="1" applyFill="1" applyBorder="1" applyAlignment="1">
      <alignment horizontal="center" vertical="center"/>
    </xf>
    <xf numFmtId="44" fontId="2" fillId="4" borderId="70" xfId="0" applyNumberFormat="1" applyFont="1" applyFill="1" applyBorder="1" applyAlignment="1">
      <alignment horizontal="center" vertical="center"/>
    </xf>
    <xf numFmtId="44" fontId="0" fillId="9" borderId="42" xfId="1" applyFont="1" applyFill="1" applyBorder="1" applyAlignment="1">
      <alignment horizontal="center" vertical="center"/>
    </xf>
    <xf numFmtId="10" fontId="0" fillId="0" borderId="49" xfId="2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7" borderId="13" xfId="0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9" fontId="0" fillId="0" borderId="25" xfId="2" applyFont="1" applyBorder="1" applyAlignment="1">
      <alignment horizontal="center" vertical="center"/>
    </xf>
    <xf numFmtId="9" fontId="0" fillId="0" borderId="35" xfId="2" applyFont="1" applyBorder="1" applyAlignment="1">
      <alignment horizontal="center" vertical="center"/>
    </xf>
    <xf numFmtId="9" fontId="0" fillId="0" borderId="21" xfId="2" applyFont="1" applyBorder="1" applyAlignment="1">
      <alignment horizontal="center" vertical="center"/>
    </xf>
    <xf numFmtId="9" fontId="0" fillId="0" borderId="33" xfId="2" applyFont="1" applyBorder="1" applyAlignment="1">
      <alignment horizontal="center" vertical="center"/>
    </xf>
    <xf numFmtId="9" fontId="0" fillId="0" borderId="29" xfId="2" applyFont="1" applyBorder="1" applyAlignment="1">
      <alignment horizontal="center" vertical="center"/>
    </xf>
    <xf numFmtId="9" fontId="0" fillId="0" borderId="28" xfId="2" applyFont="1" applyBorder="1" applyAlignment="1">
      <alignment horizontal="center" vertical="center"/>
    </xf>
    <xf numFmtId="10" fontId="0" fillId="0" borderId="34" xfId="2" applyNumberFormat="1" applyFont="1" applyBorder="1" applyAlignment="1">
      <alignment horizontal="center" vertical="center"/>
    </xf>
    <xf numFmtId="10" fontId="0" fillId="0" borderId="32" xfId="2" applyNumberFormat="1" applyFont="1" applyBorder="1" applyAlignment="1">
      <alignment horizontal="center" vertical="center"/>
    </xf>
    <xf numFmtId="10" fontId="0" fillId="0" borderId="27" xfId="2" applyNumberFormat="1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5" fontId="0" fillId="0" borderId="20" xfId="2" applyNumberFormat="1" applyFont="1" applyBorder="1" applyAlignment="1">
      <alignment horizontal="center" vertical="center"/>
    </xf>
    <xf numFmtId="165" fontId="0" fillId="0" borderId="26" xfId="2" applyNumberFormat="1" applyFont="1" applyBorder="1" applyAlignment="1">
      <alignment horizontal="center" vertical="center"/>
    </xf>
    <xf numFmtId="165" fontId="0" fillId="0" borderId="19" xfId="2" applyNumberFormat="1" applyFont="1" applyBorder="1" applyAlignment="1">
      <alignment horizontal="center" vertical="center"/>
    </xf>
    <xf numFmtId="9" fontId="0" fillId="0" borderId="20" xfId="2" applyFont="1" applyBorder="1" applyAlignment="1">
      <alignment horizontal="center" vertical="center"/>
    </xf>
    <xf numFmtId="9" fontId="0" fillId="0" borderId="19" xfId="2" applyFont="1" applyBorder="1" applyAlignment="1">
      <alignment horizontal="center" vertical="center"/>
    </xf>
    <xf numFmtId="9" fontId="0" fillId="0" borderId="26" xfId="2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0" borderId="0" xfId="0" applyNumberFormat="1"/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32657</xdr:colOff>
      <xdr:row>1</xdr:row>
      <xdr:rowOff>21769</xdr:rowOff>
    </xdr:from>
    <xdr:to>
      <xdr:col>11</xdr:col>
      <xdr:colOff>588373</xdr:colOff>
      <xdr:row>4</xdr:row>
      <xdr:rowOff>20408</xdr:rowOff>
    </xdr:to>
    <xdr:pic>
      <xdr:nvPicPr>
        <xdr:cNvPr id="4" name="Gráfico 3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F3027-07C9-68EE-85B8-5C00875F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213286" y="206826"/>
          <a:ext cx="544286" cy="54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32657</xdr:colOff>
      <xdr:row>1</xdr:row>
      <xdr:rowOff>21769</xdr:rowOff>
    </xdr:from>
    <xdr:to>
      <xdr:col>11</xdr:col>
      <xdr:colOff>588373</xdr:colOff>
      <xdr:row>4</xdr:row>
      <xdr:rowOff>20408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8A7C0-B00D-4BE1-82F6-5D449E4D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43457" y="204649"/>
          <a:ext cx="555716" cy="5472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32657</xdr:colOff>
      <xdr:row>1</xdr:row>
      <xdr:rowOff>21769</xdr:rowOff>
    </xdr:from>
    <xdr:to>
      <xdr:col>11</xdr:col>
      <xdr:colOff>588373</xdr:colOff>
      <xdr:row>4</xdr:row>
      <xdr:rowOff>20408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9A5431-4D5B-4834-9AD0-10EF6E023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43457" y="204649"/>
          <a:ext cx="555716" cy="54727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0000000-0016-0000-0100-000000000000}" autoFormatId="16" applyNumberFormats="0" applyBorderFormats="0" applyFontFormats="0" applyPatternFormats="0" applyAlignmentFormats="0" applyWidthHeightFormats="0">
  <queryTableRefresh nextId="27" unboundColumnsRight="1">
    <queryTableFields count="26">
      <queryTableField id="1" name="CONSULTOR" tableColumnId="1"/>
      <queryTableField id="2" name="PDV" tableColumnId="2"/>
      <queryTableField id="3" name="AT_MOVEL" tableColumnId="3"/>
      <queryTableField id="4" name="META_MOVEL" tableColumnId="4"/>
      <queryTableField id="5" name="F_M_MOVEL" tableColumnId="5"/>
      <queryTableField id="6" name="AT_FIXA" tableColumnId="6"/>
      <queryTableField id="7" name="META_FIXA" tableColumnId="7"/>
      <queryTableField id="8" name="F_M_FIXA" tableColumnId="8"/>
      <queryTableField id="9" name="AT_SMARTPHONE" tableColumnId="9"/>
      <queryTableField id="10" name="META_SMARTPHONE" tableColumnId="10"/>
      <queryTableField id="11" name="F_M_SMARTPHONE" tableColumnId="11"/>
      <queryTableField id="12" name="AT_ACESSORIOS_A" tableColumnId="12"/>
      <queryTableField id="13" name="AT_ACESSORIOS_B" tableColumnId="13"/>
      <queryTableField id="14" name="META_ACESSORIO" tableColumnId="14"/>
      <queryTableField id="15" name="F_M_ACESSORIOS" tableColumnId="15"/>
      <queryTableField id="16" name="AT_ESSENCIAIS_A" tableColumnId="16"/>
      <queryTableField id="17" name="AT_ESSENCIAIS_B" tableColumnId="17"/>
      <queryTableField id="18" name="META_ESSENCIAIS" tableColumnId="18"/>
      <queryTableField id="19" name="F_M_ESSENCIAIS" tableColumnId="19"/>
      <queryTableField id="20" name="AT_SEGUROS" tableColumnId="20"/>
      <queryTableField id="21" name="META_SEGUROS" tableColumnId="21"/>
      <queryTableField id="22" name="F_M_SEGUROS" tableColumnId="22"/>
      <queryTableField id="23" name="AT_SVA" tableColumnId="23"/>
      <queryTableField id="24" name="META_SVA" tableColumnId="24"/>
      <queryTableField id="25" name="F_M_SVA" tableColumnId="25"/>
      <queryTableField id="26" dataBound="0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200-000001000000}" autoFormatId="16" applyNumberFormats="0" applyBorderFormats="0" applyFontFormats="0" applyPatternFormats="0" applyAlignmentFormats="0" applyWidthHeightFormats="0">
  <queryTableRefresh nextId="23">
    <queryTableFields count="20">
      <queryTableField id="1" name="CONSULTOR" tableColumnId="1"/>
      <queryTableField id="2" name="PDV" tableColumnId="2"/>
      <queryTableField id="3" name="PROJ_MOVEL" tableColumnId="3"/>
      <queryTableField id="4" name="PROJ_FIXA" tableColumnId="4"/>
      <queryTableField id="19" name="PROJ_BL" tableColumnId="19"/>
      <queryTableField id="5" name="PROJ_APARELHO" tableColumnId="5"/>
      <queryTableField id="6" name="PROJ_ESSENCIAIS" tableColumnId="6"/>
      <queryTableField id="7" name="PROJ_ACESSORIOS" tableColumnId="7"/>
      <queryTableField id="8" name="PROJ_SEGURO" tableColumnId="8"/>
      <queryTableField id="9" name="PROJ_SVA" tableColumnId="9"/>
      <queryTableField id="10" name="PROJ_PÓS" tableColumnId="10"/>
      <queryTableField id="11" name="PROJ_CONTROLE" tableColumnId="11"/>
      <queryTableField id="12" name="PROJ_MOVEL_B2B" tableColumnId="12"/>
      <queryTableField id="13" name="PROJ_FIXA_B2B" tableColumnId="13"/>
      <queryTableField id="14" name="PROJ_ELETRO_A" tableColumnId="14"/>
      <queryTableField id="15" name="PROJ_ELETRO_B" tableColumnId="15"/>
      <queryTableField id="16" name="PROJ_ESSEN_A" tableColumnId="16"/>
      <queryTableField id="17" name="PROJ_ESSEN_B" tableColumnId="17"/>
      <queryTableField id="20" name="PROJ_BL%" tableColumnId="20"/>
      <queryTableField id="18" name="COORDENAÇÃ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4ABBF-7F53-414D-B1EC-D4141D9BD581}" name="REALIZADO" displayName="REALIZADO" ref="A1:Z102" tableType="queryTable" totalsRowShown="0">
  <autoFilter ref="A1:Z102" xr:uid="{6BD4ABBF-7F53-414D-B1EC-D4141D9BD581}"/>
  <tableColumns count="26">
    <tableColumn id="1" xr3:uid="{39F759CF-A053-4F96-8490-CB2D4EF4CA2D}" uniqueName="1" name="CONSULTOR" queryTableFieldId="1" dataDxfId="71"/>
    <tableColumn id="2" xr3:uid="{D250CAC3-2165-49D4-8CBB-549B8F8EC568}" uniqueName="2" name="PDV" queryTableFieldId="2" dataDxfId="70"/>
    <tableColumn id="3" xr3:uid="{A382E9B3-2732-46D6-A059-3BBC36F74E7B}" uniqueName="3" name="AT_MOVEL" queryTableFieldId="3" dataDxfId="69" dataCellStyle="Moeda"/>
    <tableColumn id="4" xr3:uid="{6D2D7826-727F-4DD4-A5D7-8C901FE6327D}" uniqueName="4" name="META_MOVEL" queryTableFieldId="4" dataDxfId="68" dataCellStyle="Moeda"/>
    <tableColumn id="5" xr3:uid="{E65434F3-7AB8-44EA-AD90-E2C9C99F90F7}" uniqueName="5" name="F_M_MOVEL" queryTableFieldId="5" dataDxfId="67" dataCellStyle="Moeda"/>
    <tableColumn id="6" xr3:uid="{C31550AA-09E9-45D0-B573-6E464D1A2B92}" uniqueName="6" name="AT_FIXA" queryTableFieldId="6" dataDxfId="66" dataCellStyle="Moeda"/>
    <tableColumn id="7" xr3:uid="{826D7BD9-37DD-4BDD-BC8A-CD1391443631}" uniqueName="7" name="META_FIXA" queryTableFieldId="7" dataDxfId="65" dataCellStyle="Moeda"/>
    <tableColumn id="8" xr3:uid="{B0F55D47-C016-4E4B-A9F9-130748F4532C}" uniqueName="8" name="F_M_FIXA" queryTableFieldId="8" dataDxfId="64" dataCellStyle="Moeda"/>
    <tableColumn id="9" xr3:uid="{6C038053-1606-4BF8-8210-CB1A93AC7043}" uniqueName="9" name="AT_SMARTPHONE" queryTableFieldId="9" dataDxfId="63" dataCellStyle="Moeda"/>
    <tableColumn id="10" xr3:uid="{8A7086A0-E320-455E-8ED9-63617BED8436}" uniqueName="10" name="META_SMARTPHONE" queryTableFieldId="10" dataDxfId="62" dataCellStyle="Moeda"/>
    <tableColumn id="11" xr3:uid="{71C73D99-36BD-44B2-9A6E-B208DB471F35}" uniqueName="11" name="F_M_SMARTPHONE" queryTableFieldId="11" dataDxfId="61" dataCellStyle="Moeda"/>
    <tableColumn id="12" xr3:uid="{17AF4858-1BF4-4BF7-B332-E308B6A67F02}" uniqueName="12" name="AT_ACESSORIOS_A" queryTableFieldId="12" dataDxfId="60" dataCellStyle="Moeda"/>
    <tableColumn id="13" xr3:uid="{C223C54F-20DD-4A7B-A9AF-9AE805CFEFDA}" uniqueName="13" name="AT_ACESSORIOS_B" queryTableFieldId="13" dataDxfId="59" dataCellStyle="Moeda"/>
    <tableColumn id="14" xr3:uid="{59CBFA80-3720-4EC6-80F5-73203F2D1D1D}" uniqueName="14" name="META_ACESSORIO" queryTableFieldId="14" dataDxfId="58" dataCellStyle="Moeda"/>
    <tableColumn id="15" xr3:uid="{7C05BF7A-5A88-4782-BB99-5096A2DE45DB}" uniqueName="15" name="F_M_ACESSORIOS" queryTableFieldId="15" dataDxfId="57" dataCellStyle="Moeda"/>
    <tableColumn id="16" xr3:uid="{37ECB146-44DB-4597-A2F9-5DD6758D45BA}" uniqueName="16" name="AT_ESSENCIAIS_A" queryTableFieldId="16" dataDxfId="56" dataCellStyle="Moeda"/>
    <tableColumn id="17" xr3:uid="{EC495A84-E4A1-4553-B738-1B12E3EDF555}" uniqueName="17" name="AT_ESSENCIAIS_B" queryTableFieldId="17" dataDxfId="55" dataCellStyle="Moeda"/>
    <tableColumn id="18" xr3:uid="{F877D4A7-7BA5-4718-95E8-E40828A89B44}" uniqueName="18" name="META_ESSENCIAIS" queryTableFieldId="18" dataDxfId="54" dataCellStyle="Moeda"/>
    <tableColumn id="19" xr3:uid="{81B2C8F5-3E3F-471D-AC6B-094D787D08D9}" uniqueName="19" name="F_M_ESSENCIAIS" queryTableFieldId="19" dataDxfId="53" dataCellStyle="Moeda"/>
    <tableColumn id="20" xr3:uid="{27CD4E58-BF5B-4035-957E-7879EA46D0DA}" uniqueName="20" name="AT_SEGUROS" queryTableFieldId="20" dataDxfId="52" dataCellStyle="Moeda"/>
    <tableColumn id="21" xr3:uid="{079ED405-E964-4D16-8EE0-97EF07F75EA7}" uniqueName="21" name="META_SEGUROS" queryTableFieldId="21" dataDxfId="51" dataCellStyle="Moeda"/>
    <tableColumn id="22" xr3:uid="{3C9EC634-2D13-47D6-9925-EA7E2840C300}" uniqueName="22" name="F_M_SEGUROS" queryTableFieldId="22" dataDxfId="50" dataCellStyle="Moeda"/>
    <tableColumn id="23" xr3:uid="{DE74C7D9-DEAC-42DC-B15F-63B01B4B532C}" uniqueName="23" name="AT_SVA" queryTableFieldId="23" dataDxfId="49" dataCellStyle="Moeda"/>
    <tableColumn id="24" xr3:uid="{E5C00768-45EE-4FAA-83CE-89680C550910}" uniqueName="24" name="META_SVA" queryTableFieldId="24" dataDxfId="48" dataCellStyle="Moeda"/>
    <tableColumn id="25" xr3:uid="{9A9BC4C3-8175-4037-B125-712E46B6937F}" uniqueName="25" name="F_M_SVA" queryTableFieldId="25" dataDxfId="47" dataCellStyle="Moeda"/>
    <tableColumn id="26" xr3:uid="{16168DFC-9467-49C3-9E02-E37509C2A3DF}" uniqueName="26" name="COORDENAÇÃO" queryTableFieldId="26" dataDxfId="46" dataCellStyle="Moeda">
      <calculatedColumnFormula>_xlfn.XLOOKUP(REALIZADO[[#This Row],[PDV]],PROJEÇÃO[PDV],PROJEÇÃO[COORDENAÇÃO])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BA2A12-BAAB-47D8-81FE-DB1675216E60}" name="PROJEÇÃO" displayName="PROJEÇÃO" ref="A1:T106" tableType="queryTable" totalsRowShown="0">
  <autoFilter ref="A1:T106" xr:uid="{A5BA2A12-BAAB-47D8-81FE-DB1675216E60}"/>
  <tableColumns count="20">
    <tableColumn id="1" xr3:uid="{738209E0-7503-4556-8087-B9836DA5B4F4}" uniqueName="1" name="CONSULTOR" queryTableFieldId="1" dataDxfId="18"/>
    <tableColumn id="2" xr3:uid="{F4562791-0074-43BE-870D-155CD6C1437C}" uniqueName="2" name="PDV" queryTableFieldId="2" dataDxfId="17"/>
    <tableColumn id="3" xr3:uid="{B78FA97E-433F-4C7E-9D89-1E1E1E868C2F}" uniqueName="3" name="PROJ_MOVEL" queryTableFieldId="3" dataDxfId="16" dataCellStyle="Moeda"/>
    <tableColumn id="4" xr3:uid="{385B88C9-F7B1-419F-88FB-7A8B02851C00}" uniqueName="4" name="PROJ_FIXA" queryTableFieldId="4" dataDxfId="15" dataCellStyle="Moeda"/>
    <tableColumn id="19" xr3:uid="{0383F877-F7FE-423E-9745-9F91856091BA}" uniqueName="19" name="PROJ_BL" queryTableFieldId="19" dataDxfId="14" dataCellStyle="Moeda"/>
    <tableColumn id="5" xr3:uid="{8B06C024-B072-44DC-B33A-495F178E6AB4}" uniqueName="5" name="PROJ_APARELHO" queryTableFieldId="5" dataDxfId="13" dataCellStyle="Moeda"/>
    <tableColumn id="6" xr3:uid="{DB072866-9087-4D29-ACFE-0675894EAB09}" uniqueName="6" name="PROJ_ESSENCIAIS" queryTableFieldId="6" dataDxfId="12" dataCellStyle="Moeda"/>
    <tableColumn id="7" xr3:uid="{7B3DE5AF-759C-45FA-935F-6CC4F930F6C4}" uniqueName="7" name="PROJ_ACESSORIOS" queryTableFieldId="7" dataDxfId="11" dataCellStyle="Moeda"/>
    <tableColumn id="8" xr3:uid="{C6E77EC5-9527-42DD-A926-18AF0BEAB303}" uniqueName="8" name="PROJ_SEGURO" queryTableFieldId="8" dataDxfId="10" dataCellStyle="Moeda"/>
    <tableColumn id="9" xr3:uid="{69E0228F-1073-4E81-A2E8-0E1125633EF1}" uniqueName="9" name="PROJ_SVA" queryTableFieldId="9" dataDxfId="9" dataCellStyle="Moeda"/>
    <tableColumn id="10" xr3:uid="{6C1F5154-1CC0-4A5F-BAEA-B1FC954FB356}" uniqueName="10" name="PROJ_PÓS" queryTableFieldId="10" dataDxfId="8" dataCellStyle="Moeda"/>
    <tableColumn id="11" xr3:uid="{DE30D08F-FFC9-4560-B99C-B8DA5C127555}" uniqueName="11" name="PROJ_CONTROLE" queryTableFieldId="11" dataDxfId="7" dataCellStyle="Moeda"/>
    <tableColumn id="12" xr3:uid="{56208E3C-F885-466B-8B15-8AC914C5E506}" uniqueName="12" name="PROJ_MOVEL_B2B" queryTableFieldId="12" dataDxfId="6" dataCellStyle="Moeda"/>
    <tableColumn id="13" xr3:uid="{B254D70B-17EB-4FE4-AE94-527005F03B99}" uniqueName="13" name="PROJ_FIXA_B2B" queryTableFieldId="13" dataDxfId="5" dataCellStyle="Moeda"/>
    <tableColumn id="14" xr3:uid="{7410DA58-F0CD-4570-9466-8B6CF3FE50DF}" uniqueName="14" name="PROJ_ELETRO_A" queryTableFieldId="14" dataDxfId="4" dataCellStyle="Moeda"/>
    <tableColumn id="15" xr3:uid="{77B563B3-6B88-48E3-8F0D-8D1A874A801F}" uniqueName="15" name="PROJ_ELETRO_B" queryTableFieldId="15" dataDxfId="3" dataCellStyle="Moeda"/>
    <tableColumn id="16" xr3:uid="{76CB1B6B-96B7-4407-B3DA-BB5AFF094BC3}" uniqueName="16" name="PROJ_ESSEN_A" queryTableFieldId="16" dataDxfId="2" dataCellStyle="Moeda"/>
    <tableColumn id="17" xr3:uid="{EDF36395-9AD1-4E31-8825-E8FF2E8AB63B}" uniqueName="17" name="PROJ_ESSEN_B" queryTableFieldId="17" dataDxfId="1" dataCellStyle="Moeda"/>
    <tableColumn id="20" xr3:uid="{22040753-E7A8-4BE2-B997-2D42F80C73BD}" uniqueName="20" name="PROJ_BL%" queryTableFieldId="20" dataDxfId="0" dataCellStyle="Moeda"/>
    <tableColumn id="18" xr3:uid="{B7AC4AFF-CA59-46C4-9755-29ECDCCAE55F}" uniqueName="18" name="COORDENAÇÃO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43C0-8634-4801-B5F2-D48D7C77F656}">
  <sheetPr codeName="Planilha25"/>
  <dimension ref="A2:Q133"/>
  <sheetViews>
    <sheetView topLeftCell="A34" workbookViewId="0">
      <selection activeCell="F15" sqref="F15"/>
    </sheetView>
  </sheetViews>
  <sheetFormatPr defaultRowHeight="14.5" x14ac:dyDescent="0.35"/>
  <cols>
    <col min="1" max="1" width="25.26953125" bestFit="1" customWidth="1"/>
    <col min="2" max="2" width="11.26953125" bestFit="1" customWidth="1"/>
    <col min="3" max="3" width="13.26953125" bestFit="1" customWidth="1"/>
    <col min="7" max="7" width="15.81640625" customWidth="1"/>
    <col min="8" max="8" width="10.26953125" bestFit="1" customWidth="1"/>
    <col min="10" max="10" width="11.1796875" bestFit="1" customWidth="1"/>
    <col min="13" max="13" width="15.26953125" customWidth="1"/>
    <col min="14" max="14" width="10.26953125" bestFit="1" customWidth="1"/>
    <col min="16" max="16" width="11.1796875" bestFit="1" customWidth="1"/>
  </cols>
  <sheetData>
    <row r="2" spans="1:17" x14ac:dyDescent="0.35">
      <c r="A2" s="153" t="s">
        <v>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5"/>
    </row>
    <row r="3" spans="1:17" x14ac:dyDescent="0.35">
      <c r="A3" s="172" t="s">
        <v>1</v>
      </c>
      <c r="B3" s="173"/>
      <c r="C3" s="173"/>
      <c r="D3" s="173"/>
      <c r="E3" s="174"/>
      <c r="G3" s="147" t="s">
        <v>2</v>
      </c>
      <c r="H3" s="148"/>
      <c r="I3" s="148"/>
      <c r="J3" s="148"/>
      <c r="K3" s="149"/>
      <c r="M3" s="147" t="s">
        <v>3</v>
      </c>
      <c r="N3" s="148"/>
      <c r="O3" s="148"/>
      <c r="P3" s="148"/>
      <c r="Q3" s="149"/>
    </row>
    <row r="4" spans="1:17" x14ac:dyDescent="0.35">
      <c r="A4" s="84"/>
      <c r="B4" s="31"/>
      <c r="C4" s="31"/>
      <c r="D4" s="30" t="s">
        <v>4</v>
      </c>
      <c r="E4" s="30" t="s">
        <v>5</v>
      </c>
      <c r="G4" s="179" t="s">
        <v>6</v>
      </c>
      <c r="H4" s="180"/>
      <c r="I4" s="29">
        <v>0</v>
      </c>
      <c r="J4" s="29">
        <v>0.79</v>
      </c>
      <c r="K4" s="37">
        <v>0.01</v>
      </c>
      <c r="M4" s="179" t="s">
        <v>6</v>
      </c>
      <c r="N4" s="180"/>
      <c r="O4" s="29">
        <v>0</v>
      </c>
      <c r="P4" s="29">
        <v>0.79</v>
      </c>
      <c r="Q4" s="40">
        <v>0.01</v>
      </c>
    </row>
    <row r="5" spans="1:17" x14ac:dyDescent="0.35">
      <c r="A5" s="84"/>
      <c r="B5" s="31"/>
      <c r="C5" s="31"/>
      <c r="D5" s="30" t="s">
        <v>7</v>
      </c>
      <c r="E5" s="30" t="s">
        <v>7</v>
      </c>
      <c r="G5" s="181"/>
      <c r="H5" s="182"/>
      <c r="I5" s="29">
        <v>0.8</v>
      </c>
      <c r="J5" s="29">
        <v>0.89</v>
      </c>
      <c r="K5" s="37">
        <v>0.05</v>
      </c>
      <c r="M5" s="181"/>
      <c r="N5" s="182"/>
      <c r="O5" s="29">
        <v>0.8</v>
      </c>
      <c r="P5" s="29">
        <v>0.89</v>
      </c>
      <c r="Q5" s="40">
        <v>0.03</v>
      </c>
    </row>
    <row r="6" spans="1:17" x14ac:dyDescent="0.35">
      <c r="A6" s="158" t="s">
        <v>6</v>
      </c>
      <c r="B6" s="20">
        <v>0</v>
      </c>
      <c r="C6" s="19">
        <v>0.79990000000000006</v>
      </c>
      <c r="D6" s="22">
        <v>5.0000000000000001E-3</v>
      </c>
      <c r="E6" s="22">
        <v>2E-3</v>
      </c>
      <c r="G6" s="183"/>
      <c r="H6" s="184"/>
      <c r="I6" s="29">
        <v>0.9</v>
      </c>
      <c r="J6" s="29">
        <v>1000</v>
      </c>
      <c r="K6" s="37">
        <v>0.08</v>
      </c>
      <c r="M6" s="183"/>
      <c r="N6" s="184"/>
      <c r="O6" s="29">
        <v>0.9</v>
      </c>
      <c r="P6" s="29">
        <v>1000</v>
      </c>
      <c r="Q6" s="40">
        <v>0.05</v>
      </c>
    </row>
    <row r="7" spans="1:17" x14ac:dyDescent="0.35">
      <c r="A7" s="158"/>
      <c r="B7" s="20">
        <v>0.8</v>
      </c>
      <c r="C7" s="19">
        <v>0.89990000000000003</v>
      </c>
      <c r="D7" s="22">
        <v>0.01</v>
      </c>
      <c r="E7" s="22">
        <v>4.0000000000000001E-3</v>
      </c>
      <c r="G7" s="176" t="s">
        <v>8</v>
      </c>
      <c r="H7" s="150" t="s">
        <v>9</v>
      </c>
      <c r="I7" s="29">
        <v>1</v>
      </c>
      <c r="J7" s="29">
        <v>1.49</v>
      </c>
      <c r="K7" s="37">
        <v>0.15</v>
      </c>
      <c r="M7" s="176" t="s">
        <v>8</v>
      </c>
      <c r="N7" s="150" t="s">
        <v>9</v>
      </c>
      <c r="O7" s="29">
        <v>1</v>
      </c>
      <c r="P7" s="29">
        <v>1.49</v>
      </c>
      <c r="Q7" s="40">
        <v>0.2</v>
      </c>
    </row>
    <row r="8" spans="1:17" x14ac:dyDescent="0.35">
      <c r="A8" s="158"/>
      <c r="B8" s="20">
        <v>0.9</v>
      </c>
      <c r="C8" s="20">
        <v>10000</v>
      </c>
      <c r="D8" s="22">
        <v>1.4999999999999999E-2</v>
      </c>
      <c r="E8" s="22">
        <v>0.01</v>
      </c>
      <c r="G8" s="177"/>
      <c r="H8" s="151"/>
      <c r="I8" s="29">
        <v>1.5</v>
      </c>
      <c r="J8" s="29">
        <v>1000</v>
      </c>
      <c r="K8" s="37">
        <v>0.2</v>
      </c>
      <c r="M8" s="177"/>
      <c r="N8" s="151"/>
      <c r="O8" s="29">
        <v>1.5</v>
      </c>
      <c r="P8" s="29">
        <v>1000</v>
      </c>
      <c r="Q8" s="40">
        <v>0.25</v>
      </c>
    </row>
    <row r="9" spans="1:17" ht="15" thickBot="1" x14ac:dyDescent="0.4">
      <c r="A9" s="175" t="s">
        <v>10</v>
      </c>
      <c r="B9" s="20">
        <v>1</v>
      </c>
      <c r="C9" s="20">
        <v>1.4999</v>
      </c>
      <c r="D9" s="22">
        <v>0.04</v>
      </c>
      <c r="E9" s="22">
        <v>1.4999999999999999E-2</v>
      </c>
      <c r="G9" s="178"/>
      <c r="H9" s="36" t="s">
        <v>11</v>
      </c>
      <c r="I9" s="29">
        <v>1</v>
      </c>
      <c r="J9" s="29">
        <v>1000</v>
      </c>
      <c r="K9" s="37">
        <v>0.1</v>
      </c>
      <c r="M9" s="178"/>
      <c r="N9" s="36" t="s">
        <v>11</v>
      </c>
      <c r="O9" s="29">
        <v>1</v>
      </c>
      <c r="P9" s="29">
        <v>1000</v>
      </c>
      <c r="Q9" s="40">
        <v>0.1</v>
      </c>
    </row>
    <row r="10" spans="1:17" x14ac:dyDescent="0.35">
      <c r="A10" s="175"/>
      <c r="B10" s="20">
        <v>1.5</v>
      </c>
      <c r="C10" s="20">
        <v>10</v>
      </c>
      <c r="D10" s="22">
        <v>0.05</v>
      </c>
      <c r="E10" s="22">
        <v>0.02</v>
      </c>
      <c r="Q10" s="23"/>
    </row>
    <row r="11" spans="1:17" x14ac:dyDescent="0.35">
      <c r="A11" s="84" t="s">
        <v>12</v>
      </c>
      <c r="B11" s="20">
        <v>1</v>
      </c>
      <c r="C11" s="20">
        <v>10</v>
      </c>
      <c r="D11" s="22">
        <v>1.4999999999999999E-2</v>
      </c>
      <c r="E11" s="22">
        <v>0.01</v>
      </c>
      <c r="G11" s="147" t="s">
        <v>13</v>
      </c>
      <c r="H11" s="148"/>
      <c r="I11" s="148"/>
      <c r="J11" s="148"/>
      <c r="K11" s="149"/>
      <c r="M11" s="147" t="s">
        <v>14</v>
      </c>
      <c r="N11" s="148"/>
      <c r="O11" s="148"/>
      <c r="P11" s="148"/>
      <c r="Q11" s="149"/>
    </row>
    <row r="12" spans="1:17" x14ac:dyDescent="0.35">
      <c r="A12" s="24"/>
      <c r="D12" s="32"/>
      <c r="E12" s="32"/>
      <c r="G12" s="179" t="s">
        <v>6</v>
      </c>
      <c r="H12" s="180"/>
      <c r="I12" s="29">
        <v>0</v>
      </c>
      <c r="J12" s="29">
        <v>0.79</v>
      </c>
      <c r="K12" s="37">
        <v>0.01</v>
      </c>
      <c r="M12" s="179" t="s">
        <v>6</v>
      </c>
      <c r="N12" s="180"/>
      <c r="O12" s="185" t="s">
        <v>15</v>
      </c>
      <c r="P12" s="186"/>
      <c r="Q12" s="194">
        <v>0.01</v>
      </c>
    </row>
    <row r="13" spans="1:17" x14ac:dyDescent="0.35">
      <c r="A13" s="172" t="s">
        <v>16</v>
      </c>
      <c r="B13" s="173"/>
      <c r="C13" s="173"/>
      <c r="D13" s="173"/>
      <c r="E13" s="174"/>
      <c r="G13" s="181"/>
      <c r="H13" s="182"/>
      <c r="I13" s="29">
        <v>0.8</v>
      </c>
      <c r="J13" s="29">
        <v>0.89</v>
      </c>
      <c r="K13" s="37">
        <v>0.05</v>
      </c>
      <c r="M13" s="181"/>
      <c r="N13" s="182"/>
      <c r="O13" s="187"/>
      <c r="P13" s="188"/>
      <c r="Q13" s="196"/>
    </row>
    <row r="14" spans="1:17" x14ac:dyDescent="0.35">
      <c r="A14" s="84"/>
      <c r="B14" s="31"/>
      <c r="C14" s="31"/>
      <c r="D14" s="30" t="s">
        <v>4</v>
      </c>
      <c r="E14" s="30" t="s">
        <v>5</v>
      </c>
      <c r="G14" s="183"/>
      <c r="H14" s="184"/>
      <c r="I14" s="29">
        <v>0.9</v>
      </c>
      <c r="J14" s="29">
        <v>1000</v>
      </c>
      <c r="K14" s="37">
        <v>0.08</v>
      </c>
      <c r="M14" s="183"/>
      <c r="N14" s="184"/>
      <c r="O14" s="189"/>
      <c r="P14" s="190"/>
      <c r="Q14" s="195"/>
    </row>
    <row r="15" spans="1:17" x14ac:dyDescent="0.35">
      <c r="A15" s="84"/>
      <c r="B15" s="31"/>
      <c r="C15" s="31"/>
      <c r="D15" s="30" t="s">
        <v>17</v>
      </c>
      <c r="E15" s="30" t="s">
        <v>18</v>
      </c>
      <c r="G15" s="176" t="s">
        <v>8</v>
      </c>
      <c r="H15" s="150" t="s">
        <v>9</v>
      </c>
      <c r="I15" s="29">
        <v>1</v>
      </c>
      <c r="J15" s="29">
        <v>1.49</v>
      </c>
      <c r="K15" s="37">
        <v>0.15</v>
      </c>
      <c r="M15" s="176" t="s">
        <v>8</v>
      </c>
      <c r="N15" s="150" t="s">
        <v>9</v>
      </c>
      <c r="O15" s="194">
        <v>1</v>
      </c>
      <c r="P15" s="194">
        <v>100000</v>
      </c>
      <c r="Q15" s="194">
        <v>0.01</v>
      </c>
    </row>
    <row r="16" spans="1:17" x14ac:dyDescent="0.35">
      <c r="A16" s="158" t="s">
        <v>6</v>
      </c>
      <c r="B16" s="20">
        <v>0</v>
      </c>
      <c r="C16" s="19">
        <v>0.79990000000000006</v>
      </c>
      <c r="D16" s="22">
        <v>1E-3</v>
      </c>
      <c r="E16" s="22">
        <v>5.0000000000000001E-4</v>
      </c>
      <c r="G16" s="177"/>
      <c r="H16" s="151"/>
      <c r="I16" s="29">
        <v>1.5</v>
      </c>
      <c r="J16" s="29">
        <v>1000</v>
      </c>
      <c r="K16" s="37">
        <v>0.2</v>
      </c>
      <c r="M16" s="177"/>
      <c r="N16" s="151"/>
      <c r="O16" s="195"/>
      <c r="P16" s="195"/>
      <c r="Q16" s="195"/>
    </row>
    <row r="17" spans="1:17" ht="15" thickBot="1" x14ac:dyDescent="0.4">
      <c r="A17" s="158"/>
      <c r="B17" s="20">
        <v>0.8</v>
      </c>
      <c r="C17" s="19">
        <v>0.89990000000000003</v>
      </c>
      <c r="D17" s="22">
        <v>2E-3</v>
      </c>
      <c r="E17" s="22">
        <v>1E-3</v>
      </c>
      <c r="G17" s="178"/>
      <c r="H17" s="36" t="s">
        <v>11</v>
      </c>
      <c r="I17" s="29">
        <v>1</v>
      </c>
      <c r="J17" s="29">
        <v>1000</v>
      </c>
      <c r="K17" s="37">
        <v>0.15</v>
      </c>
      <c r="M17" s="178"/>
      <c r="N17" s="36" t="s">
        <v>11</v>
      </c>
      <c r="O17" s="38">
        <v>1</v>
      </c>
      <c r="P17" s="39">
        <v>100000</v>
      </c>
      <c r="Q17" s="38">
        <v>0.01</v>
      </c>
    </row>
    <row r="18" spans="1:17" x14ac:dyDescent="0.35">
      <c r="A18" s="158"/>
      <c r="B18" s="20">
        <v>0.9</v>
      </c>
      <c r="C18" s="20">
        <v>10000</v>
      </c>
      <c r="D18" s="22">
        <v>3.0000000000000001E-3</v>
      </c>
      <c r="E18" s="22">
        <v>1.5E-3</v>
      </c>
      <c r="Q18" s="23"/>
    </row>
    <row r="19" spans="1:17" x14ac:dyDescent="0.35">
      <c r="A19" s="175" t="s">
        <v>10</v>
      </c>
      <c r="B19" s="20">
        <v>1</v>
      </c>
      <c r="C19" s="20">
        <v>1.4999</v>
      </c>
      <c r="D19" s="22">
        <v>1.2E-2</v>
      </c>
      <c r="E19" s="22">
        <v>6.0000000000000001E-3</v>
      </c>
      <c r="Q19" s="23"/>
    </row>
    <row r="20" spans="1:17" x14ac:dyDescent="0.35">
      <c r="A20" s="175"/>
      <c r="B20" s="20">
        <v>1.5</v>
      </c>
      <c r="C20" s="20">
        <v>10</v>
      </c>
      <c r="D20" s="22">
        <v>1.4E-2</v>
      </c>
      <c r="E20" s="22">
        <v>7.0000000000000001E-3</v>
      </c>
      <c r="Q20" s="23"/>
    </row>
    <row r="21" spans="1:17" x14ac:dyDescent="0.35">
      <c r="A21" s="84" t="s">
        <v>12</v>
      </c>
      <c r="B21" s="20">
        <v>1</v>
      </c>
      <c r="C21" s="20">
        <v>10</v>
      </c>
      <c r="D21" s="22">
        <v>5.0000000000000001E-3</v>
      </c>
      <c r="E21" s="22">
        <v>2.5000000000000001E-3</v>
      </c>
      <c r="Q21" s="23"/>
    </row>
    <row r="22" spans="1:17" x14ac:dyDescent="0.35">
      <c r="A22" s="24"/>
      <c r="Q22" s="23"/>
    </row>
    <row r="23" spans="1:17" x14ac:dyDescent="0.35">
      <c r="A23" s="147" t="s">
        <v>19</v>
      </c>
      <c r="B23" s="148"/>
      <c r="C23" s="148"/>
      <c r="D23" s="149"/>
      <c r="Q23" s="23"/>
    </row>
    <row r="24" spans="1:17" x14ac:dyDescent="0.35">
      <c r="A24" s="84"/>
      <c r="B24" s="27"/>
      <c r="C24" s="27"/>
      <c r="D24" s="26"/>
      <c r="Q24" s="23"/>
    </row>
    <row r="25" spans="1:17" x14ac:dyDescent="0.35">
      <c r="A25" s="158" t="s">
        <v>6</v>
      </c>
      <c r="B25" s="20">
        <v>0</v>
      </c>
      <c r="C25" s="19">
        <v>0.89990000000000003</v>
      </c>
      <c r="D25" s="33">
        <v>5.0000000000000001E-4</v>
      </c>
      <c r="Q25" s="23"/>
    </row>
    <row r="26" spans="1:17" x14ac:dyDescent="0.35">
      <c r="A26" s="158"/>
      <c r="B26" s="20">
        <v>0.9</v>
      </c>
      <c r="C26" s="20">
        <v>10000</v>
      </c>
      <c r="D26" s="33">
        <v>1.5E-3</v>
      </c>
      <c r="Q26" s="23"/>
    </row>
    <row r="27" spans="1:17" x14ac:dyDescent="0.35">
      <c r="A27" s="34" t="s">
        <v>10</v>
      </c>
      <c r="B27" s="20">
        <v>1</v>
      </c>
      <c r="C27" s="20">
        <v>10000</v>
      </c>
      <c r="D27" s="33">
        <v>2E-3</v>
      </c>
      <c r="Q27" s="23"/>
    </row>
    <row r="28" spans="1:17" x14ac:dyDescent="0.35">
      <c r="A28" s="84" t="s">
        <v>12</v>
      </c>
      <c r="B28" s="20">
        <v>1</v>
      </c>
      <c r="C28" s="20">
        <v>10</v>
      </c>
      <c r="D28" s="33">
        <v>2.5000000000000001E-3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5"/>
    </row>
    <row r="30" spans="1:17" x14ac:dyDescent="0.35">
      <c r="A30" s="153" t="s">
        <v>20</v>
      </c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5"/>
    </row>
    <row r="31" spans="1:17" x14ac:dyDescent="0.35">
      <c r="A31" s="172" t="s">
        <v>1</v>
      </c>
      <c r="B31" s="173"/>
      <c r="C31" s="173"/>
      <c r="D31" s="173"/>
      <c r="E31" s="174"/>
      <c r="G31" s="147" t="s">
        <v>2</v>
      </c>
      <c r="H31" s="148"/>
      <c r="I31" s="148"/>
      <c r="J31" s="148"/>
      <c r="K31" s="149"/>
      <c r="M31" s="147" t="s">
        <v>3</v>
      </c>
      <c r="N31" s="148"/>
      <c r="O31" s="148"/>
      <c r="P31" s="148"/>
      <c r="Q31" s="149"/>
    </row>
    <row r="32" spans="1:17" x14ac:dyDescent="0.35">
      <c r="A32" s="84"/>
      <c r="B32" s="31"/>
      <c r="C32" s="31"/>
      <c r="D32" s="30" t="s">
        <v>4</v>
      </c>
      <c r="E32" s="30" t="s">
        <v>5</v>
      </c>
      <c r="G32" s="179" t="s">
        <v>6</v>
      </c>
      <c r="H32" s="180"/>
      <c r="I32" s="29">
        <v>0</v>
      </c>
      <c r="J32" s="29">
        <v>0.79</v>
      </c>
      <c r="K32" s="37">
        <v>5.0000000000000001E-3</v>
      </c>
      <c r="M32" s="179" t="s">
        <v>6</v>
      </c>
      <c r="N32" s="180"/>
      <c r="O32" s="29">
        <v>0</v>
      </c>
      <c r="P32" s="29">
        <v>0.79</v>
      </c>
      <c r="Q32" s="35">
        <v>5.0000000000000001E-3</v>
      </c>
    </row>
    <row r="33" spans="1:17" x14ac:dyDescent="0.35">
      <c r="A33" s="84"/>
      <c r="B33" s="31"/>
      <c r="C33" s="31"/>
      <c r="D33" s="30" t="s">
        <v>7</v>
      </c>
      <c r="E33" s="30" t="s">
        <v>7</v>
      </c>
      <c r="G33" s="181"/>
      <c r="H33" s="182"/>
      <c r="I33" s="29">
        <v>0.8</v>
      </c>
      <c r="J33" s="29">
        <v>0.89</v>
      </c>
      <c r="K33" s="37">
        <v>0.02</v>
      </c>
      <c r="M33" s="181"/>
      <c r="N33" s="182"/>
      <c r="O33" s="29">
        <v>0.8</v>
      </c>
      <c r="P33" s="29">
        <v>0.89</v>
      </c>
      <c r="Q33" s="35">
        <v>0.02</v>
      </c>
    </row>
    <row r="34" spans="1:17" x14ac:dyDescent="0.35">
      <c r="A34" s="158" t="s">
        <v>6</v>
      </c>
      <c r="B34" s="20">
        <v>0</v>
      </c>
      <c r="C34" s="19">
        <v>0.79990000000000006</v>
      </c>
      <c r="D34" s="22">
        <v>5.0000000000000001E-4</v>
      </c>
      <c r="E34" s="22">
        <v>2.5000000000000001E-4</v>
      </c>
      <c r="G34" s="183"/>
      <c r="H34" s="184"/>
      <c r="I34" s="29">
        <v>0.9</v>
      </c>
      <c r="J34" s="29">
        <v>1000</v>
      </c>
      <c r="K34" s="37">
        <v>0.04</v>
      </c>
      <c r="M34" s="183"/>
      <c r="N34" s="184"/>
      <c r="O34" s="29">
        <v>0.9</v>
      </c>
      <c r="P34" s="29">
        <v>1000</v>
      </c>
      <c r="Q34" s="35">
        <v>0.04</v>
      </c>
    </row>
    <row r="35" spans="1:17" x14ac:dyDescent="0.35">
      <c r="A35" s="158"/>
      <c r="B35" s="20">
        <v>0.8</v>
      </c>
      <c r="C35" s="19">
        <v>0.89990000000000003</v>
      </c>
      <c r="D35" s="22">
        <v>1E-3</v>
      </c>
      <c r="E35" s="22">
        <v>5.0000000000000001E-4</v>
      </c>
      <c r="G35" s="176" t="s">
        <v>8</v>
      </c>
      <c r="H35" s="150" t="s">
        <v>9</v>
      </c>
      <c r="I35" s="29">
        <v>1</v>
      </c>
      <c r="J35" s="29">
        <v>1.49</v>
      </c>
      <c r="K35" s="37">
        <v>0.08</v>
      </c>
      <c r="M35" s="176" t="s">
        <v>8</v>
      </c>
      <c r="N35" s="150" t="s">
        <v>9</v>
      </c>
      <c r="O35" s="29">
        <v>1</v>
      </c>
      <c r="P35" s="29">
        <v>1.49</v>
      </c>
      <c r="Q35" s="35">
        <v>0.1</v>
      </c>
    </row>
    <row r="36" spans="1:17" x14ac:dyDescent="0.35">
      <c r="A36" s="158"/>
      <c r="B36" s="20">
        <v>0.9</v>
      </c>
      <c r="C36" s="20">
        <v>10000</v>
      </c>
      <c r="D36" s="22">
        <v>1.5E-3</v>
      </c>
      <c r="E36" s="22">
        <v>7.5000000000000002E-4</v>
      </c>
      <c r="G36" s="177"/>
      <c r="H36" s="151"/>
      <c r="I36" s="29">
        <v>1.5</v>
      </c>
      <c r="J36" s="29">
        <v>1000</v>
      </c>
      <c r="K36" s="37">
        <v>0.13</v>
      </c>
      <c r="M36" s="177"/>
      <c r="N36" s="151"/>
      <c r="O36" s="29">
        <v>1.5</v>
      </c>
      <c r="P36" s="29">
        <v>1000</v>
      </c>
      <c r="Q36" s="35">
        <v>0.15</v>
      </c>
    </row>
    <row r="37" spans="1:17" ht="15" thickBot="1" x14ac:dyDescent="0.4">
      <c r="A37" s="175" t="s">
        <v>10</v>
      </c>
      <c r="B37" s="20">
        <v>1</v>
      </c>
      <c r="C37" s="20">
        <v>1.4999</v>
      </c>
      <c r="D37" s="22">
        <v>6.0000000000000001E-3</v>
      </c>
      <c r="E37" s="22">
        <v>3.0000000000000001E-3</v>
      </c>
      <c r="G37" s="178"/>
      <c r="H37" s="36" t="s">
        <v>21</v>
      </c>
      <c r="I37" s="29">
        <v>1</v>
      </c>
      <c r="J37" s="29">
        <v>1000</v>
      </c>
      <c r="K37" s="37">
        <v>0.03</v>
      </c>
      <c r="M37" s="178"/>
      <c r="N37" s="36" t="s">
        <v>21</v>
      </c>
      <c r="O37" s="29">
        <v>1</v>
      </c>
      <c r="P37" s="29">
        <v>1000</v>
      </c>
      <c r="Q37" s="35">
        <v>0.03</v>
      </c>
    </row>
    <row r="38" spans="1:17" x14ac:dyDescent="0.35">
      <c r="A38" s="175"/>
      <c r="B38" s="20">
        <v>1.5</v>
      </c>
      <c r="C38" s="20">
        <v>10</v>
      </c>
      <c r="D38" s="22">
        <v>2.5000000000000001E-2</v>
      </c>
      <c r="E38" s="22">
        <v>0.01</v>
      </c>
      <c r="Q38" s="23"/>
    </row>
    <row r="39" spans="1:17" x14ac:dyDescent="0.35">
      <c r="A39" s="84" t="s">
        <v>22</v>
      </c>
      <c r="B39" s="20">
        <v>1</v>
      </c>
      <c r="C39" s="20">
        <v>10</v>
      </c>
      <c r="D39" s="22">
        <v>8.0000000000000002E-3</v>
      </c>
      <c r="E39" s="22">
        <v>4.0000000000000001E-3</v>
      </c>
      <c r="G39" s="147" t="s">
        <v>13</v>
      </c>
      <c r="H39" s="148"/>
      <c r="I39" s="148"/>
      <c r="J39" s="148"/>
      <c r="K39" s="149"/>
      <c r="M39" s="147" t="s">
        <v>14</v>
      </c>
      <c r="N39" s="148"/>
      <c r="O39" s="148"/>
      <c r="P39" s="148"/>
      <c r="Q39" s="149"/>
    </row>
    <row r="40" spans="1:17" x14ac:dyDescent="0.35">
      <c r="A40" s="24"/>
      <c r="D40" s="32"/>
      <c r="E40" s="32"/>
      <c r="G40" s="179" t="s">
        <v>6</v>
      </c>
      <c r="H40" s="180"/>
      <c r="I40" s="29">
        <v>0</v>
      </c>
      <c r="J40" s="29">
        <v>0.79</v>
      </c>
      <c r="K40" s="37">
        <v>5.0000000000000001E-3</v>
      </c>
      <c r="M40" s="179" t="s">
        <v>6</v>
      </c>
      <c r="N40" s="180"/>
      <c r="O40" s="185" t="s">
        <v>15</v>
      </c>
      <c r="P40" s="186"/>
      <c r="Q40" s="191">
        <v>5.0000000000000001E-3</v>
      </c>
    </row>
    <row r="41" spans="1:17" x14ac:dyDescent="0.35">
      <c r="A41" s="172" t="s">
        <v>16</v>
      </c>
      <c r="B41" s="173"/>
      <c r="C41" s="173"/>
      <c r="D41" s="173"/>
      <c r="E41" s="174"/>
      <c r="G41" s="181"/>
      <c r="H41" s="182"/>
      <c r="I41" s="29">
        <v>0.8</v>
      </c>
      <c r="J41" s="29">
        <v>0.89</v>
      </c>
      <c r="K41" s="37">
        <v>0.02</v>
      </c>
      <c r="M41" s="181"/>
      <c r="N41" s="182"/>
      <c r="O41" s="187"/>
      <c r="P41" s="188"/>
      <c r="Q41" s="192"/>
    </row>
    <row r="42" spans="1:17" x14ac:dyDescent="0.35">
      <c r="A42" s="84"/>
      <c r="B42" s="31"/>
      <c r="C42" s="31"/>
      <c r="D42" s="30" t="s">
        <v>4</v>
      </c>
      <c r="E42" s="30" t="s">
        <v>5</v>
      </c>
      <c r="G42" s="183"/>
      <c r="H42" s="184"/>
      <c r="I42" s="29">
        <v>0.9</v>
      </c>
      <c r="J42" s="29">
        <v>1000</v>
      </c>
      <c r="K42" s="37">
        <v>0.04</v>
      </c>
      <c r="M42" s="183"/>
      <c r="N42" s="184"/>
      <c r="O42" s="189"/>
      <c r="P42" s="190"/>
      <c r="Q42" s="193"/>
    </row>
    <row r="43" spans="1:17" x14ac:dyDescent="0.35">
      <c r="A43" s="84"/>
      <c r="B43" s="31"/>
      <c r="C43" s="31"/>
      <c r="D43" s="30" t="s">
        <v>17</v>
      </c>
      <c r="E43" s="30" t="s">
        <v>18</v>
      </c>
      <c r="G43" s="176" t="s">
        <v>8</v>
      </c>
      <c r="H43" s="150" t="s">
        <v>9</v>
      </c>
      <c r="I43" s="29">
        <v>1</v>
      </c>
      <c r="J43" s="29">
        <v>1.49</v>
      </c>
      <c r="K43" s="37">
        <v>0.1</v>
      </c>
      <c r="M43" s="176" t="s">
        <v>8</v>
      </c>
      <c r="N43" s="150" t="s">
        <v>9</v>
      </c>
      <c r="O43" s="194">
        <v>1</v>
      </c>
      <c r="P43" s="194">
        <v>100000</v>
      </c>
      <c r="Q43" s="191">
        <v>5.0000000000000001E-3</v>
      </c>
    </row>
    <row r="44" spans="1:17" x14ac:dyDescent="0.35">
      <c r="A44" s="158" t="s">
        <v>6</v>
      </c>
      <c r="B44" s="20">
        <v>0</v>
      </c>
      <c r="C44" s="19">
        <v>0.79990000000000006</v>
      </c>
      <c r="D44" s="22">
        <f t="shared" ref="D44:E49" si="0">D16/2</f>
        <v>5.0000000000000001E-4</v>
      </c>
      <c r="E44" s="22">
        <f t="shared" si="0"/>
        <v>2.5000000000000001E-4</v>
      </c>
      <c r="G44" s="177"/>
      <c r="H44" s="151"/>
      <c r="I44" s="29">
        <v>1.5</v>
      </c>
      <c r="J44" s="29">
        <v>1000</v>
      </c>
      <c r="K44" s="37">
        <v>0.15</v>
      </c>
      <c r="M44" s="177"/>
      <c r="N44" s="151"/>
      <c r="O44" s="195"/>
      <c r="P44" s="195"/>
      <c r="Q44" s="193"/>
    </row>
    <row r="45" spans="1:17" ht="15" thickBot="1" x14ac:dyDescent="0.4">
      <c r="A45" s="158"/>
      <c r="B45" s="20">
        <v>0.8</v>
      </c>
      <c r="C45" s="19">
        <v>0.89990000000000003</v>
      </c>
      <c r="D45" s="22">
        <f t="shared" si="0"/>
        <v>1E-3</v>
      </c>
      <c r="E45" s="22">
        <f t="shared" si="0"/>
        <v>5.0000000000000001E-4</v>
      </c>
      <c r="G45" s="178"/>
      <c r="H45" s="36" t="s">
        <v>21</v>
      </c>
      <c r="I45" s="29">
        <v>1</v>
      </c>
      <c r="J45" s="29">
        <v>1000</v>
      </c>
      <c r="K45" s="37">
        <v>0.03</v>
      </c>
      <c r="M45" s="178"/>
      <c r="N45" s="36" t="s">
        <v>21</v>
      </c>
      <c r="O45" s="29">
        <v>1</v>
      </c>
      <c r="P45" s="29">
        <v>1000</v>
      </c>
      <c r="Q45" s="35">
        <v>5.0000000000000001E-3</v>
      </c>
    </row>
    <row r="46" spans="1:17" x14ac:dyDescent="0.35">
      <c r="A46" s="158"/>
      <c r="B46" s="20">
        <v>0.9</v>
      </c>
      <c r="C46" s="20">
        <v>10000</v>
      </c>
      <c r="D46" s="22">
        <f t="shared" si="0"/>
        <v>1.5E-3</v>
      </c>
      <c r="E46" s="22">
        <f t="shared" si="0"/>
        <v>7.5000000000000002E-4</v>
      </c>
      <c r="Q46" s="23"/>
    </row>
    <row r="47" spans="1:17" x14ac:dyDescent="0.35">
      <c r="A47" s="175" t="s">
        <v>10</v>
      </c>
      <c r="B47" s="20">
        <v>1</v>
      </c>
      <c r="C47" s="20">
        <v>1.4999</v>
      </c>
      <c r="D47" s="22">
        <f t="shared" si="0"/>
        <v>6.0000000000000001E-3</v>
      </c>
      <c r="E47" s="22">
        <f t="shared" si="0"/>
        <v>3.0000000000000001E-3</v>
      </c>
      <c r="Q47" s="23"/>
    </row>
    <row r="48" spans="1:17" x14ac:dyDescent="0.35">
      <c r="A48" s="175"/>
      <c r="B48" s="20">
        <v>1.5</v>
      </c>
      <c r="C48" s="20">
        <v>10</v>
      </c>
      <c r="D48" s="22">
        <f t="shared" si="0"/>
        <v>7.0000000000000001E-3</v>
      </c>
      <c r="E48" s="22">
        <f t="shared" si="0"/>
        <v>3.5000000000000001E-3</v>
      </c>
      <c r="Q48" s="23"/>
    </row>
    <row r="49" spans="1:17" x14ac:dyDescent="0.35">
      <c r="A49" s="84" t="s">
        <v>22</v>
      </c>
      <c r="B49" s="20">
        <v>1</v>
      </c>
      <c r="C49" s="20">
        <v>10</v>
      </c>
      <c r="D49" s="22">
        <f t="shared" si="0"/>
        <v>2.5000000000000001E-3</v>
      </c>
      <c r="E49" s="22">
        <f t="shared" si="0"/>
        <v>1.25E-3</v>
      </c>
      <c r="Q49" s="23"/>
    </row>
    <row r="50" spans="1:17" x14ac:dyDescent="0.35">
      <c r="A50" s="24"/>
      <c r="Q50" s="23"/>
    </row>
    <row r="51" spans="1:17" x14ac:dyDescent="0.35">
      <c r="A51" s="147" t="s">
        <v>19</v>
      </c>
      <c r="B51" s="148"/>
      <c r="C51" s="148"/>
      <c r="D51" s="149"/>
      <c r="Q51" s="23"/>
    </row>
    <row r="52" spans="1:17" x14ac:dyDescent="0.35">
      <c r="A52" s="84"/>
      <c r="B52" s="27"/>
      <c r="C52" s="27"/>
      <c r="D52" s="26"/>
      <c r="Q52" s="23"/>
    </row>
    <row r="53" spans="1:17" x14ac:dyDescent="0.35">
      <c r="A53" s="158" t="s">
        <v>6</v>
      </c>
      <c r="B53" s="20">
        <v>0</v>
      </c>
      <c r="C53" s="19">
        <v>0.89990000000000003</v>
      </c>
      <c r="D53" s="33">
        <v>2.0000000000000001E-4</v>
      </c>
      <c r="Q53" s="23"/>
    </row>
    <row r="54" spans="1:17" x14ac:dyDescent="0.35">
      <c r="A54" s="158"/>
      <c r="B54" s="20">
        <v>0.9</v>
      </c>
      <c r="C54" s="20">
        <v>10000</v>
      </c>
      <c r="D54" s="33">
        <v>5.0000000000000001E-4</v>
      </c>
      <c r="Q54" s="23"/>
    </row>
    <row r="55" spans="1:17" x14ac:dyDescent="0.35">
      <c r="A55" s="34" t="s">
        <v>10</v>
      </c>
      <c r="B55" s="20">
        <v>1</v>
      </c>
      <c r="C55" s="20">
        <v>10000</v>
      </c>
      <c r="D55" s="33">
        <v>1E-3</v>
      </c>
      <c r="Q55" s="23"/>
    </row>
    <row r="56" spans="1:17" x14ac:dyDescent="0.35">
      <c r="A56" s="84" t="s">
        <v>12</v>
      </c>
      <c r="B56" s="20">
        <v>1</v>
      </c>
      <c r="C56" s="20">
        <v>10</v>
      </c>
      <c r="D56" s="33">
        <v>5.0000000000000001E-4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5"/>
    </row>
    <row r="59" spans="1:17" x14ac:dyDescent="0.35">
      <c r="A59" s="153" t="s">
        <v>23</v>
      </c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5"/>
    </row>
    <row r="60" spans="1:17" x14ac:dyDescent="0.35">
      <c r="A60" s="172" t="s">
        <v>1</v>
      </c>
      <c r="B60" s="173"/>
      <c r="C60" s="173"/>
      <c r="D60" s="173"/>
      <c r="E60" s="174"/>
      <c r="G60" s="147" t="s">
        <v>2</v>
      </c>
      <c r="H60" s="148"/>
      <c r="I60" s="148"/>
      <c r="J60" s="148"/>
      <c r="K60" s="149"/>
      <c r="M60" s="147" t="s">
        <v>3</v>
      </c>
      <c r="N60" s="148"/>
      <c r="O60" s="148"/>
      <c r="P60" s="148"/>
      <c r="Q60" s="149"/>
    </row>
    <row r="61" spans="1:17" x14ac:dyDescent="0.35">
      <c r="A61" s="84"/>
      <c r="B61" s="31"/>
      <c r="C61" s="31"/>
      <c r="D61" s="30" t="s">
        <v>4</v>
      </c>
      <c r="E61" s="30" t="s">
        <v>5</v>
      </c>
      <c r="G61" s="159" t="s">
        <v>6</v>
      </c>
      <c r="H61" s="160"/>
      <c r="I61" s="29">
        <v>0</v>
      </c>
      <c r="J61" s="28">
        <v>0.79990000000000006</v>
      </c>
      <c r="K61" s="28">
        <v>5.0000000000000001E-3</v>
      </c>
      <c r="M61" s="159" t="s">
        <v>6</v>
      </c>
      <c r="N61" s="160"/>
      <c r="O61" s="29">
        <v>0</v>
      </c>
      <c r="P61" s="28">
        <v>0.79990000000000006</v>
      </c>
      <c r="Q61" s="33">
        <v>5.0000000000000001E-3</v>
      </c>
    </row>
    <row r="62" spans="1:17" x14ac:dyDescent="0.35">
      <c r="A62" s="84"/>
      <c r="B62" s="31"/>
      <c r="C62" s="31"/>
      <c r="D62" s="30" t="s">
        <v>7</v>
      </c>
      <c r="E62" s="30" t="s">
        <v>7</v>
      </c>
      <c r="G62" s="161"/>
      <c r="H62" s="162"/>
      <c r="I62" s="29">
        <v>0.8</v>
      </c>
      <c r="J62" s="28">
        <v>0.89990000000000003</v>
      </c>
      <c r="K62" s="28">
        <v>1.4999999999999999E-2</v>
      </c>
      <c r="M62" s="161"/>
      <c r="N62" s="162"/>
      <c r="O62" s="29">
        <v>0.8</v>
      </c>
      <c r="P62" s="28">
        <v>0.89990000000000003</v>
      </c>
      <c r="Q62" s="33">
        <v>1.4999999999999999E-2</v>
      </c>
    </row>
    <row r="63" spans="1:17" x14ac:dyDescent="0.35">
      <c r="A63" s="150" t="s">
        <v>6</v>
      </c>
      <c r="B63" s="20">
        <v>0.8</v>
      </c>
      <c r="C63" s="19">
        <v>0.89990000000000003</v>
      </c>
      <c r="D63" s="22">
        <v>4.0000000000000002E-4</v>
      </c>
      <c r="E63" s="22">
        <v>2.0000000000000001E-4</v>
      </c>
      <c r="G63" s="161"/>
      <c r="H63" s="162"/>
      <c r="I63" s="29">
        <v>0.9</v>
      </c>
      <c r="J63" s="28">
        <v>0.99990000000000001</v>
      </c>
      <c r="K63" s="28">
        <v>2.5000000000000001E-2</v>
      </c>
      <c r="M63" s="161"/>
      <c r="N63" s="162"/>
      <c r="O63" s="29">
        <v>0.9</v>
      </c>
      <c r="P63" s="28">
        <v>0.99990000000000001</v>
      </c>
      <c r="Q63" s="33">
        <v>2.5000000000000001E-2</v>
      </c>
    </row>
    <row r="64" spans="1:17" x14ac:dyDescent="0.35">
      <c r="A64" s="152"/>
      <c r="B64" s="20">
        <v>0.9</v>
      </c>
      <c r="C64" s="19">
        <v>0.99990000000000001</v>
      </c>
      <c r="D64" s="22">
        <v>6.0000000000000006E-4</v>
      </c>
      <c r="E64" s="22">
        <v>3.0000000000000003E-4</v>
      </c>
      <c r="G64" s="161"/>
      <c r="H64" s="162"/>
      <c r="I64" s="29">
        <v>1</v>
      </c>
      <c r="J64" s="28">
        <v>1.4999</v>
      </c>
      <c r="K64" s="28">
        <v>4.4999999999999998E-2</v>
      </c>
      <c r="M64" s="161"/>
      <c r="N64" s="162"/>
      <c r="O64" s="29">
        <v>1</v>
      </c>
      <c r="P64" s="28">
        <v>1.4999</v>
      </c>
      <c r="Q64" s="33">
        <v>5.5E-2</v>
      </c>
    </row>
    <row r="65" spans="1:17" x14ac:dyDescent="0.35">
      <c r="A65" s="152"/>
      <c r="B65" s="20">
        <v>1</v>
      </c>
      <c r="C65" s="20">
        <v>1.2499</v>
      </c>
      <c r="D65" s="22">
        <v>0.01</v>
      </c>
      <c r="E65" s="22">
        <v>1.2000000000000001E-3</v>
      </c>
      <c r="G65" s="161"/>
      <c r="H65" s="162"/>
      <c r="I65" s="29">
        <v>1.5</v>
      </c>
      <c r="J65" s="28">
        <v>1000</v>
      </c>
      <c r="K65" s="28">
        <v>5.5E-2</v>
      </c>
      <c r="M65" s="161"/>
      <c r="N65" s="162"/>
      <c r="O65" s="29">
        <v>1.5</v>
      </c>
      <c r="P65" s="28">
        <v>1000</v>
      </c>
      <c r="Q65" s="33">
        <v>6.5000000000000002E-2</v>
      </c>
    </row>
    <row r="66" spans="1:17" x14ac:dyDescent="0.35">
      <c r="A66" s="152"/>
      <c r="B66" s="20">
        <v>1.25</v>
      </c>
      <c r="C66" s="20">
        <v>1.4999</v>
      </c>
      <c r="D66" s="22">
        <v>1.0999999999999999E-2</v>
      </c>
      <c r="E66" s="22">
        <v>4.0000000000000001E-3</v>
      </c>
      <c r="I66" s="6"/>
      <c r="J66" s="6"/>
      <c r="K66" s="6"/>
      <c r="Q66" s="23"/>
    </row>
    <row r="67" spans="1:17" x14ac:dyDescent="0.35">
      <c r="A67" s="151"/>
      <c r="B67" s="20">
        <v>1.5</v>
      </c>
      <c r="C67" s="20">
        <v>10</v>
      </c>
      <c r="D67" s="22">
        <v>1.2500000000000001E-2</v>
      </c>
      <c r="E67" s="22">
        <v>5.0000000000000001E-3</v>
      </c>
      <c r="G67" s="147" t="s">
        <v>13</v>
      </c>
      <c r="H67" s="148"/>
      <c r="I67" s="148"/>
      <c r="J67" s="148"/>
      <c r="K67" s="149"/>
      <c r="M67" s="147" t="s">
        <v>14</v>
      </c>
      <c r="N67" s="148"/>
      <c r="O67" s="148"/>
      <c r="P67" s="148"/>
      <c r="Q67" s="149"/>
    </row>
    <row r="68" spans="1:17" x14ac:dyDescent="0.35">
      <c r="A68" s="24"/>
      <c r="D68" s="32"/>
      <c r="E68" s="32"/>
      <c r="G68" s="159" t="s">
        <v>6</v>
      </c>
      <c r="H68" s="160"/>
      <c r="I68" s="29">
        <v>0</v>
      </c>
      <c r="J68" s="28">
        <v>0.79990000000000006</v>
      </c>
      <c r="K68" s="28">
        <v>5.0000000000000001E-3</v>
      </c>
      <c r="M68" s="159" t="s">
        <v>6</v>
      </c>
      <c r="N68" s="160"/>
      <c r="O68" s="163" t="s">
        <v>15</v>
      </c>
      <c r="P68" s="164"/>
      <c r="Q68" s="169">
        <v>2.5000000000000001E-3</v>
      </c>
    </row>
    <row r="69" spans="1:17" x14ac:dyDescent="0.35">
      <c r="A69" s="172" t="s">
        <v>16</v>
      </c>
      <c r="B69" s="173"/>
      <c r="C69" s="173"/>
      <c r="D69" s="173"/>
      <c r="E69" s="174"/>
      <c r="G69" s="161"/>
      <c r="H69" s="162"/>
      <c r="I69" s="29">
        <v>0.8</v>
      </c>
      <c r="J69" s="28">
        <v>0.89990000000000003</v>
      </c>
      <c r="K69" s="28">
        <v>1.4999999999999999E-2</v>
      </c>
      <c r="M69" s="161"/>
      <c r="N69" s="162"/>
      <c r="O69" s="165"/>
      <c r="P69" s="166"/>
      <c r="Q69" s="170"/>
    </row>
    <row r="70" spans="1:17" x14ac:dyDescent="0.35">
      <c r="A70" s="84"/>
      <c r="B70" s="31"/>
      <c r="C70" s="31"/>
      <c r="D70" s="30" t="s">
        <v>4</v>
      </c>
      <c r="E70" s="30" t="s">
        <v>5</v>
      </c>
      <c r="G70" s="161"/>
      <c r="H70" s="162"/>
      <c r="I70" s="29">
        <v>0.9</v>
      </c>
      <c r="J70" s="28">
        <v>0.99990000000000001</v>
      </c>
      <c r="K70" s="28">
        <v>2.5000000000000001E-2</v>
      </c>
      <c r="M70" s="161"/>
      <c r="N70" s="162"/>
      <c r="O70" s="165"/>
      <c r="P70" s="166"/>
      <c r="Q70" s="170"/>
    </row>
    <row r="71" spans="1:17" x14ac:dyDescent="0.35">
      <c r="A71" s="84"/>
      <c r="B71" s="31"/>
      <c r="C71" s="31"/>
      <c r="D71" s="30" t="s">
        <v>17</v>
      </c>
      <c r="E71" s="30" t="s">
        <v>18</v>
      </c>
      <c r="G71" s="161"/>
      <c r="H71" s="162"/>
      <c r="I71" s="29">
        <v>1</v>
      </c>
      <c r="J71" s="28">
        <v>1.4999</v>
      </c>
      <c r="K71" s="28">
        <v>5.5E-2</v>
      </c>
      <c r="M71" s="161"/>
      <c r="N71" s="162"/>
      <c r="O71" s="165"/>
      <c r="P71" s="166"/>
      <c r="Q71" s="170"/>
    </row>
    <row r="72" spans="1:17" x14ac:dyDescent="0.35">
      <c r="A72" s="150" t="s">
        <v>6</v>
      </c>
      <c r="B72" s="20">
        <v>0.8</v>
      </c>
      <c r="C72" s="19">
        <v>0.89990000000000003</v>
      </c>
      <c r="D72" s="22">
        <v>5.0000000000000001E-4</v>
      </c>
      <c r="E72" s="22">
        <v>4.0000000000000002E-4</v>
      </c>
      <c r="G72" s="161"/>
      <c r="H72" s="162"/>
      <c r="I72" s="29">
        <v>1.5</v>
      </c>
      <c r="J72" s="28">
        <v>1000</v>
      </c>
      <c r="K72" s="28">
        <v>6.5000000000000002E-2</v>
      </c>
      <c r="M72" s="161"/>
      <c r="N72" s="162"/>
      <c r="O72" s="167"/>
      <c r="P72" s="168"/>
      <c r="Q72" s="171"/>
    </row>
    <row r="73" spans="1:17" x14ac:dyDescent="0.35">
      <c r="A73" s="152"/>
      <c r="B73" s="20">
        <v>0.9</v>
      </c>
      <c r="C73" s="19">
        <v>0.99990000000000001</v>
      </c>
      <c r="D73" s="22">
        <v>1E-3</v>
      </c>
      <c r="E73" s="22">
        <v>8.0000000000000004E-4</v>
      </c>
      <c r="Q73" s="23"/>
    </row>
    <row r="74" spans="1:17" x14ac:dyDescent="0.35">
      <c r="A74" s="152"/>
      <c r="B74" s="20">
        <v>1</v>
      </c>
      <c r="C74" s="20">
        <v>1.2499</v>
      </c>
      <c r="D74" s="22">
        <v>0.0025</v>
      </c>
      <c r="E74" s="22">
        <v>2E-3</v>
      </c>
      <c r="Q74" s="23"/>
    </row>
    <row r="75" spans="1:17" x14ac:dyDescent="0.35">
      <c r="A75" s="152"/>
      <c r="B75" s="20">
        <v>1.25</v>
      </c>
      <c r="C75" s="20">
        <v>1.4999</v>
      </c>
      <c r="D75" s="22">
        <v>3.0000000000000001E-3</v>
      </c>
      <c r="E75" s="22">
        <v>2.5000000000000001E-3</v>
      </c>
      <c r="Q75" s="23"/>
    </row>
    <row r="76" spans="1:17" x14ac:dyDescent="0.35">
      <c r="A76" s="151"/>
      <c r="B76" s="20">
        <v>1.5</v>
      </c>
      <c r="C76" s="20">
        <v>10</v>
      </c>
      <c r="D76" s="22">
        <v>3.5000000000000001E-3</v>
      </c>
      <c r="E76" s="22">
        <v>3.0000000000000001E-3</v>
      </c>
      <c r="Q76" s="23"/>
    </row>
    <row r="77" spans="1:17" x14ac:dyDescent="0.35">
      <c r="A77" s="24"/>
      <c r="Q77" s="23"/>
    </row>
    <row r="78" spans="1:17" x14ac:dyDescent="0.35">
      <c r="A78" s="147" t="s">
        <v>19</v>
      </c>
      <c r="B78" s="148"/>
      <c r="C78" s="148"/>
      <c r="D78" s="149"/>
      <c r="Q78" s="23"/>
    </row>
    <row r="79" spans="1:17" x14ac:dyDescent="0.35">
      <c r="A79" s="84"/>
      <c r="B79" s="27"/>
      <c r="C79" s="27"/>
      <c r="D79" s="26"/>
      <c r="Q79" s="23"/>
    </row>
    <row r="80" spans="1:17" x14ac:dyDescent="0.35">
      <c r="A80" s="150" t="s">
        <v>6</v>
      </c>
      <c r="B80" s="20">
        <v>0</v>
      </c>
      <c r="C80" s="19">
        <v>0.89990000000000003</v>
      </c>
      <c r="D80" s="22">
        <v>5.0000000000000001E-4</v>
      </c>
      <c r="Q80" s="23"/>
    </row>
    <row r="81" spans="1:17" x14ac:dyDescent="0.35">
      <c r="A81" s="152"/>
      <c r="B81" s="20">
        <v>0.9</v>
      </c>
      <c r="C81" s="20">
        <v>0.99990000000000001</v>
      </c>
      <c r="D81" s="22">
        <v>1.5E-3</v>
      </c>
      <c r="Q81" s="23"/>
    </row>
    <row r="82" spans="1:17" x14ac:dyDescent="0.35">
      <c r="A82" s="152"/>
      <c r="B82" s="20">
        <v>1</v>
      </c>
      <c r="C82" s="20">
        <v>1.4999</v>
      </c>
      <c r="D82" s="22">
        <v>2E-3</v>
      </c>
      <c r="Q82" s="23"/>
    </row>
    <row r="83" spans="1:17" x14ac:dyDescent="0.35">
      <c r="A83" s="151"/>
      <c r="B83" s="20">
        <v>1.5</v>
      </c>
      <c r="C83" s="20">
        <v>10</v>
      </c>
      <c r="D83" s="22">
        <v>2.5000000000000001E-3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5"/>
    </row>
    <row r="85" spans="1:17" x14ac:dyDescent="0.35">
      <c r="A85" s="153" t="s">
        <v>24</v>
      </c>
      <c r="B85" s="154"/>
      <c r="C85" s="154"/>
      <c r="D85" s="154"/>
      <c r="E85" s="154"/>
      <c r="F85" s="154"/>
      <c r="G85" s="154"/>
      <c r="H85" s="154"/>
      <c r="I85" s="154"/>
      <c r="J85" s="155"/>
    </row>
    <row r="86" spans="1:17" x14ac:dyDescent="0.35">
      <c r="A86" s="24"/>
      <c r="G86" s="156" t="s">
        <v>25</v>
      </c>
      <c r="H86" s="156"/>
      <c r="I86" s="156"/>
      <c r="J86" s="157"/>
    </row>
    <row r="87" spans="1:17" x14ac:dyDescent="0.35">
      <c r="A87" s="147" t="s">
        <v>1</v>
      </c>
      <c r="B87" s="148"/>
      <c r="C87" s="148"/>
      <c r="D87" s="148"/>
      <c r="G87" s="147" t="s">
        <v>2</v>
      </c>
      <c r="H87" s="148"/>
      <c r="I87" s="148"/>
      <c r="J87" s="149"/>
    </row>
    <row r="88" spans="1:17" x14ac:dyDescent="0.35">
      <c r="A88" s="84" t="s">
        <v>6</v>
      </c>
      <c r="B88" s="20">
        <v>0.9</v>
      </c>
      <c r="C88" s="19">
        <v>10</v>
      </c>
      <c r="D88" s="22">
        <v>1E-3</v>
      </c>
      <c r="G88" s="84" t="s">
        <v>26</v>
      </c>
      <c r="H88" s="20">
        <v>1</v>
      </c>
      <c r="I88" s="19">
        <v>10</v>
      </c>
      <c r="J88" s="18">
        <v>100</v>
      </c>
    </row>
    <row r="89" spans="1:17" x14ac:dyDescent="0.35">
      <c r="A89" s="158" t="s">
        <v>11</v>
      </c>
      <c r="B89" s="20">
        <v>1</v>
      </c>
      <c r="C89" s="19">
        <v>1.49</v>
      </c>
      <c r="D89" s="22">
        <v>3.0000000000000001E-3</v>
      </c>
      <c r="J89" s="23"/>
    </row>
    <row r="90" spans="1:17" x14ac:dyDescent="0.35">
      <c r="A90" s="158"/>
      <c r="B90" s="20">
        <v>1.5</v>
      </c>
      <c r="C90" s="20">
        <v>1000</v>
      </c>
      <c r="D90" s="22">
        <v>7.0000000000000001E-3</v>
      </c>
      <c r="G90" s="147" t="s">
        <v>13</v>
      </c>
      <c r="H90" s="148"/>
      <c r="I90" s="148"/>
      <c r="J90" s="149"/>
    </row>
    <row r="91" spans="1:17" x14ac:dyDescent="0.35">
      <c r="A91" s="84" t="s">
        <v>21</v>
      </c>
      <c r="B91" s="20">
        <v>1</v>
      </c>
      <c r="C91" s="20">
        <v>1000</v>
      </c>
      <c r="D91" s="22">
        <v>2E-3</v>
      </c>
      <c r="G91" s="84" t="s">
        <v>26</v>
      </c>
      <c r="H91" s="20">
        <v>1</v>
      </c>
      <c r="I91" s="19">
        <v>10</v>
      </c>
      <c r="J91" s="18">
        <v>100</v>
      </c>
    </row>
    <row r="92" spans="1:17" x14ac:dyDescent="0.35">
      <c r="A92" s="24"/>
      <c r="J92" s="23"/>
    </row>
    <row r="93" spans="1:17" x14ac:dyDescent="0.35">
      <c r="A93" s="147" t="s">
        <v>16</v>
      </c>
      <c r="B93" s="148"/>
      <c r="C93" s="148"/>
      <c r="D93" s="148"/>
      <c r="G93" s="147" t="s">
        <v>3</v>
      </c>
      <c r="H93" s="148"/>
      <c r="I93" s="148"/>
      <c r="J93" s="149"/>
    </row>
    <row r="94" spans="1:17" x14ac:dyDescent="0.35">
      <c r="A94" s="150" t="s">
        <v>6</v>
      </c>
      <c r="B94" s="20">
        <v>0</v>
      </c>
      <c r="C94" s="19">
        <v>0.89</v>
      </c>
      <c r="D94" s="22">
        <v>1E-4</v>
      </c>
      <c r="G94" s="84" t="s">
        <v>26</v>
      </c>
      <c r="H94" s="20">
        <v>1</v>
      </c>
      <c r="I94" s="19">
        <v>10</v>
      </c>
      <c r="J94" s="18">
        <v>50</v>
      </c>
    </row>
    <row r="95" spans="1:17" x14ac:dyDescent="0.35">
      <c r="A95" s="151"/>
      <c r="B95" s="20">
        <v>0.9</v>
      </c>
      <c r="C95" s="19">
        <v>100000</v>
      </c>
      <c r="D95" s="22">
        <v>2.5000000000000001E-4</v>
      </c>
      <c r="J95" s="23"/>
    </row>
    <row r="96" spans="1:17" x14ac:dyDescent="0.35">
      <c r="A96" s="84" t="s">
        <v>11</v>
      </c>
      <c r="B96" s="20">
        <v>1</v>
      </c>
      <c r="C96" s="20">
        <v>1000</v>
      </c>
      <c r="D96" s="22">
        <v>7.5000000000000002E-4</v>
      </c>
      <c r="G96" s="147" t="s">
        <v>14</v>
      </c>
      <c r="H96" s="148"/>
      <c r="I96" s="148"/>
      <c r="J96" s="149"/>
    </row>
    <row r="97" spans="1:10" x14ac:dyDescent="0.35">
      <c r="A97" s="84" t="s">
        <v>21</v>
      </c>
      <c r="B97" s="20">
        <v>1</v>
      </c>
      <c r="C97" s="20">
        <v>1000</v>
      </c>
      <c r="D97" s="22">
        <v>2.5000000000000001E-4</v>
      </c>
      <c r="E97" s="21"/>
      <c r="F97" s="21"/>
      <c r="G97" s="84" t="s">
        <v>26</v>
      </c>
      <c r="H97" s="20">
        <v>1</v>
      </c>
      <c r="I97" s="19">
        <v>10</v>
      </c>
      <c r="J97" s="18">
        <v>20</v>
      </c>
    </row>
    <row r="112" spans="1:10" x14ac:dyDescent="0.35">
      <c r="A112" s="16" t="s">
        <v>27</v>
      </c>
      <c r="B112" t="s">
        <v>28</v>
      </c>
    </row>
    <row r="113" spans="1:2" x14ac:dyDescent="0.35">
      <c r="A113" s="17" t="s">
        <v>29</v>
      </c>
      <c r="B113" t="s">
        <v>28</v>
      </c>
    </row>
    <row r="114" spans="1:2" x14ac:dyDescent="0.35">
      <c r="A114" s="16" t="s">
        <v>30</v>
      </c>
      <c r="B114" t="s">
        <v>28</v>
      </c>
    </row>
    <row r="115" spans="1:2" x14ac:dyDescent="0.35">
      <c r="A115" s="16" t="s">
        <v>31</v>
      </c>
      <c r="B115" t="s">
        <v>28</v>
      </c>
    </row>
    <row r="116" spans="1:2" x14ac:dyDescent="0.35">
      <c r="A116" s="16" t="s">
        <v>32</v>
      </c>
      <c r="B116" t="s">
        <v>28</v>
      </c>
    </row>
    <row r="117" spans="1:2" x14ac:dyDescent="0.35">
      <c r="A117" s="16" t="s">
        <v>33</v>
      </c>
      <c r="B117" t="s">
        <v>28</v>
      </c>
    </row>
    <row r="118" spans="1:2" x14ac:dyDescent="0.35">
      <c r="A118" s="16" t="s">
        <v>34</v>
      </c>
      <c r="B118" t="s">
        <v>28</v>
      </c>
    </row>
    <row r="119" spans="1:2" x14ac:dyDescent="0.35">
      <c r="A119" s="16" t="s">
        <v>35</v>
      </c>
      <c r="B119" t="s">
        <v>28</v>
      </c>
    </row>
    <row r="120" spans="1:2" x14ac:dyDescent="0.35">
      <c r="A120" s="17" t="s">
        <v>36</v>
      </c>
      <c r="B120" t="s">
        <v>37</v>
      </c>
    </row>
    <row r="121" spans="1:2" x14ac:dyDescent="0.35">
      <c r="A121" s="17" t="s">
        <v>38</v>
      </c>
      <c r="B121" t="s">
        <v>37</v>
      </c>
    </row>
    <row r="122" spans="1:2" x14ac:dyDescent="0.35">
      <c r="A122" s="16" t="s">
        <v>39</v>
      </c>
      <c r="B122" t="s">
        <v>37</v>
      </c>
    </row>
    <row r="123" spans="1:2" x14ac:dyDescent="0.35">
      <c r="A123" s="16" t="s">
        <v>40</v>
      </c>
      <c r="B123" t="s">
        <v>37</v>
      </c>
    </row>
    <row r="124" spans="1:2" x14ac:dyDescent="0.35">
      <c r="A124" s="16" t="s">
        <v>41</v>
      </c>
      <c r="B124" t="s">
        <v>37</v>
      </c>
    </row>
    <row r="125" spans="1:2" x14ac:dyDescent="0.35">
      <c r="A125" s="17" t="s">
        <v>42</v>
      </c>
      <c r="B125" t="s">
        <v>37</v>
      </c>
    </row>
    <row r="126" spans="1:2" x14ac:dyDescent="0.35">
      <c r="A126" s="17" t="s">
        <v>43</v>
      </c>
      <c r="B126" t="s">
        <v>37</v>
      </c>
    </row>
    <row r="127" spans="1:2" x14ac:dyDescent="0.35">
      <c r="A127" s="17" t="s">
        <v>44</v>
      </c>
      <c r="B127" t="s">
        <v>45</v>
      </c>
    </row>
    <row r="128" spans="1:2" x14ac:dyDescent="0.35">
      <c r="A128" s="16" t="s">
        <v>46</v>
      </c>
      <c r="B128" t="s">
        <v>45</v>
      </c>
    </row>
    <row r="129" spans="1:2" x14ac:dyDescent="0.35">
      <c r="A129" s="16" t="s">
        <v>47</v>
      </c>
      <c r="B129" t="s">
        <v>45</v>
      </c>
    </row>
    <row r="130" spans="1:2" x14ac:dyDescent="0.35">
      <c r="A130" s="16" t="s">
        <v>48</v>
      </c>
      <c r="B130" t="s">
        <v>45</v>
      </c>
    </row>
    <row r="131" spans="1:2" x14ac:dyDescent="0.35">
      <c r="A131" s="16" t="s">
        <v>49</v>
      </c>
      <c r="B131" t="s">
        <v>45</v>
      </c>
    </row>
    <row r="132" spans="1:2" x14ac:dyDescent="0.35">
      <c r="A132" s="17" t="s">
        <v>50</v>
      </c>
      <c r="B132" t="s">
        <v>45</v>
      </c>
    </row>
    <row r="133" spans="1:2" x14ac:dyDescent="0.35">
      <c r="A133" s="16" t="s">
        <v>51</v>
      </c>
      <c r="B133" t="s">
        <v>52</v>
      </c>
    </row>
  </sheetData>
  <mergeCells count="87">
    <mergeCell ref="A2:Q2"/>
    <mergeCell ref="A3:E3"/>
    <mergeCell ref="G3:K3"/>
    <mergeCell ref="M3:Q3"/>
    <mergeCell ref="G4:H6"/>
    <mergeCell ref="M4:N6"/>
    <mergeCell ref="A6:A8"/>
    <mergeCell ref="G7:G9"/>
    <mergeCell ref="H7:H8"/>
    <mergeCell ref="M7:M9"/>
    <mergeCell ref="A19:A20"/>
    <mergeCell ref="N7:N8"/>
    <mergeCell ref="A9:A10"/>
    <mergeCell ref="G11:K11"/>
    <mergeCell ref="M11:Q11"/>
    <mergeCell ref="G12:H14"/>
    <mergeCell ref="M12:N14"/>
    <mergeCell ref="O12:P14"/>
    <mergeCell ref="Q12:Q14"/>
    <mergeCell ref="A13:E13"/>
    <mergeCell ref="G15:G17"/>
    <mergeCell ref="H15:H16"/>
    <mergeCell ref="M15:M17"/>
    <mergeCell ref="N15:N16"/>
    <mergeCell ref="O15:O16"/>
    <mergeCell ref="P15:P16"/>
    <mergeCell ref="Q15:Q16"/>
    <mergeCell ref="A16:A18"/>
    <mergeCell ref="P43:P44"/>
    <mergeCell ref="Q43:Q44"/>
    <mergeCell ref="A44:A46"/>
    <mergeCell ref="A23:D23"/>
    <mergeCell ref="A25:A26"/>
    <mergeCell ref="A31:E31"/>
    <mergeCell ref="G31:K31"/>
    <mergeCell ref="M31:Q31"/>
    <mergeCell ref="A30:Q30"/>
    <mergeCell ref="G32:H34"/>
    <mergeCell ref="M32:N34"/>
    <mergeCell ref="A34:A36"/>
    <mergeCell ref="G35:G37"/>
    <mergeCell ref="H35:H36"/>
    <mergeCell ref="A47:A48"/>
    <mergeCell ref="M35:M37"/>
    <mergeCell ref="N35:N36"/>
    <mergeCell ref="A37:A38"/>
    <mergeCell ref="G39:K39"/>
    <mergeCell ref="M39:Q39"/>
    <mergeCell ref="G40:H42"/>
    <mergeCell ref="M40:N42"/>
    <mergeCell ref="O40:P42"/>
    <mergeCell ref="Q40:Q42"/>
    <mergeCell ref="A41:E41"/>
    <mergeCell ref="G43:G45"/>
    <mergeCell ref="H43:H44"/>
    <mergeCell ref="M43:M45"/>
    <mergeCell ref="N43:N44"/>
    <mergeCell ref="O43:O44"/>
    <mergeCell ref="G61:H65"/>
    <mergeCell ref="M61:N65"/>
    <mergeCell ref="A63:A67"/>
    <mergeCell ref="G67:K67"/>
    <mergeCell ref="M67:Q67"/>
    <mergeCell ref="A51:D51"/>
    <mergeCell ref="A53:A54"/>
    <mergeCell ref="A60:E60"/>
    <mergeCell ref="G60:K60"/>
    <mergeCell ref="M60:Q60"/>
    <mergeCell ref="A59:Q59"/>
    <mergeCell ref="G68:H72"/>
    <mergeCell ref="M68:N72"/>
    <mergeCell ref="O68:P72"/>
    <mergeCell ref="Q68:Q72"/>
    <mergeCell ref="A69:E69"/>
    <mergeCell ref="A72:A76"/>
    <mergeCell ref="G93:J93"/>
    <mergeCell ref="A94:A95"/>
    <mergeCell ref="G96:J96"/>
    <mergeCell ref="A78:D78"/>
    <mergeCell ref="A80:A83"/>
    <mergeCell ref="A85:J85"/>
    <mergeCell ref="G86:J86"/>
    <mergeCell ref="A87:D87"/>
    <mergeCell ref="G87:J87"/>
    <mergeCell ref="A89:A90"/>
    <mergeCell ref="G90:J90"/>
    <mergeCell ref="A93:D9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2768-FBC9-4B9C-8A85-2546A5626E7D}">
  <sheetPr codeName="Planilha1"/>
  <dimension ref="A1:Z102"/>
  <sheetViews>
    <sheetView topLeftCell="I52" workbookViewId="0">
      <selection activeCell="B64" sqref="B64"/>
    </sheetView>
  </sheetViews>
  <sheetFormatPr defaultRowHeight="14.5" x14ac:dyDescent="0.35"/>
  <cols>
    <col min="1" max="1" width="44" bestFit="1" customWidth="1"/>
    <col min="2" max="2" width="24.26953125" bestFit="1" customWidth="1"/>
    <col min="3" max="3" width="13.1796875" style="66" bestFit="1" customWidth="1"/>
    <col min="4" max="4" width="15.7265625" style="66" bestFit="1" customWidth="1"/>
    <col min="5" max="5" width="14.26953125" style="66" bestFit="1" customWidth="1"/>
    <col min="6" max="6" width="11.81640625" style="66" bestFit="1" customWidth="1"/>
    <col min="7" max="7" width="13.54296875" style="66" bestFit="1" customWidth="1"/>
    <col min="8" max="8" width="12.26953125" style="66" bestFit="1" customWidth="1"/>
    <col min="9" max="9" width="19.26953125" style="66" bestFit="1" customWidth="1"/>
    <col min="10" max="10" width="21.7265625" style="66" bestFit="1" customWidth="1"/>
    <col min="11" max="11" width="20.54296875" style="66" bestFit="1" customWidth="1"/>
    <col min="12" max="13" width="20.453125" style="66" bestFit="1" customWidth="1"/>
    <col min="14" max="14" width="19.81640625" style="66" bestFit="1" customWidth="1"/>
    <col min="15" max="15" width="19.7265625" style="66" bestFit="1" customWidth="1"/>
    <col min="16" max="17" width="19.54296875" style="66" bestFit="1" customWidth="1"/>
    <col min="18" max="18" width="20.1796875" style="66" bestFit="1" customWidth="1"/>
    <col min="19" max="19" width="18.7265625" style="66" bestFit="1" customWidth="1"/>
    <col min="20" max="20" width="15.7265625" style="66" bestFit="1" customWidth="1"/>
    <col min="21" max="21" width="18.1796875" style="66" bestFit="1" customWidth="1"/>
    <col min="22" max="22" width="16.81640625" style="66" bestFit="1" customWidth="1"/>
    <col min="23" max="23" width="10.7265625" style="66" bestFit="1" customWidth="1"/>
    <col min="24" max="24" width="13.1796875" style="66" bestFit="1" customWidth="1"/>
    <col min="25" max="25" width="11.81640625" style="66" bestFit="1" customWidth="1"/>
    <col min="26" max="26" width="16.7265625" bestFit="1" customWidth="1"/>
  </cols>
  <sheetData>
    <row r="1" spans="1:26" x14ac:dyDescent="0.35">
      <c r="A1" t="s">
        <v>53</v>
      </c>
      <c r="B1" t="s">
        <v>54</v>
      </c>
      <c r="C1" s="66" t="s">
        <v>55</v>
      </c>
      <c r="D1" s="66" t="s">
        <v>56</v>
      </c>
      <c r="E1" s="66" t="s">
        <v>57</v>
      </c>
      <c r="F1" s="66" t="s">
        <v>58</v>
      </c>
      <c r="G1" s="66" t="s">
        <v>59</v>
      </c>
      <c r="H1" s="66" t="s">
        <v>60</v>
      </c>
      <c r="I1" s="66" t="s">
        <v>61</v>
      </c>
      <c r="J1" s="66" t="s">
        <v>62</v>
      </c>
      <c r="K1" s="66" t="s">
        <v>63</v>
      </c>
      <c r="L1" s="66" t="s">
        <v>64</v>
      </c>
      <c r="M1" s="66" t="s">
        <v>65</v>
      </c>
      <c r="N1" s="66" t="s">
        <v>66</v>
      </c>
      <c r="O1" s="66" t="s">
        <v>67</v>
      </c>
      <c r="P1" s="66" t="s">
        <v>68</v>
      </c>
      <c r="Q1" s="66" t="s">
        <v>69</v>
      </c>
      <c r="R1" s="66" t="s">
        <v>70</v>
      </c>
      <c r="S1" s="66" t="s">
        <v>71</v>
      </c>
      <c r="T1" s="66" t="s">
        <v>72</v>
      </c>
      <c r="U1" s="66" t="s">
        <v>73</v>
      </c>
      <c r="V1" s="66" t="s">
        <v>74</v>
      </c>
      <c r="W1" s="66" t="s">
        <v>75</v>
      </c>
      <c r="X1" s="66" t="s">
        <v>76</v>
      </c>
      <c r="Y1" s="66" t="s">
        <v>77</v>
      </c>
      <c r="Z1" t="s">
        <v>78</v>
      </c>
    </row>
    <row r="2" spans="1:26" x14ac:dyDescent="0.35">
      <c r="A2" t="s">
        <v>79</v>
      </c>
      <c r="B2" t="s">
        <v>27</v>
      </c>
      <c r="C2" s="66">
        <v>1835</v>
      </c>
      <c r="D2" s="66">
        <v>2346.6667000000002</v>
      </c>
      <c r="E2" s="66">
        <v>511.66669999999999</v>
      </c>
      <c r="F2" s="66">
        <v>45</v>
      </c>
      <c r="G2" s="66">
        <v>0</v>
      </c>
      <c r="H2" s="66">
        <v>-45</v>
      </c>
      <c r="I2" s="66">
        <v>35412</v>
      </c>
      <c r="J2" s="66">
        <v>35000</v>
      </c>
      <c r="K2" s="66">
        <v>-412</v>
      </c>
      <c r="L2" s="66">
        <v>0</v>
      </c>
      <c r="M2" s="66">
        <v>6853</v>
      </c>
      <c r="N2" s="66">
        <v>4166.6666999999998</v>
      </c>
      <c r="O2" s="66">
        <v>-2686.3332999999998</v>
      </c>
      <c r="P2" s="66">
        <v>812</v>
      </c>
      <c r="Q2" s="66">
        <v>1470</v>
      </c>
      <c r="R2" s="66">
        <v>2166.6667000000002</v>
      </c>
      <c r="S2" s="66">
        <v>-115.33329999999999</v>
      </c>
      <c r="T2" s="66">
        <v>206.1</v>
      </c>
      <c r="U2" s="66">
        <v>293.33330000000001</v>
      </c>
      <c r="V2" s="66">
        <v>87.2333</v>
      </c>
      <c r="W2" s="66">
        <v>309.77999999999997</v>
      </c>
      <c r="X2" s="66">
        <v>293.33330000000001</v>
      </c>
      <c r="Y2" s="66">
        <v>-16.4467</v>
      </c>
      <c r="Z2" s="66" t="str">
        <f>_xlfn.XLOOKUP(REALIZADO[[#This Row],[PDV]],PROJEÇÃO[PDV],PROJEÇÃO[COORDENAÇÃO])</f>
        <v>ARIEL</v>
      </c>
    </row>
    <row r="3" spans="1:26" x14ac:dyDescent="0.35">
      <c r="A3" t="s">
        <v>80</v>
      </c>
      <c r="B3" t="s">
        <v>27</v>
      </c>
      <c r="C3" s="66">
        <v>1784</v>
      </c>
      <c r="D3" s="66">
        <v>2346.6667000000002</v>
      </c>
      <c r="E3" s="66">
        <v>562.66669999999999</v>
      </c>
      <c r="F3" s="66">
        <v>0</v>
      </c>
      <c r="G3" s="66">
        <v>0</v>
      </c>
      <c r="H3" s="66">
        <v>0</v>
      </c>
      <c r="I3" s="66">
        <v>43943</v>
      </c>
      <c r="J3" s="66">
        <v>35000</v>
      </c>
      <c r="K3" s="66">
        <v>-8943</v>
      </c>
      <c r="L3" s="66">
        <v>449</v>
      </c>
      <c r="M3" s="66">
        <v>3494</v>
      </c>
      <c r="N3" s="66">
        <v>4166.6666999999998</v>
      </c>
      <c r="O3" s="66">
        <v>223.66669999999999</v>
      </c>
      <c r="P3" s="66">
        <v>950</v>
      </c>
      <c r="Q3" s="66">
        <v>1308</v>
      </c>
      <c r="R3" s="66">
        <v>2166.6667000000002</v>
      </c>
      <c r="S3" s="66">
        <v>-91.333299999999994</v>
      </c>
      <c r="T3" s="66">
        <v>197.3</v>
      </c>
      <c r="U3" s="66">
        <v>293.33330000000001</v>
      </c>
      <c r="V3" s="66">
        <v>96.033299999999997</v>
      </c>
      <c r="W3" s="66">
        <v>281.08</v>
      </c>
      <c r="X3" s="66">
        <v>293.33330000000001</v>
      </c>
      <c r="Y3" s="66">
        <v>12.253299999999999</v>
      </c>
      <c r="Z3" s="66" t="str">
        <f>_xlfn.XLOOKUP(REALIZADO[[#This Row],[PDV]],PROJEÇÃO[PDV],PROJEÇÃO[COORDENAÇÃO])</f>
        <v>ARIEL</v>
      </c>
    </row>
    <row r="4" spans="1:26" x14ac:dyDescent="0.35">
      <c r="A4" t="s">
        <v>81</v>
      </c>
      <c r="B4" t="s">
        <v>27</v>
      </c>
      <c r="C4" s="66">
        <v>2015</v>
      </c>
      <c r="D4" s="66">
        <v>2346.6667000000002</v>
      </c>
      <c r="E4" s="66">
        <v>331.66669999999999</v>
      </c>
      <c r="F4" s="66">
        <v>0</v>
      </c>
      <c r="G4" s="66">
        <v>0</v>
      </c>
      <c r="H4" s="66">
        <v>0</v>
      </c>
      <c r="I4" s="66">
        <v>33406</v>
      </c>
      <c r="J4" s="66">
        <v>35000</v>
      </c>
      <c r="K4" s="66">
        <v>1594</v>
      </c>
      <c r="L4" s="66">
        <v>0</v>
      </c>
      <c r="M4" s="66">
        <v>2586</v>
      </c>
      <c r="N4" s="66">
        <v>4166.6666999999998</v>
      </c>
      <c r="O4" s="66">
        <v>1580.6667</v>
      </c>
      <c r="P4" s="66">
        <v>761</v>
      </c>
      <c r="Q4" s="66">
        <v>237</v>
      </c>
      <c r="R4" s="66">
        <v>2166.6667000000002</v>
      </c>
      <c r="S4" s="66">
        <v>1168.6667</v>
      </c>
      <c r="T4" s="66">
        <v>233.2</v>
      </c>
      <c r="U4" s="66">
        <v>293.33330000000001</v>
      </c>
      <c r="V4" s="66">
        <v>60.133299999999998</v>
      </c>
      <c r="W4" s="66">
        <v>311.39999999999998</v>
      </c>
      <c r="X4" s="66">
        <v>293.33330000000001</v>
      </c>
      <c r="Y4" s="66">
        <v>-18.066700000000001</v>
      </c>
      <c r="Z4" s="66" t="str">
        <f>_xlfn.XLOOKUP(REALIZADO[[#This Row],[PDV]],PROJEÇÃO[PDV],PROJEÇÃO[COORDENAÇÃO])</f>
        <v>ARIEL</v>
      </c>
    </row>
    <row r="5" spans="1:26" x14ac:dyDescent="0.35">
      <c r="A5" t="s">
        <v>82</v>
      </c>
      <c r="B5" t="s">
        <v>29</v>
      </c>
      <c r="C5" s="66">
        <v>4279.24</v>
      </c>
      <c r="D5" s="66">
        <v>7452.5</v>
      </c>
      <c r="E5" s="66">
        <v>3173.26</v>
      </c>
      <c r="F5" s="66">
        <v>0</v>
      </c>
      <c r="G5" s="66">
        <v>0</v>
      </c>
      <c r="H5" s="66">
        <v>0</v>
      </c>
      <c r="I5" s="66">
        <v>32304</v>
      </c>
      <c r="J5" s="66">
        <v>44500</v>
      </c>
      <c r="K5" s="66">
        <v>12196</v>
      </c>
      <c r="L5" s="66">
        <v>0</v>
      </c>
      <c r="M5" s="66">
        <v>4402</v>
      </c>
      <c r="N5" s="66">
        <v>5000</v>
      </c>
      <c r="O5" s="66">
        <v>598</v>
      </c>
      <c r="P5" s="66">
        <v>1702</v>
      </c>
      <c r="Q5" s="66">
        <v>2726</v>
      </c>
      <c r="R5" s="66">
        <v>4275</v>
      </c>
      <c r="S5" s="66">
        <v>-153</v>
      </c>
      <c r="T5" s="66">
        <v>361.4</v>
      </c>
      <c r="U5" s="66">
        <v>530.75</v>
      </c>
      <c r="V5" s="66">
        <v>169.35</v>
      </c>
      <c r="W5" s="66">
        <v>314.58</v>
      </c>
      <c r="X5" s="66">
        <v>440</v>
      </c>
      <c r="Y5" s="66">
        <v>125.42</v>
      </c>
      <c r="Z5" s="66" t="str">
        <f>_xlfn.XLOOKUP(REALIZADO[[#This Row],[PDV]],PROJEÇÃO[PDV],PROJEÇÃO[COORDENAÇÃO])</f>
        <v>ARIEL</v>
      </c>
    </row>
    <row r="6" spans="1:26" x14ac:dyDescent="0.35">
      <c r="A6" t="s">
        <v>83</v>
      </c>
      <c r="B6" t="s">
        <v>29</v>
      </c>
      <c r="C6" s="66">
        <v>4385.3900000000003</v>
      </c>
      <c r="D6" s="66">
        <v>7452.5</v>
      </c>
      <c r="E6" s="66">
        <v>3067.11</v>
      </c>
      <c r="F6" s="66">
        <v>0</v>
      </c>
      <c r="G6" s="66">
        <v>0</v>
      </c>
      <c r="H6" s="66">
        <v>0</v>
      </c>
      <c r="I6" s="66">
        <v>45229</v>
      </c>
      <c r="J6" s="66">
        <v>44500</v>
      </c>
      <c r="K6" s="66">
        <v>-729</v>
      </c>
      <c r="L6" s="66">
        <v>199</v>
      </c>
      <c r="M6" s="66">
        <v>3163</v>
      </c>
      <c r="N6" s="66">
        <v>5000</v>
      </c>
      <c r="O6" s="66">
        <v>1638</v>
      </c>
      <c r="P6" s="66">
        <v>1218</v>
      </c>
      <c r="Q6" s="66">
        <v>1484</v>
      </c>
      <c r="R6" s="66">
        <v>4275</v>
      </c>
      <c r="S6" s="66">
        <v>1573</v>
      </c>
      <c r="T6" s="66">
        <v>297.5</v>
      </c>
      <c r="U6" s="66">
        <v>530.75</v>
      </c>
      <c r="V6" s="66">
        <v>233.25</v>
      </c>
      <c r="W6" s="66">
        <v>332.48</v>
      </c>
      <c r="X6" s="66">
        <v>440</v>
      </c>
      <c r="Y6" s="66">
        <v>107.52</v>
      </c>
      <c r="Z6" s="66" t="str">
        <f>_xlfn.XLOOKUP(REALIZADO[[#This Row],[PDV]],PROJEÇÃO[PDV],PROJEÇÃO[COORDENAÇÃO])</f>
        <v>ARIEL</v>
      </c>
    </row>
    <row r="7" spans="1:26" x14ac:dyDescent="0.35">
      <c r="A7" t="s">
        <v>84</v>
      </c>
      <c r="B7" t="s">
        <v>36</v>
      </c>
      <c r="C7" s="66">
        <v>1236.96</v>
      </c>
      <c r="D7" s="66">
        <v>2695</v>
      </c>
      <c r="E7" s="66">
        <v>1458.04</v>
      </c>
      <c r="F7" s="66">
        <v>1210</v>
      </c>
      <c r="G7" s="66">
        <v>1595</v>
      </c>
      <c r="H7" s="66">
        <v>385</v>
      </c>
      <c r="I7" s="66">
        <v>20494</v>
      </c>
      <c r="J7" s="66">
        <v>34500</v>
      </c>
      <c r="K7" s="66">
        <v>14006</v>
      </c>
      <c r="L7" s="66">
        <v>0</v>
      </c>
      <c r="M7" s="66">
        <v>6817</v>
      </c>
      <c r="N7" s="66">
        <v>5000</v>
      </c>
      <c r="O7" s="66">
        <v>-1817</v>
      </c>
      <c r="P7" s="66">
        <v>207</v>
      </c>
      <c r="Q7" s="66">
        <v>228</v>
      </c>
      <c r="R7" s="66">
        <v>1600</v>
      </c>
      <c r="S7" s="66">
        <v>1165</v>
      </c>
      <c r="T7" s="66">
        <v>229.7</v>
      </c>
      <c r="U7" s="66">
        <v>220</v>
      </c>
      <c r="V7" s="66">
        <v>-9.6999999999999993</v>
      </c>
      <c r="W7" s="66">
        <v>161.69999999999999</v>
      </c>
      <c r="X7" s="66">
        <v>220</v>
      </c>
      <c r="Y7" s="66">
        <v>58.3</v>
      </c>
      <c r="Z7" s="66" t="str">
        <f>_xlfn.XLOOKUP(REALIZADO[[#This Row],[PDV]],PROJEÇÃO[PDV],PROJEÇÃO[COORDENAÇÃO])</f>
        <v>LUIZ</v>
      </c>
    </row>
    <row r="8" spans="1:26" x14ac:dyDescent="0.35">
      <c r="A8" t="s">
        <v>85</v>
      </c>
      <c r="B8" t="s">
        <v>36</v>
      </c>
      <c r="C8" s="66">
        <v>338</v>
      </c>
      <c r="D8" s="66">
        <v>2695</v>
      </c>
      <c r="E8" s="66">
        <v>2357</v>
      </c>
      <c r="F8" s="66">
        <v>599.98</v>
      </c>
      <c r="G8" s="66">
        <v>1595</v>
      </c>
      <c r="H8" s="66">
        <v>995.02</v>
      </c>
      <c r="I8" s="66">
        <v>0</v>
      </c>
      <c r="J8" s="66">
        <v>34500</v>
      </c>
      <c r="K8" s="66">
        <v>34500</v>
      </c>
      <c r="L8" s="66">
        <v>0</v>
      </c>
      <c r="M8" s="66">
        <v>5298</v>
      </c>
      <c r="N8" s="66">
        <v>5000</v>
      </c>
      <c r="O8" s="66">
        <v>-298</v>
      </c>
      <c r="P8" s="66">
        <v>0</v>
      </c>
      <c r="Q8" s="66">
        <v>59</v>
      </c>
      <c r="R8" s="66">
        <v>1600</v>
      </c>
      <c r="S8" s="66">
        <v>1541</v>
      </c>
      <c r="T8" s="66">
        <v>139.80000000000001</v>
      </c>
      <c r="U8" s="66">
        <v>220</v>
      </c>
      <c r="V8" s="66">
        <v>80.2</v>
      </c>
      <c r="W8" s="66">
        <v>0</v>
      </c>
      <c r="X8" s="66">
        <v>220</v>
      </c>
      <c r="Y8" s="66">
        <v>220</v>
      </c>
      <c r="Z8" s="66" t="str">
        <f>_xlfn.XLOOKUP(REALIZADO[[#This Row],[PDV]],PROJEÇÃO[PDV],PROJEÇÃO[COORDENAÇÃO])</f>
        <v>LUIZ</v>
      </c>
    </row>
    <row r="9" spans="1:26" x14ac:dyDescent="0.35">
      <c r="A9" t="s">
        <v>86</v>
      </c>
      <c r="B9" t="s">
        <v>38</v>
      </c>
      <c r="C9" s="66">
        <v>2626</v>
      </c>
      <c r="D9" s="66">
        <v>3465</v>
      </c>
      <c r="E9" s="66">
        <v>839</v>
      </c>
      <c r="F9" s="66">
        <v>940.01</v>
      </c>
      <c r="G9" s="66">
        <v>2310</v>
      </c>
      <c r="H9" s="66">
        <v>1369.99</v>
      </c>
      <c r="I9" s="66">
        <v>9704</v>
      </c>
      <c r="J9" s="66">
        <v>39500</v>
      </c>
      <c r="K9" s="66">
        <v>29796</v>
      </c>
      <c r="L9" s="66">
        <v>0</v>
      </c>
      <c r="M9" s="66">
        <v>3388</v>
      </c>
      <c r="N9" s="66">
        <v>5000</v>
      </c>
      <c r="O9" s="66">
        <v>1612</v>
      </c>
      <c r="P9" s="66">
        <v>377</v>
      </c>
      <c r="Q9" s="66">
        <v>711</v>
      </c>
      <c r="R9" s="66">
        <v>2650</v>
      </c>
      <c r="S9" s="66">
        <v>1562</v>
      </c>
      <c r="T9" s="66">
        <v>106.6</v>
      </c>
      <c r="U9" s="66">
        <v>396</v>
      </c>
      <c r="V9" s="66">
        <v>289.39999999999998</v>
      </c>
      <c r="W9" s="66">
        <v>234.7</v>
      </c>
      <c r="X9" s="66">
        <v>330</v>
      </c>
      <c r="Y9" s="66">
        <v>95.3</v>
      </c>
      <c r="Z9" s="66" t="str">
        <f>_xlfn.XLOOKUP(REALIZADO[[#This Row],[PDV]],PROJEÇÃO[PDV],PROJEÇÃO[COORDENAÇÃO])</f>
        <v>LUIZ</v>
      </c>
    </row>
    <row r="10" spans="1:26" x14ac:dyDescent="0.35">
      <c r="A10" t="s">
        <v>87</v>
      </c>
      <c r="B10" t="s">
        <v>38</v>
      </c>
      <c r="C10" s="66">
        <v>2070.9699999999998</v>
      </c>
      <c r="D10" s="66">
        <v>3465</v>
      </c>
      <c r="E10" s="66">
        <v>1394.03</v>
      </c>
      <c r="F10" s="66">
        <v>465</v>
      </c>
      <c r="G10" s="66">
        <v>2310</v>
      </c>
      <c r="H10" s="66">
        <v>1845</v>
      </c>
      <c r="I10" s="66">
        <v>17742</v>
      </c>
      <c r="J10" s="66">
        <v>39500</v>
      </c>
      <c r="K10" s="66">
        <v>21758</v>
      </c>
      <c r="L10" s="66">
        <v>0</v>
      </c>
      <c r="M10" s="66">
        <v>1078</v>
      </c>
      <c r="N10" s="66">
        <v>5000</v>
      </c>
      <c r="O10" s="66">
        <v>3922</v>
      </c>
      <c r="P10" s="66">
        <v>516</v>
      </c>
      <c r="Q10" s="66">
        <v>1437</v>
      </c>
      <c r="R10" s="66">
        <v>2650</v>
      </c>
      <c r="S10" s="66">
        <v>697</v>
      </c>
      <c r="T10" s="66">
        <v>101.8</v>
      </c>
      <c r="U10" s="66">
        <v>396</v>
      </c>
      <c r="V10" s="66">
        <v>294.2</v>
      </c>
      <c r="W10" s="66">
        <v>234.89</v>
      </c>
      <c r="X10" s="66">
        <v>330</v>
      </c>
      <c r="Y10" s="66">
        <v>95.11</v>
      </c>
      <c r="Z10" s="66" t="str">
        <f>_xlfn.XLOOKUP(REALIZADO[[#This Row],[PDV]],PROJEÇÃO[PDV],PROJEÇÃO[COORDENAÇÃO])</f>
        <v>LUIZ</v>
      </c>
    </row>
    <row r="11" spans="1:26" x14ac:dyDescent="0.35">
      <c r="A11" t="s">
        <v>88</v>
      </c>
      <c r="B11" t="s">
        <v>39</v>
      </c>
      <c r="C11" s="66">
        <v>2495</v>
      </c>
      <c r="D11" s="66">
        <v>3043.3332999999998</v>
      </c>
      <c r="E11" s="66">
        <v>548.33330000000001</v>
      </c>
      <c r="F11" s="66">
        <v>1209.99</v>
      </c>
      <c r="G11" s="66">
        <v>1650</v>
      </c>
      <c r="H11" s="66">
        <v>440.01</v>
      </c>
      <c r="I11" s="66">
        <v>27420</v>
      </c>
      <c r="J11" s="66">
        <v>33333.333299999998</v>
      </c>
      <c r="K11" s="66">
        <v>5913.3333000000002</v>
      </c>
      <c r="L11" s="66">
        <v>117</v>
      </c>
      <c r="M11" s="66">
        <v>3691</v>
      </c>
      <c r="N11" s="66">
        <v>4166.6666999999998</v>
      </c>
      <c r="O11" s="66">
        <v>358.66669999999999</v>
      </c>
      <c r="P11" s="66">
        <v>267</v>
      </c>
      <c r="Q11" s="66">
        <v>1253</v>
      </c>
      <c r="R11" s="66">
        <v>1533.3333</v>
      </c>
      <c r="S11" s="66">
        <v>13.333299999999999</v>
      </c>
      <c r="T11" s="66">
        <v>191</v>
      </c>
      <c r="U11" s="66">
        <v>256.66669999999999</v>
      </c>
      <c r="V11" s="66">
        <v>65.666700000000006</v>
      </c>
      <c r="W11" s="66">
        <v>330.19</v>
      </c>
      <c r="X11" s="66">
        <v>165</v>
      </c>
      <c r="Y11" s="66">
        <v>-165.19</v>
      </c>
      <c r="Z11" s="66" t="str">
        <f>_xlfn.XLOOKUP(REALIZADO[[#This Row],[PDV]],PROJEÇÃO[PDV],PROJEÇÃO[COORDENAÇÃO])</f>
        <v>LUIZ</v>
      </c>
    </row>
    <row r="12" spans="1:26" x14ac:dyDescent="0.35">
      <c r="A12" t="s">
        <v>89</v>
      </c>
      <c r="B12" t="s">
        <v>39</v>
      </c>
      <c r="C12" s="66">
        <v>2003</v>
      </c>
      <c r="D12" s="66">
        <v>3043.3332999999998</v>
      </c>
      <c r="E12" s="66">
        <v>1040.3333</v>
      </c>
      <c r="F12" s="66">
        <v>740</v>
      </c>
      <c r="G12" s="66">
        <v>1650</v>
      </c>
      <c r="H12" s="66">
        <v>910</v>
      </c>
      <c r="I12" s="66">
        <v>37067</v>
      </c>
      <c r="J12" s="66">
        <v>33333.333299999998</v>
      </c>
      <c r="K12" s="66">
        <v>-3733.6667000000002</v>
      </c>
      <c r="L12" s="66">
        <v>39</v>
      </c>
      <c r="M12" s="66">
        <v>3314</v>
      </c>
      <c r="N12" s="66">
        <v>4166.6666999999998</v>
      </c>
      <c r="O12" s="66">
        <v>813.66669999999999</v>
      </c>
      <c r="P12" s="66">
        <v>0</v>
      </c>
      <c r="Q12" s="66">
        <v>1097</v>
      </c>
      <c r="R12" s="66">
        <v>1533.3333</v>
      </c>
      <c r="S12" s="66">
        <v>436.33330000000001</v>
      </c>
      <c r="T12" s="66">
        <v>153.4</v>
      </c>
      <c r="U12" s="66">
        <v>256.66669999999999</v>
      </c>
      <c r="V12" s="66">
        <v>103.2667</v>
      </c>
      <c r="W12" s="66">
        <v>200.9</v>
      </c>
      <c r="X12" s="66">
        <v>165</v>
      </c>
      <c r="Y12" s="66">
        <v>-35.9</v>
      </c>
      <c r="Z12" s="66" t="str">
        <f>_xlfn.XLOOKUP(REALIZADO[[#This Row],[PDV]],PROJEÇÃO[PDV],PROJEÇÃO[COORDENAÇÃO])</f>
        <v>LUIZ</v>
      </c>
    </row>
    <row r="13" spans="1:26" x14ac:dyDescent="0.35">
      <c r="A13" t="s">
        <v>90</v>
      </c>
      <c r="B13" t="s">
        <v>39</v>
      </c>
      <c r="C13" s="66">
        <v>2461</v>
      </c>
      <c r="D13" s="66">
        <v>3043.3332999999998</v>
      </c>
      <c r="E13" s="66">
        <v>582.33330000000001</v>
      </c>
      <c r="F13" s="66">
        <v>755</v>
      </c>
      <c r="G13" s="66">
        <v>1650</v>
      </c>
      <c r="H13" s="66">
        <v>895</v>
      </c>
      <c r="I13" s="66">
        <v>34661</v>
      </c>
      <c r="J13" s="66">
        <v>33333.333299999998</v>
      </c>
      <c r="K13" s="66">
        <v>-1327.6667</v>
      </c>
      <c r="L13" s="66">
        <v>0</v>
      </c>
      <c r="M13" s="66">
        <v>2074</v>
      </c>
      <c r="N13" s="66">
        <v>4166.6666999999998</v>
      </c>
      <c r="O13" s="66">
        <v>2092.6667000000002</v>
      </c>
      <c r="P13" s="66">
        <v>565</v>
      </c>
      <c r="Q13" s="66">
        <v>763</v>
      </c>
      <c r="R13" s="66">
        <v>1533.3333</v>
      </c>
      <c r="S13" s="66">
        <v>205.33330000000001</v>
      </c>
      <c r="T13" s="66">
        <v>314.39999999999998</v>
      </c>
      <c r="U13" s="66">
        <v>256.66669999999999</v>
      </c>
      <c r="V13" s="66">
        <v>-57.7333</v>
      </c>
      <c r="W13" s="66">
        <v>155.5</v>
      </c>
      <c r="X13" s="66">
        <v>165</v>
      </c>
      <c r="Y13" s="66">
        <v>9.5</v>
      </c>
      <c r="Z13" s="66" t="str">
        <f>_xlfn.XLOOKUP(REALIZADO[[#This Row],[PDV]],PROJEÇÃO[PDV],PROJEÇÃO[COORDENAÇÃO])</f>
        <v>LUIZ</v>
      </c>
    </row>
    <row r="14" spans="1:26" x14ac:dyDescent="0.35">
      <c r="A14" t="s">
        <v>91</v>
      </c>
      <c r="B14" t="s">
        <v>39</v>
      </c>
      <c r="C14" s="66">
        <v>1505</v>
      </c>
      <c r="D14" s="66">
        <v>3043.3332999999998</v>
      </c>
      <c r="E14" s="66">
        <v>1538.3333</v>
      </c>
      <c r="F14" s="66">
        <v>785</v>
      </c>
      <c r="G14" s="66">
        <v>1650</v>
      </c>
      <c r="H14" s="66">
        <v>865</v>
      </c>
      <c r="I14" s="66">
        <v>14256</v>
      </c>
      <c r="J14" s="66">
        <v>33333.333299999998</v>
      </c>
      <c r="K14" s="66">
        <v>19077.333299999998</v>
      </c>
      <c r="L14" s="66">
        <v>0</v>
      </c>
      <c r="M14" s="66">
        <v>1018</v>
      </c>
      <c r="N14" s="66">
        <v>4166.6666999999998</v>
      </c>
      <c r="O14" s="66">
        <v>3148.6667000000002</v>
      </c>
      <c r="P14" s="66">
        <v>178</v>
      </c>
      <c r="Q14" s="66">
        <v>783.01</v>
      </c>
      <c r="R14" s="66">
        <v>1533.3333</v>
      </c>
      <c r="S14" s="66">
        <v>572.32330000000002</v>
      </c>
      <c r="T14" s="66">
        <v>201.3</v>
      </c>
      <c r="U14" s="66">
        <v>256.66669999999999</v>
      </c>
      <c r="V14" s="66">
        <v>55.366700000000002</v>
      </c>
      <c r="W14" s="66">
        <v>165.29</v>
      </c>
      <c r="X14" s="66">
        <v>165</v>
      </c>
      <c r="Y14" s="66">
        <v>-0.28999999999999998</v>
      </c>
      <c r="Z14" s="66" t="str">
        <f>_xlfn.XLOOKUP(REALIZADO[[#This Row],[PDV]],PROJEÇÃO[PDV],PROJEÇÃO[COORDENAÇÃO])</f>
        <v>LUIZ</v>
      </c>
    </row>
    <row r="15" spans="1:26" x14ac:dyDescent="0.35">
      <c r="A15" t="s">
        <v>92</v>
      </c>
      <c r="B15" t="s">
        <v>39</v>
      </c>
      <c r="C15" s="66">
        <v>1796</v>
      </c>
      <c r="D15" s="66">
        <v>3043.3332999999998</v>
      </c>
      <c r="E15" s="66">
        <v>1247.3333</v>
      </c>
      <c r="F15" s="66">
        <v>824.98</v>
      </c>
      <c r="G15" s="66">
        <v>1650</v>
      </c>
      <c r="H15" s="66">
        <v>825.02</v>
      </c>
      <c r="I15" s="66">
        <v>20695</v>
      </c>
      <c r="J15" s="66">
        <v>33333.333299999998</v>
      </c>
      <c r="K15" s="66">
        <v>12638.3333</v>
      </c>
      <c r="L15" s="66">
        <v>0</v>
      </c>
      <c r="M15" s="66">
        <v>4227</v>
      </c>
      <c r="N15" s="66">
        <v>4166.6666999999998</v>
      </c>
      <c r="O15" s="66">
        <v>-60.333300000000001</v>
      </c>
      <c r="P15" s="66">
        <v>0</v>
      </c>
      <c r="Q15" s="66">
        <v>960</v>
      </c>
      <c r="R15" s="66">
        <v>1533.3333</v>
      </c>
      <c r="S15" s="66">
        <v>573.33330000000001</v>
      </c>
      <c r="T15" s="66">
        <v>131.5</v>
      </c>
      <c r="U15" s="66">
        <v>256.66669999999999</v>
      </c>
      <c r="V15" s="66">
        <v>125.16670000000001</v>
      </c>
      <c r="W15" s="66">
        <v>249.4</v>
      </c>
      <c r="X15" s="66">
        <v>165</v>
      </c>
      <c r="Y15" s="66">
        <v>-84.4</v>
      </c>
      <c r="Z15" s="66" t="str">
        <f>_xlfn.XLOOKUP(REALIZADO[[#This Row],[PDV]],PROJEÇÃO[PDV],PROJEÇÃO[COORDENAÇÃO])</f>
        <v>LUIZ</v>
      </c>
    </row>
    <row r="16" spans="1:26" x14ac:dyDescent="0.35">
      <c r="A16" t="s">
        <v>93</v>
      </c>
      <c r="B16" t="s">
        <v>39</v>
      </c>
      <c r="C16" s="66">
        <v>1611</v>
      </c>
      <c r="D16" s="66">
        <v>3043.3332999999998</v>
      </c>
      <c r="E16" s="66">
        <v>1432.3333</v>
      </c>
      <c r="F16" s="66">
        <v>205</v>
      </c>
      <c r="G16" s="66">
        <v>1650</v>
      </c>
      <c r="H16" s="66">
        <v>1445</v>
      </c>
      <c r="I16" s="66">
        <v>7795</v>
      </c>
      <c r="J16" s="66">
        <v>33333.333299999998</v>
      </c>
      <c r="K16" s="66">
        <v>25538.333299999998</v>
      </c>
      <c r="L16" s="66">
        <v>0</v>
      </c>
      <c r="M16" s="66">
        <v>199</v>
      </c>
      <c r="N16" s="66">
        <v>4166.6666999999998</v>
      </c>
      <c r="O16" s="66">
        <v>3967.6667000000002</v>
      </c>
      <c r="P16" s="66">
        <v>534</v>
      </c>
      <c r="Q16" s="66">
        <v>436</v>
      </c>
      <c r="R16" s="66">
        <v>1533.3333</v>
      </c>
      <c r="S16" s="66">
        <v>563.33330000000001</v>
      </c>
      <c r="T16" s="66">
        <v>119.4</v>
      </c>
      <c r="U16" s="66">
        <v>256.66669999999999</v>
      </c>
      <c r="V16" s="66">
        <v>137.26669999999999</v>
      </c>
      <c r="W16" s="66">
        <v>205.64</v>
      </c>
      <c r="X16" s="66">
        <v>165</v>
      </c>
      <c r="Y16" s="66">
        <v>-40.64</v>
      </c>
      <c r="Z16" s="66" t="str">
        <f>_xlfn.XLOOKUP(REALIZADO[[#This Row],[PDV]],PROJEÇÃO[PDV],PROJEÇÃO[COORDENAÇÃO])</f>
        <v>LUIZ</v>
      </c>
    </row>
    <row r="17" spans="1:26" x14ac:dyDescent="0.35">
      <c r="A17" t="s">
        <v>94</v>
      </c>
      <c r="B17" t="s">
        <v>30</v>
      </c>
      <c r="C17" s="66">
        <v>1782.99</v>
      </c>
      <c r="D17" s="66">
        <v>2818.75</v>
      </c>
      <c r="E17" s="66">
        <v>1035.76</v>
      </c>
      <c r="F17" s="66">
        <v>0</v>
      </c>
      <c r="G17" s="66">
        <v>0</v>
      </c>
      <c r="H17" s="66">
        <v>0</v>
      </c>
      <c r="I17" s="66">
        <v>52766</v>
      </c>
      <c r="J17" s="66">
        <v>43125</v>
      </c>
      <c r="K17" s="66">
        <v>-9641</v>
      </c>
      <c r="L17" s="66">
        <v>0</v>
      </c>
      <c r="M17" s="66">
        <v>6702</v>
      </c>
      <c r="N17" s="66">
        <v>6250</v>
      </c>
      <c r="O17" s="66">
        <v>-452</v>
      </c>
      <c r="P17" s="66">
        <v>1454</v>
      </c>
      <c r="Q17" s="66">
        <v>949</v>
      </c>
      <c r="R17" s="66">
        <v>3250</v>
      </c>
      <c r="S17" s="66">
        <v>847</v>
      </c>
      <c r="T17" s="66">
        <v>278.5</v>
      </c>
      <c r="U17" s="66">
        <v>378.125</v>
      </c>
      <c r="V17" s="66">
        <v>99.625</v>
      </c>
      <c r="W17" s="66">
        <v>284.83</v>
      </c>
      <c r="X17" s="66">
        <v>275</v>
      </c>
      <c r="Y17" s="66">
        <v>-9.83</v>
      </c>
      <c r="Z17" s="66" t="str">
        <f>_xlfn.XLOOKUP(REALIZADO[[#This Row],[PDV]],PROJEÇÃO[PDV],PROJEÇÃO[COORDENAÇÃO])</f>
        <v>ARIEL</v>
      </c>
    </row>
    <row r="18" spans="1:26" x14ac:dyDescent="0.35">
      <c r="A18" t="s">
        <v>95</v>
      </c>
      <c r="B18" t="s">
        <v>30</v>
      </c>
      <c r="C18" s="66">
        <v>1340</v>
      </c>
      <c r="D18" s="66">
        <v>1691.25</v>
      </c>
      <c r="E18" s="66">
        <v>351.25</v>
      </c>
      <c r="F18" s="66">
        <v>0</v>
      </c>
      <c r="G18" s="66">
        <v>0</v>
      </c>
      <c r="H18" s="66">
        <v>0</v>
      </c>
      <c r="I18" s="66">
        <v>21299</v>
      </c>
      <c r="J18" s="66">
        <v>25875</v>
      </c>
      <c r="K18" s="66">
        <v>4576</v>
      </c>
      <c r="L18" s="66">
        <v>279</v>
      </c>
      <c r="M18" s="66">
        <v>1616</v>
      </c>
      <c r="N18" s="66">
        <v>3750</v>
      </c>
      <c r="O18" s="66">
        <v>1855</v>
      </c>
      <c r="P18" s="66">
        <v>1247</v>
      </c>
      <c r="Q18" s="66">
        <v>712</v>
      </c>
      <c r="R18" s="66">
        <v>1950</v>
      </c>
      <c r="S18" s="66">
        <v>-9</v>
      </c>
      <c r="T18" s="66">
        <v>100.4</v>
      </c>
      <c r="U18" s="66">
        <v>226.875</v>
      </c>
      <c r="V18" s="66">
        <v>126.47499999999999</v>
      </c>
      <c r="W18" s="66">
        <v>154.88</v>
      </c>
      <c r="X18" s="66">
        <v>165</v>
      </c>
      <c r="Y18" s="66">
        <v>10.119999999999999</v>
      </c>
      <c r="Z18" s="66" t="str">
        <f>_xlfn.XLOOKUP(REALIZADO[[#This Row],[PDV]],PROJEÇÃO[PDV],PROJEÇÃO[COORDENAÇÃO])</f>
        <v>ARIEL</v>
      </c>
    </row>
    <row r="19" spans="1:26" x14ac:dyDescent="0.35">
      <c r="A19" t="s">
        <v>96</v>
      </c>
      <c r="B19" t="s">
        <v>43</v>
      </c>
      <c r="C19" s="66">
        <v>2126</v>
      </c>
      <c r="D19" s="66">
        <v>2273.3332999999998</v>
      </c>
      <c r="E19" s="66">
        <v>147.33330000000001</v>
      </c>
      <c r="F19" s="66">
        <v>554.9</v>
      </c>
      <c r="G19" s="66">
        <v>1173.3333</v>
      </c>
      <c r="H19" s="66">
        <v>618.43330000000003</v>
      </c>
      <c r="I19" s="66">
        <v>21592</v>
      </c>
      <c r="J19" s="66">
        <v>26333.333299999998</v>
      </c>
      <c r="K19" s="66">
        <v>4741.3333000000002</v>
      </c>
      <c r="L19" s="66">
        <v>0</v>
      </c>
      <c r="M19" s="66">
        <v>4004</v>
      </c>
      <c r="N19" s="66">
        <v>3400</v>
      </c>
      <c r="O19" s="66">
        <v>-604</v>
      </c>
      <c r="P19" s="66">
        <v>594</v>
      </c>
      <c r="Q19" s="66">
        <v>566</v>
      </c>
      <c r="R19" s="66">
        <v>2166.6667000000002</v>
      </c>
      <c r="S19" s="66">
        <v>1006.6667</v>
      </c>
      <c r="T19" s="66">
        <v>194.6</v>
      </c>
      <c r="U19" s="66">
        <v>212.66669999999999</v>
      </c>
      <c r="V19" s="66">
        <v>18.066700000000001</v>
      </c>
      <c r="W19" s="66">
        <v>232.88</v>
      </c>
      <c r="X19" s="66">
        <v>238.33330000000001</v>
      </c>
      <c r="Y19" s="66">
        <v>5.4532999999999996</v>
      </c>
      <c r="Z19" s="66" t="str">
        <f>_xlfn.XLOOKUP(REALIZADO[[#This Row],[PDV]],PROJEÇÃO[PDV],PROJEÇÃO[COORDENAÇÃO])</f>
        <v>LUIZ</v>
      </c>
    </row>
    <row r="20" spans="1:26" x14ac:dyDescent="0.35">
      <c r="A20" t="s">
        <v>97</v>
      </c>
      <c r="B20" t="s">
        <v>43</v>
      </c>
      <c r="C20" s="66">
        <v>1531.99</v>
      </c>
      <c r="D20" s="66">
        <v>2273.3332999999998</v>
      </c>
      <c r="E20" s="66">
        <v>741.3433</v>
      </c>
      <c r="F20" s="66">
        <v>340</v>
      </c>
      <c r="G20" s="66">
        <v>1173.3333</v>
      </c>
      <c r="H20" s="66">
        <v>833.33330000000001</v>
      </c>
      <c r="I20" s="66">
        <v>15370</v>
      </c>
      <c r="J20" s="66">
        <v>26333.333299999998</v>
      </c>
      <c r="K20" s="66">
        <v>10963.3333</v>
      </c>
      <c r="L20" s="66">
        <v>0</v>
      </c>
      <c r="M20" s="66">
        <v>1227</v>
      </c>
      <c r="N20" s="66">
        <v>3400</v>
      </c>
      <c r="O20" s="66">
        <v>2173</v>
      </c>
      <c r="P20" s="66">
        <v>1227</v>
      </c>
      <c r="Q20" s="66">
        <v>644</v>
      </c>
      <c r="R20" s="66">
        <v>2166.6667000000002</v>
      </c>
      <c r="S20" s="66">
        <v>295.66669999999999</v>
      </c>
      <c r="T20" s="66">
        <v>148.9</v>
      </c>
      <c r="U20" s="66">
        <v>212.66669999999999</v>
      </c>
      <c r="V20" s="66">
        <v>63.7667</v>
      </c>
      <c r="W20" s="66">
        <v>243.39</v>
      </c>
      <c r="X20" s="66">
        <v>238.33330000000001</v>
      </c>
      <c r="Y20" s="66">
        <v>-5.0567000000000002</v>
      </c>
      <c r="Z20" s="66" t="str">
        <f>_xlfn.XLOOKUP(REALIZADO[[#This Row],[PDV]],PROJEÇÃO[PDV],PROJEÇÃO[COORDENAÇÃO])</f>
        <v>LUIZ</v>
      </c>
    </row>
    <row r="21" spans="1:26" x14ac:dyDescent="0.35">
      <c r="A21" t="s">
        <v>98</v>
      </c>
      <c r="B21" t="s">
        <v>43</v>
      </c>
      <c r="C21" s="66">
        <v>1617.99</v>
      </c>
      <c r="D21" s="66">
        <v>2273.3332999999998</v>
      </c>
      <c r="E21" s="66">
        <v>655.3433</v>
      </c>
      <c r="F21" s="66">
        <v>860</v>
      </c>
      <c r="G21" s="66">
        <v>1173.3333</v>
      </c>
      <c r="H21" s="66">
        <v>313.33330000000001</v>
      </c>
      <c r="I21" s="66">
        <v>15572</v>
      </c>
      <c r="J21" s="66">
        <v>26333.333299999998</v>
      </c>
      <c r="K21" s="66">
        <v>10761.3333</v>
      </c>
      <c r="L21" s="66">
        <v>0</v>
      </c>
      <c r="M21" s="66">
        <v>1337</v>
      </c>
      <c r="N21" s="66">
        <v>3400</v>
      </c>
      <c r="O21" s="66">
        <v>2063</v>
      </c>
      <c r="P21" s="66">
        <v>742</v>
      </c>
      <c r="Q21" s="66">
        <v>813</v>
      </c>
      <c r="R21" s="66">
        <v>2166.6667000000002</v>
      </c>
      <c r="S21" s="66">
        <v>611.66669999999999</v>
      </c>
      <c r="T21" s="66">
        <v>291.2</v>
      </c>
      <c r="U21" s="66">
        <v>212.66669999999999</v>
      </c>
      <c r="V21" s="66">
        <v>-78.533299999999997</v>
      </c>
      <c r="W21" s="66">
        <v>165.29</v>
      </c>
      <c r="X21" s="66">
        <v>238.33330000000001</v>
      </c>
      <c r="Y21" s="66">
        <v>73.043300000000002</v>
      </c>
      <c r="Z21" s="66" t="str">
        <f>_xlfn.XLOOKUP(REALIZADO[[#This Row],[PDV]],PROJEÇÃO[PDV],PROJEÇÃO[COORDENAÇÃO])</f>
        <v>LUIZ</v>
      </c>
    </row>
    <row r="22" spans="1:26" x14ac:dyDescent="0.35">
      <c r="A22" t="s">
        <v>99</v>
      </c>
      <c r="B22" t="s">
        <v>44</v>
      </c>
      <c r="C22" s="66">
        <v>2916</v>
      </c>
      <c r="D22" s="66">
        <v>5665</v>
      </c>
      <c r="E22" s="66">
        <v>2749</v>
      </c>
      <c r="F22" s="66">
        <v>960</v>
      </c>
      <c r="G22" s="66">
        <v>1925</v>
      </c>
      <c r="H22" s="66">
        <v>965</v>
      </c>
      <c r="I22" s="66">
        <v>29459</v>
      </c>
      <c r="J22" s="66">
        <v>49500</v>
      </c>
      <c r="K22" s="66">
        <v>20041</v>
      </c>
      <c r="L22" s="66">
        <v>2799</v>
      </c>
      <c r="M22" s="66">
        <v>1393</v>
      </c>
      <c r="N22" s="66">
        <v>6500</v>
      </c>
      <c r="O22" s="66">
        <v>2308</v>
      </c>
      <c r="P22" s="66">
        <v>1575</v>
      </c>
      <c r="Q22" s="66">
        <v>554</v>
      </c>
      <c r="R22" s="66">
        <v>4000</v>
      </c>
      <c r="S22" s="66">
        <v>1871</v>
      </c>
      <c r="T22" s="66">
        <v>192.4</v>
      </c>
      <c r="U22" s="66">
        <v>434.5</v>
      </c>
      <c r="V22" s="66">
        <v>242.1</v>
      </c>
      <c r="W22" s="66">
        <v>243.79</v>
      </c>
      <c r="X22" s="66">
        <v>412.5</v>
      </c>
      <c r="Y22" s="66">
        <v>168.71</v>
      </c>
      <c r="Z22" s="66" t="str">
        <f>_xlfn.XLOOKUP(REALIZADO[[#This Row],[PDV]],PROJEÇÃO[PDV],PROJEÇÃO[COORDENAÇÃO])</f>
        <v>THAYANDRA</v>
      </c>
    </row>
    <row r="23" spans="1:26" x14ac:dyDescent="0.35">
      <c r="A23" t="s">
        <v>100</v>
      </c>
      <c r="B23" t="s">
        <v>44</v>
      </c>
      <c r="C23" s="66">
        <v>3679</v>
      </c>
      <c r="D23" s="66">
        <v>5665</v>
      </c>
      <c r="E23" s="66">
        <v>1986</v>
      </c>
      <c r="F23" s="66">
        <v>478.98</v>
      </c>
      <c r="G23" s="66">
        <v>1925</v>
      </c>
      <c r="H23" s="66">
        <v>1446.02</v>
      </c>
      <c r="I23" s="66">
        <v>34851.050000000003</v>
      </c>
      <c r="J23" s="66">
        <v>49500</v>
      </c>
      <c r="K23" s="66">
        <v>14648.95</v>
      </c>
      <c r="L23" s="66">
        <v>2799</v>
      </c>
      <c r="M23" s="66">
        <v>796</v>
      </c>
      <c r="N23" s="66">
        <v>6500</v>
      </c>
      <c r="O23" s="66">
        <v>2905</v>
      </c>
      <c r="P23" s="66">
        <v>1663</v>
      </c>
      <c r="Q23" s="66">
        <v>1418</v>
      </c>
      <c r="R23" s="66">
        <v>4000</v>
      </c>
      <c r="S23" s="66">
        <v>919</v>
      </c>
      <c r="T23" s="66">
        <v>271.2</v>
      </c>
      <c r="U23" s="66">
        <v>434.5</v>
      </c>
      <c r="V23" s="66">
        <v>163.30000000000001</v>
      </c>
      <c r="W23" s="66">
        <v>464.9</v>
      </c>
      <c r="X23" s="66">
        <v>412.5</v>
      </c>
      <c r="Y23" s="66">
        <v>-52.4</v>
      </c>
      <c r="Z23" s="66" t="str">
        <f>_xlfn.XLOOKUP(REALIZADO[[#This Row],[PDV]],PROJEÇÃO[PDV],PROJEÇÃO[COORDENAÇÃO])</f>
        <v>THAYANDRA</v>
      </c>
    </row>
    <row r="24" spans="1:26" x14ac:dyDescent="0.35">
      <c r="A24" t="s">
        <v>101</v>
      </c>
      <c r="B24" t="s">
        <v>40</v>
      </c>
      <c r="C24" s="66">
        <v>1542</v>
      </c>
      <c r="D24" s="66">
        <v>2860</v>
      </c>
      <c r="E24" s="66">
        <v>1318</v>
      </c>
      <c r="F24" s="66">
        <v>465</v>
      </c>
      <c r="G24" s="66">
        <v>1897.5</v>
      </c>
      <c r="H24" s="66">
        <v>1432.5</v>
      </c>
      <c r="I24" s="66">
        <v>26249</v>
      </c>
      <c r="J24" s="66">
        <v>49500</v>
      </c>
      <c r="K24" s="66">
        <v>23251</v>
      </c>
      <c r="L24" s="66">
        <v>0</v>
      </c>
      <c r="M24" s="66">
        <v>1348</v>
      </c>
      <c r="N24" s="66">
        <v>3250</v>
      </c>
      <c r="O24" s="66">
        <v>1902</v>
      </c>
      <c r="P24" s="66">
        <v>810</v>
      </c>
      <c r="Q24" s="66">
        <v>466</v>
      </c>
      <c r="R24" s="66">
        <v>3250</v>
      </c>
      <c r="S24" s="66">
        <v>1974</v>
      </c>
      <c r="T24" s="66">
        <v>108.3</v>
      </c>
      <c r="U24" s="66">
        <v>233.75</v>
      </c>
      <c r="V24" s="66">
        <v>125.45</v>
      </c>
      <c r="W24" s="66">
        <v>169.5</v>
      </c>
      <c r="X24" s="66">
        <v>275</v>
      </c>
      <c r="Y24" s="66">
        <v>105.5</v>
      </c>
      <c r="Z24" s="66" t="str">
        <f>_xlfn.XLOOKUP(REALIZADO[[#This Row],[PDV]],PROJEÇÃO[PDV],PROJEÇÃO[COORDENAÇÃO])</f>
        <v>THAYANDRA</v>
      </c>
    </row>
    <row r="25" spans="1:26" x14ac:dyDescent="0.35">
      <c r="A25" t="s">
        <v>102</v>
      </c>
      <c r="B25" t="s">
        <v>40</v>
      </c>
      <c r="C25" s="66">
        <v>990.99</v>
      </c>
      <c r="D25" s="66">
        <v>2860</v>
      </c>
      <c r="E25" s="66">
        <v>1869.01</v>
      </c>
      <c r="F25" s="66">
        <v>540</v>
      </c>
      <c r="G25" s="66">
        <v>1897.5</v>
      </c>
      <c r="H25" s="66">
        <v>1357.5</v>
      </c>
      <c r="I25" s="66">
        <v>18443</v>
      </c>
      <c r="J25" s="66">
        <v>49500</v>
      </c>
      <c r="K25" s="66">
        <v>31057</v>
      </c>
      <c r="L25" s="66">
        <v>0</v>
      </c>
      <c r="M25" s="66">
        <v>1617</v>
      </c>
      <c r="N25" s="66">
        <v>3250</v>
      </c>
      <c r="O25" s="66">
        <v>1633</v>
      </c>
      <c r="P25" s="66">
        <v>832</v>
      </c>
      <c r="Q25" s="66">
        <v>823</v>
      </c>
      <c r="R25" s="66">
        <v>3250</v>
      </c>
      <c r="S25" s="66">
        <v>1595</v>
      </c>
      <c r="T25" s="66">
        <v>44.8</v>
      </c>
      <c r="U25" s="66">
        <v>233.75</v>
      </c>
      <c r="V25" s="66">
        <v>188.95</v>
      </c>
      <c r="W25" s="66">
        <v>136.80000000000001</v>
      </c>
      <c r="X25" s="66">
        <v>275</v>
      </c>
      <c r="Y25" s="66">
        <v>138.19999999999999</v>
      </c>
      <c r="Z25" s="66" t="str">
        <f>_xlfn.XLOOKUP(REALIZADO[[#This Row],[PDV]],PROJEÇÃO[PDV],PROJEÇÃO[COORDENAÇÃO])</f>
        <v>THAYANDRA</v>
      </c>
    </row>
    <row r="26" spans="1:26" x14ac:dyDescent="0.35">
      <c r="A26" t="s">
        <v>103</v>
      </c>
      <c r="B26" t="s">
        <v>46</v>
      </c>
      <c r="C26" s="66">
        <v>2500.98</v>
      </c>
      <c r="D26" s="66">
        <v>3578.4562999999998</v>
      </c>
      <c r="E26" s="66">
        <v>1077.4763</v>
      </c>
      <c r="F26" s="66">
        <v>1194</v>
      </c>
      <c r="G26" s="66">
        <v>1538.3417999999999</v>
      </c>
      <c r="H26" s="66">
        <v>344.34179999999998</v>
      </c>
      <c r="I26" s="66">
        <v>28857</v>
      </c>
      <c r="J26" s="66">
        <v>31950.5635</v>
      </c>
      <c r="K26" s="66">
        <v>3093.5635000000002</v>
      </c>
      <c r="L26" s="66">
        <v>0</v>
      </c>
      <c r="M26" s="66">
        <v>2935</v>
      </c>
      <c r="N26" s="66">
        <v>3592.5437000000002</v>
      </c>
      <c r="O26" s="66">
        <v>657.54369999999994</v>
      </c>
      <c r="P26" s="66">
        <v>641</v>
      </c>
      <c r="Q26" s="66">
        <v>960</v>
      </c>
      <c r="R26" s="66">
        <v>1972.2221999999999</v>
      </c>
      <c r="S26" s="66">
        <v>371.22219999999999</v>
      </c>
      <c r="T26" s="66">
        <v>163.9</v>
      </c>
      <c r="U26" s="66">
        <v>201.44839999999999</v>
      </c>
      <c r="V26" s="66">
        <v>37.548400000000001</v>
      </c>
      <c r="W26" s="66">
        <v>124.4</v>
      </c>
      <c r="X26" s="66">
        <v>211.33770000000001</v>
      </c>
      <c r="Y26" s="66">
        <v>86.937700000000007</v>
      </c>
      <c r="Z26" s="66" t="str">
        <f>_xlfn.XLOOKUP(REALIZADO[[#This Row],[PDV]],PROJEÇÃO[PDV],PROJEÇÃO[COORDENAÇÃO])</f>
        <v>THAYANDRA</v>
      </c>
    </row>
    <row r="27" spans="1:26" x14ac:dyDescent="0.35">
      <c r="A27" t="s">
        <v>104</v>
      </c>
      <c r="B27" t="s">
        <v>46</v>
      </c>
      <c r="C27" s="66">
        <v>2583.9899999999998</v>
      </c>
      <c r="D27" s="66">
        <v>3578.4562999999998</v>
      </c>
      <c r="E27" s="66">
        <v>994.46630000000005</v>
      </c>
      <c r="F27" s="66">
        <v>945</v>
      </c>
      <c r="G27" s="66">
        <v>1538.3417999999999</v>
      </c>
      <c r="H27" s="66">
        <v>593.34180000000003</v>
      </c>
      <c r="I27" s="66">
        <v>37745</v>
      </c>
      <c r="J27" s="66">
        <v>31950.5635</v>
      </c>
      <c r="K27" s="66">
        <v>-5794.4364999999998</v>
      </c>
      <c r="L27" s="66">
        <v>0</v>
      </c>
      <c r="M27" s="66">
        <v>4305</v>
      </c>
      <c r="N27" s="66">
        <v>3592.5437000000002</v>
      </c>
      <c r="O27" s="66">
        <v>-712.45630000000006</v>
      </c>
      <c r="P27" s="66">
        <v>1115</v>
      </c>
      <c r="Q27" s="66">
        <v>1704</v>
      </c>
      <c r="R27" s="66">
        <v>1972.2221999999999</v>
      </c>
      <c r="S27" s="66">
        <v>-846.77779999999996</v>
      </c>
      <c r="T27" s="66">
        <v>222.3</v>
      </c>
      <c r="U27" s="66">
        <v>201.44839999999999</v>
      </c>
      <c r="V27" s="66">
        <v>-20.851600000000001</v>
      </c>
      <c r="W27" s="66">
        <v>154.69999999999999</v>
      </c>
      <c r="X27" s="66">
        <v>211.33770000000001</v>
      </c>
      <c r="Y27" s="66">
        <v>56.637700000000002</v>
      </c>
      <c r="Z27" s="66" t="str">
        <f>_xlfn.XLOOKUP(REALIZADO[[#This Row],[PDV]],PROJEÇÃO[PDV],PROJEÇÃO[COORDENAÇÃO])</f>
        <v>THAYANDRA</v>
      </c>
    </row>
    <row r="28" spans="1:26" x14ac:dyDescent="0.35">
      <c r="A28" t="s">
        <v>105</v>
      </c>
      <c r="B28" t="s">
        <v>46</v>
      </c>
      <c r="C28" s="66">
        <v>114</v>
      </c>
      <c r="D28" s="66">
        <v>114</v>
      </c>
      <c r="E28" s="66">
        <v>0</v>
      </c>
      <c r="F28" s="66">
        <v>209.99</v>
      </c>
      <c r="G28" s="66">
        <v>369.97</v>
      </c>
      <c r="H28" s="66">
        <v>159.97999999999999</v>
      </c>
      <c r="I28" s="66">
        <v>11598</v>
      </c>
      <c r="J28" s="66">
        <v>11598</v>
      </c>
      <c r="K28" s="66">
        <v>0</v>
      </c>
      <c r="L28" s="66">
        <v>0</v>
      </c>
      <c r="M28" s="66">
        <v>249</v>
      </c>
      <c r="N28" s="66">
        <v>249</v>
      </c>
      <c r="O28" s="66">
        <v>0</v>
      </c>
      <c r="P28" s="66">
        <v>0</v>
      </c>
      <c r="Q28" s="66">
        <v>0</v>
      </c>
      <c r="R28" s="66">
        <v>0</v>
      </c>
      <c r="S28" s="66">
        <v>0</v>
      </c>
      <c r="T28" s="66">
        <v>0</v>
      </c>
      <c r="U28" s="66">
        <v>0</v>
      </c>
      <c r="V28" s="66">
        <v>0</v>
      </c>
      <c r="W28" s="66">
        <v>74.900000000000006</v>
      </c>
      <c r="X28" s="66">
        <v>74.900000000000006</v>
      </c>
      <c r="Y28" s="66">
        <v>0</v>
      </c>
      <c r="Z28" s="66" t="str">
        <f>_xlfn.XLOOKUP(REALIZADO[[#This Row],[PDV]],PROJEÇÃO[PDV],PROJEÇÃO[COORDENAÇÃO])</f>
        <v>THAYANDRA</v>
      </c>
    </row>
    <row r="29" spans="1:26" x14ac:dyDescent="0.35">
      <c r="A29" t="s">
        <v>106</v>
      </c>
      <c r="B29" t="s">
        <v>46</v>
      </c>
      <c r="C29" s="66">
        <v>1029</v>
      </c>
      <c r="D29" s="66">
        <v>1965.6310000000001</v>
      </c>
      <c r="E29" s="66">
        <v>936.63099999999997</v>
      </c>
      <c r="F29" s="66">
        <v>295</v>
      </c>
      <c r="G29" s="66">
        <v>845.00459999999998</v>
      </c>
      <c r="H29" s="66">
        <v>550.00459999999998</v>
      </c>
      <c r="I29" s="66">
        <v>15046</v>
      </c>
      <c r="J29" s="66">
        <v>17550.309499999999</v>
      </c>
      <c r="K29" s="66">
        <v>2504.3094999999998</v>
      </c>
      <c r="L29" s="66">
        <v>0</v>
      </c>
      <c r="M29" s="66">
        <v>0</v>
      </c>
      <c r="N29" s="66">
        <v>1973.3689999999999</v>
      </c>
      <c r="O29" s="66">
        <v>1973.3689999999999</v>
      </c>
      <c r="P29" s="66">
        <v>414</v>
      </c>
      <c r="Q29" s="66">
        <v>305</v>
      </c>
      <c r="R29" s="66">
        <v>1083.3333</v>
      </c>
      <c r="S29" s="66">
        <v>364.33330000000001</v>
      </c>
      <c r="T29" s="66">
        <v>69.900000000000006</v>
      </c>
      <c r="U29" s="66">
        <v>110.65479999999999</v>
      </c>
      <c r="V29" s="66">
        <v>40.754800000000003</v>
      </c>
      <c r="W29" s="66">
        <v>90</v>
      </c>
      <c r="X29" s="66">
        <v>116.0869</v>
      </c>
      <c r="Y29" s="66">
        <v>26.0869</v>
      </c>
      <c r="Z29" s="66" t="str">
        <f>_xlfn.XLOOKUP(REALIZADO[[#This Row],[PDV]],PROJEÇÃO[PDV],PROJEÇÃO[COORDENAÇÃO])</f>
        <v>THAYANDRA</v>
      </c>
    </row>
    <row r="30" spans="1:26" x14ac:dyDescent="0.35">
      <c r="A30" t="s">
        <v>107</v>
      </c>
      <c r="B30" t="s">
        <v>46</v>
      </c>
      <c r="C30" s="66">
        <v>1449</v>
      </c>
      <c r="D30" s="66">
        <v>3578.4562999999998</v>
      </c>
      <c r="E30" s="66">
        <v>2129.4562999999998</v>
      </c>
      <c r="F30" s="66">
        <v>995</v>
      </c>
      <c r="G30" s="66">
        <v>1538.3417999999999</v>
      </c>
      <c r="H30" s="66">
        <v>543.34180000000003</v>
      </c>
      <c r="I30" s="66">
        <v>24045</v>
      </c>
      <c r="J30" s="66">
        <v>31950.5635</v>
      </c>
      <c r="K30" s="66">
        <v>7905.5635000000002</v>
      </c>
      <c r="L30" s="66">
        <v>0</v>
      </c>
      <c r="M30" s="66">
        <v>1448</v>
      </c>
      <c r="N30" s="66">
        <v>3592.5437000000002</v>
      </c>
      <c r="O30" s="66">
        <v>2144.5437000000002</v>
      </c>
      <c r="P30" s="66">
        <v>238</v>
      </c>
      <c r="Q30" s="66">
        <v>377</v>
      </c>
      <c r="R30" s="66">
        <v>1972.2221999999999</v>
      </c>
      <c r="S30" s="66">
        <v>1357.2221999999999</v>
      </c>
      <c r="T30" s="66">
        <v>29.9</v>
      </c>
      <c r="U30" s="66">
        <v>201.44839999999999</v>
      </c>
      <c r="V30" s="66">
        <v>171.54839999999999</v>
      </c>
      <c r="W30" s="66">
        <v>113.6</v>
      </c>
      <c r="X30" s="66">
        <v>211.33770000000001</v>
      </c>
      <c r="Y30" s="66">
        <v>97.737700000000004</v>
      </c>
      <c r="Z30" s="66" t="str">
        <f>_xlfn.XLOOKUP(REALIZADO[[#This Row],[PDV]],PROJEÇÃO[PDV],PROJEÇÃO[COORDENAÇÃO])</f>
        <v>THAYANDRA</v>
      </c>
    </row>
    <row r="31" spans="1:26" x14ac:dyDescent="0.35">
      <c r="A31" t="s">
        <v>108</v>
      </c>
      <c r="B31" t="s">
        <v>47</v>
      </c>
      <c r="C31" s="66">
        <v>917.99</v>
      </c>
      <c r="D31" s="66">
        <v>2688.8888999999999</v>
      </c>
      <c r="E31" s="66">
        <v>1770.8988999999999</v>
      </c>
      <c r="F31" s="66">
        <v>474.99</v>
      </c>
      <c r="G31" s="66">
        <v>1662.2221999999999</v>
      </c>
      <c r="H31" s="66">
        <v>1187.2321999999999</v>
      </c>
      <c r="I31" s="66">
        <v>16623</v>
      </c>
      <c r="J31" s="66">
        <v>22222.2222</v>
      </c>
      <c r="K31" s="66">
        <v>5599.2222000000002</v>
      </c>
      <c r="L31" s="66">
        <v>0</v>
      </c>
      <c r="M31" s="66">
        <v>628</v>
      </c>
      <c r="N31" s="66">
        <v>2444.4443999999999</v>
      </c>
      <c r="O31" s="66">
        <v>1816.4444000000001</v>
      </c>
      <c r="P31" s="66">
        <v>690</v>
      </c>
      <c r="Q31" s="66">
        <v>644</v>
      </c>
      <c r="R31" s="66">
        <v>2000</v>
      </c>
      <c r="S31" s="66">
        <v>666</v>
      </c>
      <c r="T31" s="66">
        <v>74.7</v>
      </c>
      <c r="U31" s="66">
        <v>171.11109999999999</v>
      </c>
      <c r="V31" s="66">
        <v>96.411100000000005</v>
      </c>
      <c r="W31" s="66">
        <v>64.7</v>
      </c>
      <c r="X31" s="66">
        <v>195.5556</v>
      </c>
      <c r="Y31" s="66">
        <v>130.85560000000001</v>
      </c>
      <c r="Z31" s="66" t="str">
        <f>_xlfn.XLOOKUP(REALIZADO[[#This Row],[PDV]],PROJEÇÃO[PDV],PROJEÇÃO[COORDENAÇÃO])</f>
        <v>LUIZ</v>
      </c>
    </row>
    <row r="32" spans="1:26" x14ac:dyDescent="0.35">
      <c r="A32" t="s">
        <v>109</v>
      </c>
      <c r="B32" t="s">
        <v>47</v>
      </c>
      <c r="C32" s="66">
        <v>1531</v>
      </c>
      <c r="D32" s="66">
        <v>3361.1111000000001</v>
      </c>
      <c r="E32" s="66">
        <v>1830.1111000000001</v>
      </c>
      <c r="F32" s="66">
        <v>850</v>
      </c>
      <c r="G32" s="66">
        <v>2077.7777999999998</v>
      </c>
      <c r="H32" s="66">
        <v>1227.7778000000001</v>
      </c>
      <c r="I32" s="66">
        <v>17893</v>
      </c>
      <c r="J32" s="66">
        <v>27777.7778</v>
      </c>
      <c r="K32" s="66">
        <v>9884.7777999999998</v>
      </c>
      <c r="L32" s="66">
        <v>0</v>
      </c>
      <c r="M32" s="66">
        <v>1355</v>
      </c>
      <c r="N32" s="66">
        <v>3055.5556000000001</v>
      </c>
      <c r="O32" s="66">
        <v>1700.5555999999999</v>
      </c>
      <c r="P32" s="66">
        <v>483</v>
      </c>
      <c r="Q32" s="66">
        <v>974</v>
      </c>
      <c r="R32" s="66">
        <v>2500</v>
      </c>
      <c r="S32" s="66">
        <v>1043</v>
      </c>
      <c r="T32" s="66">
        <v>74.7</v>
      </c>
      <c r="U32" s="66">
        <v>213.88890000000001</v>
      </c>
      <c r="V32" s="66">
        <v>139.18889999999999</v>
      </c>
      <c r="W32" s="66">
        <v>158.9</v>
      </c>
      <c r="X32" s="66">
        <v>244.4444</v>
      </c>
      <c r="Y32" s="66">
        <v>85.544399999999996</v>
      </c>
      <c r="Z32" s="66" t="str">
        <f>_xlfn.XLOOKUP(REALIZADO[[#This Row],[PDV]],PROJEÇÃO[PDV],PROJEÇÃO[COORDENAÇÃO])</f>
        <v>LUIZ</v>
      </c>
    </row>
    <row r="33" spans="1:26" x14ac:dyDescent="0.35">
      <c r="A33" t="s">
        <v>110</v>
      </c>
      <c r="B33" t="s">
        <v>41</v>
      </c>
      <c r="C33" s="66">
        <v>1840.99</v>
      </c>
      <c r="D33" s="66">
        <v>5481.6666999999998</v>
      </c>
      <c r="E33" s="66">
        <v>3640.6767</v>
      </c>
      <c r="F33" s="66">
        <v>230</v>
      </c>
      <c r="G33" s="66">
        <v>3080</v>
      </c>
      <c r="H33" s="66">
        <v>2850</v>
      </c>
      <c r="I33" s="66">
        <v>25540</v>
      </c>
      <c r="J33" s="66">
        <v>83333.333299999998</v>
      </c>
      <c r="K33" s="66">
        <v>57793.333299999998</v>
      </c>
      <c r="L33" s="66">
        <v>0</v>
      </c>
      <c r="M33" s="66">
        <v>1097</v>
      </c>
      <c r="N33" s="66">
        <v>7333.3333000000002</v>
      </c>
      <c r="O33" s="66">
        <v>6236.3333000000002</v>
      </c>
      <c r="P33" s="66">
        <v>712</v>
      </c>
      <c r="Q33" s="66">
        <v>465</v>
      </c>
      <c r="R33" s="66">
        <v>4000</v>
      </c>
      <c r="S33" s="66">
        <v>2823</v>
      </c>
      <c r="T33" s="66">
        <v>204.7</v>
      </c>
      <c r="U33" s="66">
        <v>586.66669999999999</v>
      </c>
      <c r="V33" s="66">
        <v>381.9667</v>
      </c>
      <c r="W33" s="66">
        <v>199.7</v>
      </c>
      <c r="X33" s="66">
        <v>513.33330000000001</v>
      </c>
      <c r="Y33" s="66">
        <v>313.63330000000002</v>
      </c>
      <c r="Z33" s="66" t="str">
        <f>_xlfn.XLOOKUP(REALIZADO[[#This Row],[PDV]],PROJEÇÃO[PDV],PROJEÇÃO[COORDENAÇÃO])</f>
        <v>LUIZ</v>
      </c>
    </row>
    <row r="34" spans="1:26" x14ac:dyDescent="0.35">
      <c r="A34" t="s">
        <v>111</v>
      </c>
      <c r="B34" t="s">
        <v>41</v>
      </c>
      <c r="C34" s="66">
        <v>4140.95</v>
      </c>
      <c r="D34" s="66">
        <v>5481.6666999999998</v>
      </c>
      <c r="E34" s="66">
        <v>1340.7166999999999</v>
      </c>
      <c r="F34" s="66">
        <v>1447</v>
      </c>
      <c r="G34" s="66">
        <v>3080</v>
      </c>
      <c r="H34" s="66">
        <v>1633</v>
      </c>
      <c r="I34" s="66">
        <v>129442</v>
      </c>
      <c r="J34" s="66">
        <v>83333.333299999998</v>
      </c>
      <c r="K34" s="66">
        <v>-46108.666700000002</v>
      </c>
      <c r="L34" s="66">
        <v>0</v>
      </c>
      <c r="M34" s="66">
        <v>10691</v>
      </c>
      <c r="N34" s="66">
        <v>7333.3333000000002</v>
      </c>
      <c r="O34" s="66">
        <v>-3357.6667000000002</v>
      </c>
      <c r="P34" s="66">
        <v>2188</v>
      </c>
      <c r="Q34" s="66">
        <v>2799</v>
      </c>
      <c r="R34" s="66">
        <v>4000</v>
      </c>
      <c r="S34" s="66">
        <v>-987</v>
      </c>
      <c r="T34" s="66">
        <v>517</v>
      </c>
      <c r="U34" s="66">
        <v>586.66669999999999</v>
      </c>
      <c r="V34" s="66">
        <v>69.666700000000006</v>
      </c>
      <c r="W34" s="66">
        <v>436.7</v>
      </c>
      <c r="X34" s="66">
        <v>513.33330000000001</v>
      </c>
      <c r="Y34" s="66">
        <v>76.633300000000006</v>
      </c>
      <c r="Z34" s="66" t="str">
        <f>_xlfn.XLOOKUP(REALIZADO[[#This Row],[PDV]],PROJEÇÃO[PDV],PROJEÇÃO[COORDENAÇÃO])</f>
        <v>LUIZ</v>
      </c>
    </row>
    <row r="35" spans="1:26" x14ac:dyDescent="0.35">
      <c r="A35" t="s">
        <v>112</v>
      </c>
      <c r="B35" t="s">
        <v>41</v>
      </c>
      <c r="C35" s="66">
        <v>4496.29</v>
      </c>
      <c r="D35" s="66">
        <v>5481.6666999999998</v>
      </c>
      <c r="E35" s="66">
        <v>985.37670000000003</v>
      </c>
      <c r="F35" s="66">
        <v>2505</v>
      </c>
      <c r="G35" s="66">
        <v>3080</v>
      </c>
      <c r="H35" s="66">
        <v>575</v>
      </c>
      <c r="I35" s="66">
        <v>86476</v>
      </c>
      <c r="J35" s="66">
        <v>83333.333299999998</v>
      </c>
      <c r="K35" s="66">
        <v>-3142.6667000000002</v>
      </c>
      <c r="L35" s="66">
        <v>0</v>
      </c>
      <c r="M35" s="66">
        <v>7781</v>
      </c>
      <c r="N35" s="66">
        <v>7333.3333000000002</v>
      </c>
      <c r="O35" s="66">
        <v>-447.66669999999999</v>
      </c>
      <c r="P35" s="66">
        <v>2194</v>
      </c>
      <c r="Q35" s="66">
        <v>1498</v>
      </c>
      <c r="R35" s="66">
        <v>4000</v>
      </c>
      <c r="S35" s="66">
        <v>308</v>
      </c>
      <c r="T35" s="66">
        <v>394.7</v>
      </c>
      <c r="U35" s="66">
        <v>586.66669999999999</v>
      </c>
      <c r="V35" s="66">
        <v>191.9667</v>
      </c>
      <c r="W35" s="66">
        <v>544.75</v>
      </c>
      <c r="X35" s="66">
        <v>513.33330000000001</v>
      </c>
      <c r="Y35" s="66">
        <v>-31.416699999999999</v>
      </c>
      <c r="Z35" s="66" t="str">
        <f>_xlfn.XLOOKUP(REALIZADO[[#This Row],[PDV]],PROJEÇÃO[PDV],PROJEÇÃO[COORDENAÇÃO])</f>
        <v>LUIZ</v>
      </c>
    </row>
    <row r="36" spans="1:26" x14ac:dyDescent="0.35">
      <c r="A36" t="s">
        <v>113</v>
      </c>
      <c r="B36" t="s">
        <v>31</v>
      </c>
      <c r="C36" s="66">
        <v>2974.96</v>
      </c>
      <c r="D36" s="66">
        <v>2805</v>
      </c>
      <c r="E36" s="66">
        <v>-169.96</v>
      </c>
      <c r="F36" s="66">
        <v>0</v>
      </c>
      <c r="G36" s="66">
        <v>0</v>
      </c>
      <c r="H36" s="66">
        <v>0</v>
      </c>
      <c r="I36" s="66">
        <v>41030</v>
      </c>
      <c r="J36" s="66">
        <v>39500</v>
      </c>
      <c r="K36" s="66">
        <v>-1530</v>
      </c>
      <c r="L36" s="66">
        <v>0</v>
      </c>
      <c r="M36" s="66">
        <v>5694</v>
      </c>
      <c r="N36" s="66">
        <v>5000</v>
      </c>
      <c r="O36" s="66">
        <v>-694</v>
      </c>
      <c r="P36" s="66">
        <v>1740</v>
      </c>
      <c r="Q36" s="66">
        <v>1922</v>
      </c>
      <c r="R36" s="66">
        <v>3775</v>
      </c>
      <c r="S36" s="66">
        <v>113</v>
      </c>
      <c r="T36" s="66">
        <v>187.2</v>
      </c>
      <c r="U36" s="66">
        <v>247.5</v>
      </c>
      <c r="V36" s="66">
        <v>60.3</v>
      </c>
      <c r="W36" s="66">
        <v>299.2</v>
      </c>
      <c r="X36" s="66">
        <v>192.5</v>
      </c>
      <c r="Y36" s="66">
        <v>-106.7</v>
      </c>
      <c r="Z36" s="66" t="str">
        <f>_xlfn.XLOOKUP(REALIZADO[[#This Row],[PDV]],PROJEÇÃO[PDV],PROJEÇÃO[COORDENAÇÃO])</f>
        <v>ARIEL</v>
      </c>
    </row>
    <row r="37" spans="1:26" x14ac:dyDescent="0.35">
      <c r="A37" t="s">
        <v>114</v>
      </c>
      <c r="B37" t="s">
        <v>31</v>
      </c>
      <c r="C37" s="66">
        <v>1232</v>
      </c>
      <c r="D37" s="66">
        <v>2805</v>
      </c>
      <c r="E37" s="66">
        <v>1573</v>
      </c>
      <c r="F37" s="66">
        <v>0</v>
      </c>
      <c r="G37" s="66">
        <v>0</v>
      </c>
      <c r="H37" s="66">
        <v>0</v>
      </c>
      <c r="I37" s="66">
        <v>22549</v>
      </c>
      <c r="J37" s="66">
        <v>39500</v>
      </c>
      <c r="K37" s="66">
        <v>16951</v>
      </c>
      <c r="L37" s="66">
        <v>0</v>
      </c>
      <c r="M37" s="66">
        <v>1999</v>
      </c>
      <c r="N37" s="66">
        <v>5000</v>
      </c>
      <c r="O37" s="66">
        <v>3001</v>
      </c>
      <c r="P37" s="66">
        <v>1068</v>
      </c>
      <c r="Q37" s="66">
        <v>1200</v>
      </c>
      <c r="R37" s="66">
        <v>3775</v>
      </c>
      <c r="S37" s="66">
        <v>1507</v>
      </c>
      <c r="T37" s="66">
        <v>31.8</v>
      </c>
      <c r="U37" s="66">
        <v>247.5</v>
      </c>
      <c r="V37" s="66">
        <v>215.7</v>
      </c>
      <c r="W37" s="66">
        <v>94.6</v>
      </c>
      <c r="X37" s="66">
        <v>192.5</v>
      </c>
      <c r="Y37" s="66">
        <v>97.9</v>
      </c>
      <c r="Z37" s="66" t="str">
        <f>_xlfn.XLOOKUP(REALIZADO[[#This Row],[PDV]],PROJEÇÃO[PDV],PROJEÇÃO[COORDENAÇÃO])</f>
        <v>ARIEL</v>
      </c>
    </row>
    <row r="38" spans="1:26" x14ac:dyDescent="0.35">
      <c r="A38" t="s">
        <v>115</v>
      </c>
      <c r="B38" t="s">
        <v>48</v>
      </c>
      <c r="C38" s="66">
        <v>2737.9</v>
      </c>
      <c r="D38" s="66">
        <v>3273.8739</v>
      </c>
      <c r="E38" s="66">
        <v>535.97389999999996</v>
      </c>
      <c r="F38" s="66">
        <v>999.99</v>
      </c>
      <c r="G38" s="66">
        <v>1338.6506999999999</v>
      </c>
      <c r="H38" s="66">
        <v>338.66070000000002</v>
      </c>
      <c r="I38" s="66">
        <v>56866</v>
      </c>
      <c r="J38" s="66">
        <v>59524.980300000003</v>
      </c>
      <c r="K38" s="66">
        <v>2658.9803000000002</v>
      </c>
      <c r="L38" s="66">
        <v>0</v>
      </c>
      <c r="M38" s="66">
        <v>2996</v>
      </c>
      <c r="N38" s="66">
        <v>6217.0535</v>
      </c>
      <c r="O38" s="66">
        <v>3221.0535</v>
      </c>
      <c r="P38" s="66">
        <v>920</v>
      </c>
      <c r="Q38" s="66">
        <v>1470</v>
      </c>
      <c r="R38" s="66">
        <v>3836.0542999999998</v>
      </c>
      <c r="S38" s="66">
        <v>1446.0543</v>
      </c>
      <c r="T38" s="66">
        <v>264.7</v>
      </c>
      <c r="U38" s="66">
        <v>436.51650000000001</v>
      </c>
      <c r="V38" s="66">
        <v>171.81649999999999</v>
      </c>
      <c r="W38" s="66">
        <v>189.59</v>
      </c>
      <c r="X38" s="66">
        <v>385.58960000000002</v>
      </c>
      <c r="Y38" s="66">
        <v>195.99959999999999</v>
      </c>
      <c r="Z38" s="66" t="str">
        <f>_xlfn.XLOOKUP(REALIZADO[[#This Row],[PDV]],PROJEÇÃO[PDV],PROJEÇÃO[COORDENAÇÃO])</f>
        <v>THAYANDRA</v>
      </c>
    </row>
    <row r="39" spans="1:26" x14ac:dyDescent="0.35">
      <c r="A39" t="s">
        <v>116</v>
      </c>
      <c r="B39" t="s">
        <v>48</v>
      </c>
      <c r="C39" s="66">
        <v>1275.99</v>
      </c>
      <c r="D39" s="66">
        <v>3273.8739</v>
      </c>
      <c r="E39" s="66">
        <v>1997.8839</v>
      </c>
      <c r="F39" s="66">
        <v>320</v>
      </c>
      <c r="G39" s="66">
        <v>1338.6506999999999</v>
      </c>
      <c r="H39" s="66">
        <v>1018.6507</v>
      </c>
      <c r="I39" s="66">
        <v>19244</v>
      </c>
      <c r="J39" s="66">
        <v>59524.980300000003</v>
      </c>
      <c r="K39" s="66">
        <v>40280.980300000003</v>
      </c>
      <c r="L39" s="66">
        <v>0</v>
      </c>
      <c r="M39" s="66">
        <v>648</v>
      </c>
      <c r="N39" s="66">
        <v>6217.0535</v>
      </c>
      <c r="O39" s="66">
        <v>5569.0535</v>
      </c>
      <c r="P39" s="66">
        <v>317</v>
      </c>
      <c r="Q39" s="66">
        <v>348</v>
      </c>
      <c r="R39" s="66">
        <v>3836.0542999999998</v>
      </c>
      <c r="S39" s="66">
        <v>3171.0542999999998</v>
      </c>
      <c r="T39" s="66">
        <v>384.6</v>
      </c>
      <c r="U39" s="66">
        <v>436.51650000000001</v>
      </c>
      <c r="V39" s="66">
        <v>51.916499999999999</v>
      </c>
      <c r="W39" s="66">
        <v>41.8</v>
      </c>
      <c r="X39" s="66">
        <v>385.58960000000002</v>
      </c>
      <c r="Y39" s="66">
        <v>343.78960000000001</v>
      </c>
      <c r="Z39" s="66" t="str">
        <f>_xlfn.XLOOKUP(REALIZADO[[#This Row],[PDV]],PROJEÇÃO[PDV],PROJEÇÃO[COORDENAÇÃO])</f>
        <v>THAYANDRA</v>
      </c>
    </row>
    <row r="40" spans="1:26" x14ac:dyDescent="0.35">
      <c r="A40" t="s">
        <v>117</v>
      </c>
      <c r="B40" t="s">
        <v>48</v>
      </c>
      <c r="C40" s="66">
        <v>1938</v>
      </c>
      <c r="D40" s="66">
        <v>2066.5567999999998</v>
      </c>
      <c r="E40" s="66">
        <v>128.55680000000001</v>
      </c>
      <c r="F40" s="66">
        <v>1070</v>
      </c>
      <c r="G40" s="66">
        <v>844.99210000000005</v>
      </c>
      <c r="H40" s="66">
        <v>-225.00790000000001</v>
      </c>
      <c r="I40" s="66">
        <v>40968</v>
      </c>
      <c r="J40" s="66">
        <v>37573.760799999996</v>
      </c>
      <c r="K40" s="66">
        <v>-3394.2392</v>
      </c>
      <c r="L40" s="66">
        <v>0</v>
      </c>
      <c r="M40" s="66">
        <v>4892</v>
      </c>
      <c r="N40" s="66">
        <v>3924.3706000000002</v>
      </c>
      <c r="O40" s="66">
        <v>-967.62940000000003</v>
      </c>
      <c r="P40" s="66">
        <v>1325</v>
      </c>
      <c r="Q40" s="66">
        <v>1240</v>
      </c>
      <c r="R40" s="66">
        <v>2421.4200999999998</v>
      </c>
      <c r="S40" s="66">
        <v>-143.57990000000001</v>
      </c>
      <c r="T40" s="66">
        <v>428.7</v>
      </c>
      <c r="U40" s="66">
        <v>275.54090000000002</v>
      </c>
      <c r="V40" s="66">
        <v>-153.1591</v>
      </c>
      <c r="W40" s="66">
        <v>397.3</v>
      </c>
      <c r="X40" s="66">
        <v>243.39449999999999</v>
      </c>
      <c r="Y40" s="66">
        <v>-153.90549999999999</v>
      </c>
      <c r="Z40" s="66" t="str">
        <f>_xlfn.XLOOKUP(REALIZADO[[#This Row],[PDV]],PROJEÇÃO[PDV],PROJEÇÃO[COORDENAÇÃO])</f>
        <v>THAYANDRA</v>
      </c>
    </row>
    <row r="41" spans="1:26" x14ac:dyDescent="0.35">
      <c r="A41" t="s">
        <v>118</v>
      </c>
      <c r="B41" t="s">
        <v>48</v>
      </c>
      <c r="C41" s="66">
        <v>3100</v>
      </c>
      <c r="D41" s="66">
        <v>2066.5567999999998</v>
      </c>
      <c r="E41" s="66">
        <v>-1033.4431999999999</v>
      </c>
      <c r="F41" s="66">
        <v>1000</v>
      </c>
      <c r="G41" s="66">
        <v>844.99210000000005</v>
      </c>
      <c r="H41" s="66">
        <v>-155.00790000000001</v>
      </c>
      <c r="I41" s="66">
        <v>69101</v>
      </c>
      <c r="J41" s="66">
        <v>37573.760799999996</v>
      </c>
      <c r="K41" s="66">
        <v>-31527.2392</v>
      </c>
      <c r="L41" s="66">
        <v>0</v>
      </c>
      <c r="M41" s="66">
        <v>4294</v>
      </c>
      <c r="N41" s="66">
        <v>3924.3706000000002</v>
      </c>
      <c r="O41" s="66">
        <v>-369.62939999999998</v>
      </c>
      <c r="P41" s="66">
        <v>1504</v>
      </c>
      <c r="Q41" s="66">
        <v>2684</v>
      </c>
      <c r="R41" s="66">
        <v>2421.4200999999998</v>
      </c>
      <c r="S41" s="66">
        <v>-1766.5799</v>
      </c>
      <c r="T41" s="66">
        <v>645.9</v>
      </c>
      <c r="U41" s="66">
        <v>275.54090000000002</v>
      </c>
      <c r="V41" s="66">
        <v>-370.35910000000001</v>
      </c>
      <c r="W41" s="66">
        <v>281.39999999999998</v>
      </c>
      <c r="X41" s="66">
        <v>243.39449999999999</v>
      </c>
      <c r="Y41" s="66">
        <v>-38.005499999999998</v>
      </c>
      <c r="Z41" s="66" t="str">
        <f>_xlfn.XLOOKUP(REALIZADO[[#This Row],[PDV]],PROJEÇÃO[PDV],PROJEÇÃO[COORDENAÇÃO])</f>
        <v>THAYANDRA</v>
      </c>
    </row>
    <row r="42" spans="1:26" x14ac:dyDescent="0.35">
      <c r="A42" t="s">
        <v>119</v>
      </c>
      <c r="B42" t="s">
        <v>48</v>
      </c>
      <c r="C42" s="66">
        <v>438</v>
      </c>
      <c r="D42" s="66">
        <v>973.64279999999997</v>
      </c>
      <c r="E42" s="66">
        <v>535.64279999999997</v>
      </c>
      <c r="F42" s="66">
        <v>484.9</v>
      </c>
      <c r="G42" s="66">
        <v>398.11169999999998</v>
      </c>
      <c r="H42" s="66">
        <v>-86.788300000000007</v>
      </c>
      <c r="I42" s="66">
        <v>12877</v>
      </c>
      <c r="J42" s="66">
        <v>17702.596399999999</v>
      </c>
      <c r="K42" s="66">
        <v>4825.5964000000004</v>
      </c>
      <c r="L42" s="66">
        <v>0</v>
      </c>
      <c r="M42" s="66">
        <v>379</v>
      </c>
      <c r="N42" s="66">
        <v>1848.9377999999999</v>
      </c>
      <c r="O42" s="66">
        <v>1469.9377999999999</v>
      </c>
      <c r="P42" s="66">
        <v>327</v>
      </c>
      <c r="Q42" s="66">
        <v>199</v>
      </c>
      <c r="R42" s="66">
        <v>1140.8340000000001</v>
      </c>
      <c r="S42" s="66">
        <v>614.83399999999995</v>
      </c>
      <c r="T42" s="66">
        <v>59.9</v>
      </c>
      <c r="U42" s="66">
        <v>129.81899999999999</v>
      </c>
      <c r="V42" s="66">
        <v>69.918999999999997</v>
      </c>
      <c r="W42" s="66">
        <v>59.9</v>
      </c>
      <c r="X42" s="66">
        <v>114.6735</v>
      </c>
      <c r="Y42" s="66">
        <v>54.773499999999999</v>
      </c>
      <c r="Z42" s="66" t="str">
        <f>_xlfn.XLOOKUP(REALIZADO[[#This Row],[PDV]],PROJEÇÃO[PDV],PROJEÇÃO[COORDENAÇÃO])</f>
        <v>THAYANDRA</v>
      </c>
    </row>
    <row r="43" spans="1:26" x14ac:dyDescent="0.35">
      <c r="A43" t="s">
        <v>120</v>
      </c>
      <c r="B43" t="s">
        <v>48</v>
      </c>
      <c r="C43" s="66">
        <v>2616.9899999999998</v>
      </c>
      <c r="D43" s="66">
        <v>3273.8739</v>
      </c>
      <c r="E43" s="66">
        <v>656.88390000000004</v>
      </c>
      <c r="F43" s="66">
        <v>670</v>
      </c>
      <c r="G43" s="66">
        <v>1338.6506999999999</v>
      </c>
      <c r="H43" s="66">
        <v>668.65070000000003</v>
      </c>
      <c r="I43" s="66">
        <v>23192</v>
      </c>
      <c r="J43" s="66">
        <v>59524.980300000003</v>
      </c>
      <c r="K43" s="66">
        <v>36332.980300000003</v>
      </c>
      <c r="L43" s="66">
        <v>0</v>
      </c>
      <c r="M43" s="66">
        <v>7396</v>
      </c>
      <c r="N43" s="66">
        <v>6217.0535</v>
      </c>
      <c r="O43" s="66">
        <v>-1178.9465</v>
      </c>
      <c r="P43" s="66">
        <v>632</v>
      </c>
      <c r="Q43" s="66">
        <v>1240</v>
      </c>
      <c r="R43" s="66">
        <v>3836.0542999999998</v>
      </c>
      <c r="S43" s="66">
        <v>1964.0543</v>
      </c>
      <c r="T43" s="66">
        <v>119.7</v>
      </c>
      <c r="U43" s="66">
        <v>436.51650000000001</v>
      </c>
      <c r="V43" s="66">
        <v>316.81650000000002</v>
      </c>
      <c r="W43" s="66">
        <v>281.3</v>
      </c>
      <c r="X43" s="66">
        <v>385.58960000000002</v>
      </c>
      <c r="Y43" s="66">
        <v>104.28959999999999</v>
      </c>
      <c r="Z43" s="66" t="str">
        <f>_xlfn.XLOOKUP(REALIZADO[[#This Row],[PDV]],PROJEÇÃO[PDV],PROJEÇÃO[COORDENAÇÃO])</f>
        <v>THAYANDRA</v>
      </c>
    </row>
    <row r="44" spans="1:26" x14ac:dyDescent="0.35">
      <c r="A44" t="s">
        <v>121</v>
      </c>
      <c r="B44" t="s">
        <v>48</v>
      </c>
      <c r="C44" s="66">
        <v>1514.04</v>
      </c>
      <c r="D44" s="66">
        <v>3273.8739</v>
      </c>
      <c r="E44" s="66">
        <v>1759.8339000000001</v>
      </c>
      <c r="F44" s="66">
        <v>699.98</v>
      </c>
      <c r="G44" s="66">
        <v>1338.6506999999999</v>
      </c>
      <c r="H44" s="66">
        <v>638.67070000000001</v>
      </c>
      <c r="I44" s="66">
        <v>32876</v>
      </c>
      <c r="J44" s="66">
        <v>59524.980300000003</v>
      </c>
      <c r="K44" s="66">
        <v>26648.980299999999</v>
      </c>
      <c r="L44" s="66">
        <v>0</v>
      </c>
      <c r="M44" s="66">
        <v>2999</v>
      </c>
      <c r="N44" s="66">
        <v>6217.0535</v>
      </c>
      <c r="O44" s="66">
        <v>3218.0535</v>
      </c>
      <c r="P44" s="66">
        <v>969</v>
      </c>
      <c r="Q44" s="66">
        <v>595</v>
      </c>
      <c r="R44" s="66">
        <v>3836.0542999999998</v>
      </c>
      <c r="S44" s="66">
        <v>2272.0542999999998</v>
      </c>
      <c r="T44" s="66">
        <v>29.9</v>
      </c>
      <c r="U44" s="66">
        <v>436.51650000000001</v>
      </c>
      <c r="V44" s="66">
        <v>406.61649999999997</v>
      </c>
      <c r="W44" s="66">
        <v>71.900000000000006</v>
      </c>
      <c r="X44" s="66">
        <v>385.58960000000002</v>
      </c>
      <c r="Y44" s="66">
        <v>313.68959999999998</v>
      </c>
      <c r="Z44" s="66" t="str">
        <f>_xlfn.XLOOKUP(REALIZADO[[#This Row],[PDV]],PROJEÇÃO[PDV],PROJEÇÃO[COORDENAÇÃO])</f>
        <v>THAYANDRA</v>
      </c>
    </row>
    <row r="45" spans="1:26" x14ac:dyDescent="0.35">
      <c r="A45" t="s">
        <v>122</v>
      </c>
      <c r="B45" t="s">
        <v>48</v>
      </c>
      <c r="C45" s="66">
        <v>1063</v>
      </c>
      <c r="D45" s="66">
        <v>3273.8739</v>
      </c>
      <c r="E45" s="66">
        <v>2210.8739</v>
      </c>
      <c r="F45" s="66">
        <v>570</v>
      </c>
      <c r="G45" s="66">
        <v>1338.6506999999999</v>
      </c>
      <c r="H45" s="66">
        <v>768.65070000000003</v>
      </c>
      <c r="I45" s="66">
        <v>42668</v>
      </c>
      <c r="J45" s="66">
        <v>59524.980300000003</v>
      </c>
      <c r="K45" s="66">
        <v>16856.980299999999</v>
      </c>
      <c r="L45" s="66">
        <v>0</v>
      </c>
      <c r="M45" s="66">
        <v>4605</v>
      </c>
      <c r="N45" s="66">
        <v>6217.0535</v>
      </c>
      <c r="O45" s="66">
        <v>1612.0535</v>
      </c>
      <c r="P45" s="66">
        <v>871</v>
      </c>
      <c r="Q45" s="66">
        <v>2148</v>
      </c>
      <c r="R45" s="66">
        <v>3836.0542999999998</v>
      </c>
      <c r="S45" s="66">
        <v>817.05430000000001</v>
      </c>
      <c r="T45" s="66">
        <v>134.69999999999999</v>
      </c>
      <c r="U45" s="66">
        <v>436.51650000000001</v>
      </c>
      <c r="V45" s="66">
        <v>301.81650000000002</v>
      </c>
      <c r="W45" s="66">
        <v>309.7</v>
      </c>
      <c r="X45" s="66">
        <v>385.58960000000002</v>
      </c>
      <c r="Y45" s="66">
        <v>75.889600000000002</v>
      </c>
      <c r="Z45" s="66" t="str">
        <f>_xlfn.XLOOKUP(REALIZADO[[#This Row],[PDV]],PROJEÇÃO[PDV],PROJEÇÃO[COORDENAÇÃO])</f>
        <v>THAYANDRA</v>
      </c>
    </row>
    <row r="46" spans="1:26" x14ac:dyDescent="0.35">
      <c r="A46" t="s">
        <v>123</v>
      </c>
      <c r="B46" t="s">
        <v>48</v>
      </c>
      <c r="C46" s="66">
        <v>3648.99</v>
      </c>
      <c r="D46" s="66">
        <v>3273.8739</v>
      </c>
      <c r="E46" s="66">
        <v>-375.11610000000002</v>
      </c>
      <c r="F46" s="66">
        <v>2005.9</v>
      </c>
      <c r="G46" s="66">
        <v>1338.6506999999999</v>
      </c>
      <c r="H46" s="66">
        <v>-667.24929999999995</v>
      </c>
      <c r="I46" s="66">
        <v>77735</v>
      </c>
      <c r="J46" s="66">
        <v>59524.980300000003</v>
      </c>
      <c r="K46" s="66">
        <v>-18210.019700000001</v>
      </c>
      <c r="L46" s="66">
        <v>0</v>
      </c>
      <c r="M46" s="66">
        <v>3793</v>
      </c>
      <c r="N46" s="66">
        <v>6217.0535</v>
      </c>
      <c r="O46" s="66">
        <v>2424.0535</v>
      </c>
      <c r="P46" s="66">
        <v>1118</v>
      </c>
      <c r="Q46" s="66">
        <v>1841</v>
      </c>
      <c r="R46" s="66">
        <v>3836.0542999999998</v>
      </c>
      <c r="S46" s="66">
        <v>877.05430000000001</v>
      </c>
      <c r="T46" s="66">
        <v>409.5</v>
      </c>
      <c r="U46" s="66">
        <v>436.51650000000001</v>
      </c>
      <c r="V46" s="66">
        <v>27.016500000000001</v>
      </c>
      <c r="W46" s="66">
        <v>353.5</v>
      </c>
      <c r="X46" s="66">
        <v>385.58960000000002</v>
      </c>
      <c r="Y46" s="66">
        <v>32.089599999999997</v>
      </c>
      <c r="Z46" s="66" t="str">
        <f>_xlfn.XLOOKUP(REALIZADO[[#This Row],[PDV]],PROJEÇÃO[PDV],PROJEÇÃO[COORDENAÇÃO])</f>
        <v>THAYANDRA</v>
      </c>
    </row>
    <row r="47" spans="1:26" x14ac:dyDescent="0.35">
      <c r="A47" t="s">
        <v>124</v>
      </c>
      <c r="B47" t="s">
        <v>42</v>
      </c>
      <c r="C47" s="66">
        <v>1048</v>
      </c>
      <c r="D47" s="66">
        <v>2472.25</v>
      </c>
      <c r="E47" s="66">
        <v>1424.25</v>
      </c>
      <c r="F47" s="66">
        <v>530</v>
      </c>
      <c r="G47" s="66">
        <v>1347.5</v>
      </c>
      <c r="H47" s="66">
        <v>817.5</v>
      </c>
      <c r="I47" s="66">
        <v>24790</v>
      </c>
      <c r="J47" s="66">
        <v>50000</v>
      </c>
      <c r="K47" s="66">
        <v>25210</v>
      </c>
      <c r="L47" s="66">
        <v>0</v>
      </c>
      <c r="M47" s="66">
        <v>3307</v>
      </c>
      <c r="N47" s="66">
        <v>3750</v>
      </c>
      <c r="O47" s="66">
        <v>443</v>
      </c>
      <c r="P47" s="66">
        <v>683</v>
      </c>
      <c r="Q47" s="66">
        <v>506</v>
      </c>
      <c r="R47" s="66">
        <v>2750</v>
      </c>
      <c r="S47" s="66">
        <v>1561</v>
      </c>
      <c r="T47" s="66">
        <v>34.9</v>
      </c>
      <c r="U47" s="66">
        <v>242</v>
      </c>
      <c r="V47" s="66">
        <v>207.1</v>
      </c>
      <c r="W47" s="66">
        <v>134.9</v>
      </c>
      <c r="X47" s="66">
        <v>247.5</v>
      </c>
      <c r="Y47" s="66">
        <v>112.6</v>
      </c>
      <c r="Z47" s="66" t="str">
        <f>_xlfn.XLOOKUP(REALIZADO[[#This Row],[PDV]],PROJEÇÃO[PDV],PROJEÇÃO[COORDENAÇÃO])</f>
        <v>THAYANDRA</v>
      </c>
    </row>
    <row r="48" spans="1:26" x14ac:dyDescent="0.35">
      <c r="A48" t="s">
        <v>125</v>
      </c>
      <c r="B48" t="s">
        <v>42</v>
      </c>
      <c r="C48" s="66">
        <v>402</v>
      </c>
      <c r="D48" s="66">
        <v>2472.25</v>
      </c>
      <c r="E48" s="66">
        <v>2070.25</v>
      </c>
      <c r="F48" s="66">
        <v>384.99</v>
      </c>
      <c r="G48" s="66">
        <v>1347.5</v>
      </c>
      <c r="H48" s="66">
        <v>962.51</v>
      </c>
      <c r="I48" s="66">
        <v>31993</v>
      </c>
      <c r="J48" s="66">
        <v>50000</v>
      </c>
      <c r="K48" s="66">
        <v>18007</v>
      </c>
      <c r="L48" s="66">
        <v>0</v>
      </c>
      <c r="M48" s="66">
        <v>2096</v>
      </c>
      <c r="N48" s="66">
        <v>3750</v>
      </c>
      <c r="O48" s="66">
        <v>1654</v>
      </c>
      <c r="P48" s="66">
        <v>950</v>
      </c>
      <c r="Q48" s="66">
        <v>565</v>
      </c>
      <c r="R48" s="66">
        <v>2750</v>
      </c>
      <c r="S48" s="66">
        <v>1235</v>
      </c>
      <c r="T48" s="66">
        <v>164.8</v>
      </c>
      <c r="U48" s="66">
        <v>242</v>
      </c>
      <c r="V48" s="66">
        <v>77.2</v>
      </c>
      <c r="W48" s="66">
        <v>180</v>
      </c>
      <c r="X48" s="66">
        <v>247.5</v>
      </c>
      <c r="Y48" s="66">
        <v>67.5</v>
      </c>
      <c r="Z48" s="66" t="str">
        <f>_xlfn.XLOOKUP(REALIZADO[[#This Row],[PDV]],PROJEÇÃO[PDV],PROJEÇÃO[COORDENAÇÃO])</f>
        <v>THAYANDRA</v>
      </c>
    </row>
    <row r="49" spans="1:26" x14ac:dyDescent="0.35">
      <c r="A49" t="s">
        <v>126</v>
      </c>
      <c r="B49" t="s">
        <v>42</v>
      </c>
      <c r="C49" s="66">
        <v>1445</v>
      </c>
      <c r="D49" s="66">
        <v>2472.25</v>
      </c>
      <c r="E49" s="66">
        <v>1027.25</v>
      </c>
      <c r="F49" s="66">
        <v>854.99</v>
      </c>
      <c r="G49" s="66">
        <v>1347.5</v>
      </c>
      <c r="H49" s="66">
        <v>492.51</v>
      </c>
      <c r="I49" s="66">
        <v>32291</v>
      </c>
      <c r="J49" s="66">
        <v>50000</v>
      </c>
      <c r="K49" s="66">
        <v>17709</v>
      </c>
      <c r="L49" s="66">
        <v>0</v>
      </c>
      <c r="M49" s="66">
        <v>1634</v>
      </c>
      <c r="N49" s="66">
        <v>3750</v>
      </c>
      <c r="O49" s="66">
        <v>2116</v>
      </c>
      <c r="P49" s="66">
        <v>939</v>
      </c>
      <c r="Q49" s="66">
        <v>1729</v>
      </c>
      <c r="R49" s="66">
        <v>2750</v>
      </c>
      <c r="S49" s="66">
        <v>82</v>
      </c>
      <c r="T49" s="66">
        <v>104.8</v>
      </c>
      <c r="U49" s="66">
        <v>242</v>
      </c>
      <c r="V49" s="66">
        <v>137.19999999999999</v>
      </c>
      <c r="W49" s="66">
        <v>173.7</v>
      </c>
      <c r="X49" s="66">
        <v>247.5</v>
      </c>
      <c r="Y49" s="66">
        <v>73.8</v>
      </c>
      <c r="Z49" s="66" t="str">
        <f>_xlfn.XLOOKUP(REALIZADO[[#This Row],[PDV]],PROJEÇÃO[PDV],PROJEÇÃO[COORDENAÇÃO])</f>
        <v>THAYANDRA</v>
      </c>
    </row>
    <row r="50" spans="1:26" x14ac:dyDescent="0.35">
      <c r="A50" t="s">
        <v>127</v>
      </c>
      <c r="B50" t="s">
        <v>42</v>
      </c>
      <c r="C50" s="66">
        <v>1483</v>
      </c>
      <c r="D50" s="66">
        <v>2472.25</v>
      </c>
      <c r="E50" s="66">
        <v>989.25</v>
      </c>
      <c r="F50" s="66">
        <v>969.99</v>
      </c>
      <c r="G50" s="66">
        <v>1347.5</v>
      </c>
      <c r="H50" s="66">
        <v>377.51</v>
      </c>
      <c r="I50" s="66">
        <v>23852</v>
      </c>
      <c r="J50" s="66">
        <v>50000</v>
      </c>
      <c r="K50" s="66">
        <v>26148</v>
      </c>
      <c r="L50" s="66">
        <v>39</v>
      </c>
      <c r="M50" s="66">
        <v>0</v>
      </c>
      <c r="N50" s="66">
        <v>3750</v>
      </c>
      <c r="O50" s="66">
        <v>3711</v>
      </c>
      <c r="P50" s="66">
        <v>336</v>
      </c>
      <c r="Q50" s="66">
        <v>1190</v>
      </c>
      <c r="R50" s="66">
        <v>2750</v>
      </c>
      <c r="S50" s="66">
        <v>1224</v>
      </c>
      <c r="T50" s="66">
        <v>34.9</v>
      </c>
      <c r="U50" s="66">
        <v>242</v>
      </c>
      <c r="V50" s="66">
        <v>207.1</v>
      </c>
      <c r="W50" s="66">
        <v>251.9</v>
      </c>
      <c r="X50" s="66">
        <v>247.5</v>
      </c>
      <c r="Y50" s="66">
        <v>-4.4000000000000004</v>
      </c>
      <c r="Z50" s="66" t="str">
        <f>_xlfn.XLOOKUP(REALIZADO[[#This Row],[PDV]],PROJEÇÃO[PDV],PROJEÇÃO[COORDENAÇÃO])</f>
        <v>THAYANDRA</v>
      </c>
    </row>
    <row r="51" spans="1:26" x14ac:dyDescent="0.35">
      <c r="A51" t="s">
        <v>128</v>
      </c>
      <c r="B51" t="s">
        <v>32</v>
      </c>
      <c r="C51" s="66">
        <v>3001.14</v>
      </c>
      <c r="D51" s="66">
        <v>2695</v>
      </c>
      <c r="E51" s="66">
        <v>-306.14</v>
      </c>
      <c r="F51" s="66">
        <v>0</v>
      </c>
      <c r="G51" s="66">
        <v>0</v>
      </c>
      <c r="H51" s="66">
        <v>0</v>
      </c>
      <c r="I51" s="66">
        <v>54697</v>
      </c>
      <c r="J51" s="66">
        <v>41250</v>
      </c>
      <c r="K51" s="66">
        <v>-13447</v>
      </c>
      <c r="L51" s="66">
        <v>0</v>
      </c>
      <c r="M51" s="66">
        <v>4087</v>
      </c>
      <c r="N51" s="66">
        <v>3000</v>
      </c>
      <c r="O51" s="66">
        <v>-1087</v>
      </c>
      <c r="P51" s="66">
        <v>1699</v>
      </c>
      <c r="Q51" s="66">
        <v>2223</v>
      </c>
      <c r="R51" s="66">
        <v>2562.5</v>
      </c>
      <c r="S51" s="66">
        <v>-1359.5</v>
      </c>
      <c r="T51" s="66">
        <v>308.3</v>
      </c>
      <c r="U51" s="66">
        <v>247.5</v>
      </c>
      <c r="V51" s="66">
        <v>-60.8</v>
      </c>
      <c r="W51" s="66">
        <v>334.29</v>
      </c>
      <c r="X51" s="66">
        <v>247.5</v>
      </c>
      <c r="Y51" s="66">
        <v>-86.79</v>
      </c>
      <c r="Z51" s="66" t="str">
        <f>_xlfn.XLOOKUP(REALIZADO[[#This Row],[PDV]],PROJEÇÃO[PDV],PROJEÇÃO[COORDENAÇÃO])</f>
        <v>ARIEL</v>
      </c>
    </row>
    <row r="52" spans="1:26" x14ac:dyDescent="0.35">
      <c r="A52" t="s">
        <v>129</v>
      </c>
      <c r="B52" t="s">
        <v>32</v>
      </c>
      <c r="C52" s="66">
        <v>1467</v>
      </c>
      <c r="D52" s="66">
        <v>2695</v>
      </c>
      <c r="E52" s="66">
        <v>1228</v>
      </c>
      <c r="F52" s="66">
        <v>0</v>
      </c>
      <c r="G52" s="66">
        <v>0</v>
      </c>
      <c r="H52" s="66">
        <v>0</v>
      </c>
      <c r="I52" s="66">
        <v>30035</v>
      </c>
      <c r="J52" s="66">
        <v>41250</v>
      </c>
      <c r="K52" s="66">
        <v>11215</v>
      </c>
      <c r="L52" s="66">
        <v>0</v>
      </c>
      <c r="M52" s="66">
        <v>1406</v>
      </c>
      <c r="N52" s="66">
        <v>3000</v>
      </c>
      <c r="O52" s="66">
        <v>1594</v>
      </c>
      <c r="P52" s="66">
        <v>1582</v>
      </c>
      <c r="Q52" s="66">
        <v>1326</v>
      </c>
      <c r="R52" s="66">
        <v>2562.5</v>
      </c>
      <c r="S52" s="66">
        <v>-345.5</v>
      </c>
      <c r="T52" s="66">
        <v>94.6</v>
      </c>
      <c r="U52" s="66">
        <v>247.5</v>
      </c>
      <c r="V52" s="66">
        <v>152.9</v>
      </c>
      <c r="W52" s="66">
        <v>291.49</v>
      </c>
      <c r="X52" s="66">
        <v>247.5</v>
      </c>
      <c r="Y52" s="66">
        <v>-43.99</v>
      </c>
      <c r="Z52" s="66" t="str">
        <f>_xlfn.XLOOKUP(REALIZADO[[#This Row],[PDV]],PROJEÇÃO[PDV],PROJEÇÃO[COORDENAÇÃO])</f>
        <v>ARIEL</v>
      </c>
    </row>
    <row r="53" spans="1:26" x14ac:dyDescent="0.35">
      <c r="A53" t="s">
        <v>130</v>
      </c>
      <c r="B53" t="s">
        <v>32</v>
      </c>
      <c r="C53" s="66">
        <v>2193.9899999999998</v>
      </c>
      <c r="D53" s="66">
        <v>2695</v>
      </c>
      <c r="E53" s="66">
        <v>501.01</v>
      </c>
      <c r="F53" s="66">
        <v>0</v>
      </c>
      <c r="G53" s="66">
        <v>0</v>
      </c>
      <c r="H53" s="66">
        <v>0</v>
      </c>
      <c r="I53" s="66">
        <v>40698</v>
      </c>
      <c r="J53" s="66">
        <v>41250</v>
      </c>
      <c r="K53" s="66">
        <v>552</v>
      </c>
      <c r="L53" s="66">
        <v>0</v>
      </c>
      <c r="M53" s="66">
        <v>3978</v>
      </c>
      <c r="N53" s="66">
        <v>3000</v>
      </c>
      <c r="O53" s="66">
        <v>-978</v>
      </c>
      <c r="P53" s="66">
        <v>1809</v>
      </c>
      <c r="Q53" s="66">
        <v>792</v>
      </c>
      <c r="R53" s="66">
        <v>2562.5</v>
      </c>
      <c r="S53" s="66">
        <v>-38.5</v>
      </c>
      <c r="T53" s="66">
        <v>164.3</v>
      </c>
      <c r="U53" s="66">
        <v>247.5</v>
      </c>
      <c r="V53" s="66">
        <v>83.2</v>
      </c>
      <c r="W53" s="66">
        <v>167.48</v>
      </c>
      <c r="X53" s="66">
        <v>247.5</v>
      </c>
      <c r="Y53" s="66">
        <v>80.02</v>
      </c>
      <c r="Z53" s="66" t="str">
        <f>_xlfn.XLOOKUP(REALIZADO[[#This Row],[PDV]],PROJEÇÃO[PDV],PROJEÇÃO[COORDENAÇÃO])</f>
        <v>ARIEL</v>
      </c>
    </row>
    <row r="54" spans="1:26" x14ac:dyDescent="0.35">
      <c r="A54" t="s">
        <v>131</v>
      </c>
      <c r="B54" t="s">
        <v>32</v>
      </c>
      <c r="C54" s="66">
        <v>2698</v>
      </c>
      <c r="D54" s="66">
        <v>2695</v>
      </c>
      <c r="E54" s="66">
        <v>-3</v>
      </c>
      <c r="F54" s="66">
        <v>15</v>
      </c>
      <c r="G54" s="66">
        <v>0</v>
      </c>
      <c r="H54" s="66">
        <v>-15</v>
      </c>
      <c r="I54" s="66">
        <v>51836</v>
      </c>
      <c r="J54" s="66">
        <v>41250</v>
      </c>
      <c r="K54" s="66">
        <v>-10586</v>
      </c>
      <c r="L54" s="66">
        <v>0</v>
      </c>
      <c r="M54" s="66">
        <v>3587</v>
      </c>
      <c r="N54" s="66">
        <v>3000</v>
      </c>
      <c r="O54" s="66">
        <v>-587</v>
      </c>
      <c r="P54" s="66">
        <v>1603</v>
      </c>
      <c r="Q54" s="66">
        <v>1092</v>
      </c>
      <c r="R54" s="66">
        <v>2562.5</v>
      </c>
      <c r="S54" s="66">
        <v>-132.5</v>
      </c>
      <c r="T54" s="66">
        <v>214.2</v>
      </c>
      <c r="U54" s="66">
        <v>247.5</v>
      </c>
      <c r="V54" s="66">
        <v>33.299999999999997</v>
      </c>
      <c r="W54" s="66">
        <v>214.6</v>
      </c>
      <c r="X54" s="66">
        <v>247.5</v>
      </c>
      <c r="Y54" s="66">
        <v>32.9</v>
      </c>
      <c r="Z54" s="66" t="str">
        <f>_xlfn.XLOOKUP(REALIZADO[[#This Row],[PDV]],PROJEÇÃO[PDV],PROJEÇÃO[COORDENAÇÃO])</f>
        <v>ARIEL</v>
      </c>
    </row>
    <row r="55" spans="1:26" x14ac:dyDescent="0.35">
      <c r="A55" t="s">
        <v>132</v>
      </c>
      <c r="B55" t="s">
        <v>49</v>
      </c>
      <c r="C55" s="66">
        <v>1789</v>
      </c>
      <c r="D55" s="66">
        <v>3121.0317</v>
      </c>
      <c r="E55" s="66">
        <v>1332.0317</v>
      </c>
      <c r="F55" s="66">
        <v>1299.97</v>
      </c>
      <c r="G55" s="66">
        <v>1200.3968</v>
      </c>
      <c r="H55" s="66">
        <v>-99.5732</v>
      </c>
      <c r="I55" s="66">
        <v>26645</v>
      </c>
      <c r="J55" s="66">
        <v>32738.0952</v>
      </c>
      <c r="K55" s="66">
        <v>6093.0951999999997</v>
      </c>
      <c r="L55" s="66">
        <v>0</v>
      </c>
      <c r="M55" s="66">
        <v>2746</v>
      </c>
      <c r="N55" s="66">
        <v>2400.7937000000002</v>
      </c>
      <c r="O55" s="66">
        <v>-345.2063</v>
      </c>
      <c r="P55" s="66">
        <v>632</v>
      </c>
      <c r="Q55" s="66">
        <v>786</v>
      </c>
      <c r="R55" s="66">
        <v>1702.3810000000001</v>
      </c>
      <c r="S55" s="66">
        <v>284.38099999999997</v>
      </c>
      <c r="T55" s="66">
        <v>328.8</v>
      </c>
      <c r="U55" s="66">
        <v>268.88889999999998</v>
      </c>
      <c r="V55" s="66">
        <v>-59.911099999999998</v>
      </c>
      <c r="W55" s="66">
        <v>202.7</v>
      </c>
      <c r="X55" s="66">
        <v>192.0635</v>
      </c>
      <c r="Y55" s="66">
        <v>-10.6365</v>
      </c>
      <c r="Z55" s="66" t="str">
        <f>_xlfn.XLOOKUP(REALIZADO[[#This Row],[PDV]],PROJEÇÃO[PDV],PROJEÇÃO[COORDENAÇÃO])</f>
        <v>THAYANDRA</v>
      </c>
    </row>
    <row r="56" spans="1:26" x14ac:dyDescent="0.35">
      <c r="A56" t="s">
        <v>133</v>
      </c>
      <c r="B56" t="s">
        <v>49</v>
      </c>
      <c r="C56" s="66">
        <v>1615</v>
      </c>
      <c r="D56" s="66">
        <v>3121.0317</v>
      </c>
      <c r="E56" s="66">
        <v>1506.0317</v>
      </c>
      <c r="F56" s="66">
        <v>774</v>
      </c>
      <c r="G56" s="66">
        <v>1200.3968</v>
      </c>
      <c r="H56" s="66">
        <v>426.39679999999998</v>
      </c>
      <c r="I56" s="66">
        <v>19075</v>
      </c>
      <c r="J56" s="66">
        <v>32738.0952</v>
      </c>
      <c r="K56" s="66">
        <v>13663.0952</v>
      </c>
      <c r="L56" s="66">
        <v>0</v>
      </c>
      <c r="M56" s="66">
        <v>1785</v>
      </c>
      <c r="N56" s="66">
        <v>2400.7937000000002</v>
      </c>
      <c r="O56" s="66">
        <v>615.79369999999994</v>
      </c>
      <c r="P56" s="66">
        <v>671</v>
      </c>
      <c r="Q56" s="66">
        <v>1301</v>
      </c>
      <c r="R56" s="66">
        <v>1702.3810000000001</v>
      </c>
      <c r="S56" s="66">
        <v>-269.61900000000003</v>
      </c>
      <c r="T56" s="66">
        <v>294.60000000000002</v>
      </c>
      <c r="U56" s="66">
        <v>268.88889999999998</v>
      </c>
      <c r="V56" s="66">
        <v>-25.711099999999998</v>
      </c>
      <c r="W56" s="66">
        <v>311.7</v>
      </c>
      <c r="X56" s="66">
        <v>192.0635</v>
      </c>
      <c r="Y56" s="66">
        <v>-119.6365</v>
      </c>
      <c r="Z56" s="66" t="str">
        <f>_xlfn.XLOOKUP(REALIZADO[[#This Row],[PDV]],PROJEÇÃO[PDV],PROJEÇÃO[COORDENAÇÃO])</f>
        <v>THAYANDRA</v>
      </c>
    </row>
    <row r="57" spans="1:26" x14ac:dyDescent="0.35">
      <c r="A57" t="s">
        <v>134</v>
      </c>
      <c r="B57" t="s">
        <v>49</v>
      </c>
      <c r="C57" s="66">
        <v>1409</v>
      </c>
      <c r="D57" s="66">
        <v>907.93650000000002</v>
      </c>
      <c r="E57" s="66">
        <v>-501.06349999999998</v>
      </c>
      <c r="F57" s="66">
        <v>300</v>
      </c>
      <c r="G57" s="66">
        <v>349.2063</v>
      </c>
      <c r="H57" s="66">
        <v>49.206299999999999</v>
      </c>
      <c r="I57" s="66">
        <v>24094</v>
      </c>
      <c r="J57" s="66">
        <v>9523.8094999999994</v>
      </c>
      <c r="K57" s="66">
        <v>-14570.190500000001</v>
      </c>
      <c r="L57" s="66">
        <v>0</v>
      </c>
      <c r="M57" s="66">
        <v>2972.05</v>
      </c>
      <c r="N57" s="66">
        <v>698.41269999999997</v>
      </c>
      <c r="O57" s="66">
        <v>-2273.6372999999999</v>
      </c>
      <c r="P57" s="66">
        <v>690</v>
      </c>
      <c r="Q57" s="66">
        <v>1480</v>
      </c>
      <c r="R57" s="66">
        <v>495.23809999999997</v>
      </c>
      <c r="S57" s="66">
        <v>-1674.7619</v>
      </c>
      <c r="T57" s="66">
        <v>199.8</v>
      </c>
      <c r="U57" s="66">
        <v>78.222200000000001</v>
      </c>
      <c r="V57" s="66">
        <v>-121.5778</v>
      </c>
      <c r="W57" s="66">
        <v>205.9</v>
      </c>
      <c r="X57" s="66">
        <v>55.872999999999998</v>
      </c>
      <c r="Y57" s="66">
        <v>-150.02699999999999</v>
      </c>
      <c r="Z57" s="66" t="str">
        <f>_xlfn.XLOOKUP(REALIZADO[[#This Row],[PDV]],PROJEÇÃO[PDV],PROJEÇÃO[COORDENAÇÃO])</f>
        <v>THAYANDRA</v>
      </c>
    </row>
    <row r="58" spans="1:26" x14ac:dyDescent="0.35">
      <c r="A58" t="s">
        <v>135</v>
      </c>
      <c r="B58" t="s">
        <v>33</v>
      </c>
      <c r="C58" s="66">
        <v>2005</v>
      </c>
      <c r="D58" s="66">
        <v>3334.375</v>
      </c>
      <c r="E58" s="66">
        <v>1329.375</v>
      </c>
      <c r="F58" s="66">
        <v>0</v>
      </c>
      <c r="G58" s="66">
        <v>0</v>
      </c>
      <c r="H58" s="66">
        <v>0</v>
      </c>
      <c r="I58" s="66">
        <v>21449</v>
      </c>
      <c r="J58" s="66">
        <v>34375</v>
      </c>
      <c r="K58" s="66">
        <v>12926</v>
      </c>
      <c r="L58" s="66">
        <v>39</v>
      </c>
      <c r="M58" s="66">
        <v>3913</v>
      </c>
      <c r="N58" s="66">
        <v>2812.5</v>
      </c>
      <c r="O58" s="66">
        <v>-1139.5</v>
      </c>
      <c r="P58" s="66">
        <v>721</v>
      </c>
      <c r="Q58" s="66">
        <v>981</v>
      </c>
      <c r="R58" s="66">
        <v>3031.25</v>
      </c>
      <c r="S58" s="66">
        <v>1329.25</v>
      </c>
      <c r="T58" s="66">
        <v>195.1</v>
      </c>
      <c r="U58" s="66">
        <v>295.625</v>
      </c>
      <c r="V58" s="66">
        <v>100.52500000000001</v>
      </c>
      <c r="W58" s="66">
        <v>229.83</v>
      </c>
      <c r="X58" s="66">
        <v>309.375</v>
      </c>
      <c r="Y58" s="66">
        <v>79.545000000000002</v>
      </c>
      <c r="Z58" s="66" t="str">
        <f>_xlfn.XLOOKUP(REALIZADO[[#This Row],[PDV]],PROJEÇÃO[PDV],PROJEÇÃO[COORDENAÇÃO])</f>
        <v>ARIEL</v>
      </c>
    </row>
    <row r="59" spans="1:26" x14ac:dyDescent="0.35">
      <c r="A59" t="s">
        <v>136</v>
      </c>
      <c r="B59" t="s">
        <v>33</v>
      </c>
      <c r="C59" s="66">
        <v>1017</v>
      </c>
      <c r="D59" s="66">
        <v>2000.625</v>
      </c>
      <c r="E59" s="66">
        <v>983.625</v>
      </c>
      <c r="F59" s="66">
        <v>0</v>
      </c>
      <c r="G59" s="66">
        <v>0</v>
      </c>
      <c r="H59" s="66">
        <v>0</v>
      </c>
      <c r="I59" s="66">
        <v>2928</v>
      </c>
      <c r="J59" s="66">
        <v>20625</v>
      </c>
      <c r="K59" s="66">
        <v>17697</v>
      </c>
      <c r="L59" s="66">
        <v>0</v>
      </c>
      <c r="M59" s="66">
        <v>2866</v>
      </c>
      <c r="N59" s="66">
        <v>1687.5</v>
      </c>
      <c r="O59" s="66">
        <v>-1178.5</v>
      </c>
      <c r="P59" s="66">
        <v>227</v>
      </c>
      <c r="Q59" s="66">
        <v>644</v>
      </c>
      <c r="R59" s="66">
        <v>1818.75</v>
      </c>
      <c r="S59" s="66">
        <v>947.75</v>
      </c>
      <c r="T59" s="66">
        <v>33.799999999999997</v>
      </c>
      <c r="U59" s="66">
        <v>177.375</v>
      </c>
      <c r="V59" s="66">
        <v>143.57499999999999</v>
      </c>
      <c r="W59" s="66">
        <v>154.86000000000001</v>
      </c>
      <c r="X59" s="66">
        <v>185.625</v>
      </c>
      <c r="Y59" s="66">
        <v>30.765000000000001</v>
      </c>
      <c r="Z59" s="66" t="str">
        <f>_xlfn.XLOOKUP(REALIZADO[[#This Row],[PDV]],PROJEÇÃO[PDV],PROJEÇÃO[COORDENAÇÃO])</f>
        <v>ARIEL</v>
      </c>
    </row>
    <row r="60" spans="1:26" x14ac:dyDescent="0.35">
      <c r="A60" t="s">
        <v>137</v>
      </c>
      <c r="B60" t="s">
        <v>34</v>
      </c>
      <c r="C60" s="66">
        <v>1887</v>
      </c>
      <c r="D60" s="66">
        <v>3138.9286000000002</v>
      </c>
      <c r="E60" s="66">
        <v>1251.9286</v>
      </c>
      <c r="F60" s="66">
        <v>0</v>
      </c>
      <c r="G60" s="66">
        <v>0</v>
      </c>
      <c r="H60" s="66">
        <v>0</v>
      </c>
      <c r="I60" s="66">
        <v>38618</v>
      </c>
      <c r="J60" s="66">
        <v>28214.2857</v>
      </c>
      <c r="K60" s="66">
        <v>-10403.7143</v>
      </c>
      <c r="L60" s="66">
        <v>0</v>
      </c>
      <c r="M60" s="66">
        <v>1954</v>
      </c>
      <c r="N60" s="66">
        <v>3571.4286000000002</v>
      </c>
      <c r="O60" s="66">
        <v>1617.4286</v>
      </c>
      <c r="P60" s="66">
        <v>1208</v>
      </c>
      <c r="Q60" s="66">
        <v>1499</v>
      </c>
      <c r="R60" s="66">
        <v>3053.5713999999998</v>
      </c>
      <c r="S60" s="66">
        <v>346.57139999999998</v>
      </c>
      <c r="T60" s="66">
        <v>93.7</v>
      </c>
      <c r="U60" s="66">
        <v>314.28570000000002</v>
      </c>
      <c r="V60" s="66">
        <v>220.5857</v>
      </c>
      <c r="W60" s="66">
        <v>51.8</v>
      </c>
      <c r="X60" s="66">
        <v>294.6429</v>
      </c>
      <c r="Y60" s="66">
        <v>242.84289999999999</v>
      </c>
      <c r="Z60" s="66" t="str">
        <f>_xlfn.XLOOKUP(REALIZADO[[#This Row],[PDV]],PROJEÇÃO[PDV],PROJEÇÃO[COORDENAÇÃO])</f>
        <v>ARIEL</v>
      </c>
    </row>
    <row r="61" spans="1:26" x14ac:dyDescent="0.35">
      <c r="A61" t="s">
        <v>138</v>
      </c>
      <c r="B61" t="s">
        <v>34</v>
      </c>
      <c r="C61" s="66">
        <v>963</v>
      </c>
      <c r="D61" s="66">
        <v>2511.1428999999998</v>
      </c>
      <c r="E61" s="66">
        <v>1548.1429000000001</v>
      </c>
      <c r="F61" s="66">
        <v>0</v>
      </c>
      <c r="G61" s="66">
        <v>0</v>
      </c>
      <c r="H61" s="66">
        <v>0</v>
      </c>
      <c r="I61" s="66">
        <v>8355</v>
      </c>
      <c r="J61" s="66">
        <v>22571.428599999999</v>
      </c>
      <c r="K61" s="66">
        <v>14216.428599999999</v>
      </c>
      <c r="L61" s="66">
        <v>0</v>
      </c>
      <c r="M61" s="66">
        <v>1854</v>
      </c>
      <c r="N61" s="66">
        <v>2857.1428999999998</v>
      </c>
      <c r="O61" s="66">
        <v>1003.1429000000001</v>
      </c>
      <c r="P61" s="66">
        <v>643</v>
      </c>
      <c r="Q61" s="66">
        <v>751</v>
      </c>
      <c r="R61" s="66">
        <v>2442.8571000000002</v>
      </c>
      <c r="S61" s="66">
        <v>1048.8570999999999</v>
      </c>
      <c r="T61" s="66">
        <v>33.799999999999997</v>
      </c>
      <c r="U61" s="66">
        <v>251.42859999999999</v>
      </c>
      <c r="V61" s="66">
        <v>217.62860000000001</v>
      </c>
      <c r="W61" s="66">
        <v>81.790000000000006</v>
      </c>
      <c r="X61" s="66">
        <v>235.71430000000001</v>
      </c>
      <c r="Y61" s="66">
        <v>153.92429999999999</v>
      </c>
      <c r="Z61" s="66" t="str">
        <f>_xlfn.XLOOKUP(REALIZADO[[#This Row],[PDV]],PROJEÇÃO[PDV],PROJEÇÃO[COORDENAÇÃO])</f>
        <v>ARIEL</v>
      </c>
    </row>
    <row r="62" spans="1:26" x14ac:dyDescent="0.35">
      <c r="A62" t="s">
        <v>139</v>
      </c>
      <c r="B62" t="s">
        <v>34</v>
      </c>
      <c r="C62" s="66">
        <v>1402</v>
      </c>
      <c r="D62" s="66">
        <v>3138.9286000000002</v>
      </c>
      <c r="E62" s="66">
        <v>1736.9286</v>
      </c>
      <c r="F62" s="66">
        <v>0</v>
      </c>
      <c r="G62" s="66">
        <v>0</v>
      </c>
      <c r="H62" s="66">
        <v>0</v>
      </c>
      <c r="I62" s="66">
        <v>24189</v>
      </c>
      <c r="J62" s="66">
        <v>28214.2857</v>
      </c>
      <c r="K62" s="66">
        <v>4025.2856999999999</v>
      </c>
      <c r="L62" s="66">
        <v>0</v>
      </c>
      <c r="M62" s="66">
        <v>4096</v>
      </c>
      <c r="N62" s="66">
        <v>3571.4286000000002</v>
      </c>
      <c r="O62" s="66">
        <v>-524.57140000000004</v>
      </c>
      <c r="P62" s="66">
        <v>988</v>
      </c>
      <c r="Q62" s="66">
        <v>1791</v>
      </c>
      <c r="R62" s="66">
        <v>3053.5713999999998</v>
      </c>
      <c r="S62" s="66">
        <v>274.57139999999998</v>
      </c>
      <c r="T62" s="66">
        <v>203.2</v>
      </c>
      <c r="U62" s="66">
        <v>314.28570000000002</v>
      </c>
      <c r="V62" s="66">
        <v>111.0857</v>
      </c>
      <c r="W62" s="66">
        <v>305.89999999999998</v>
      </c>
      <c r="X62" s="66">
        <v>294.6429</v>
      </c>
      <c r="Y62" s="66">
        <v>-11.257099999999999</v>
      </c>
      <c r="Z62" s="66" t="str">
        <f>_xlfn.XLOOKUP(REALIZADO[[#This Row],[PDV]],PROJEÇÃO[PDV],PROJEÇÃO[COORDENAÇÃO])</f>
        <v>ARIEL</v>
      </c>
    </row>
    <row r="63" spans="1:26" x14ac:dyDescent="0.35">
      <c r="A63" t="s">
        <v>140</v>
      </c>
      <c r="B63" t="s">
        <v>35</v>
      </c>
      <c r="C63" s="66">
        <v>1385</v>
      </c>
      <c r="D63" s="66">
        <v>2786.6667000000002</v>
      </c>
      <c r="E63" s="66">
        <v>1401.6667</v>
      </c>
      <c r="F63" s="66">
        <v>0</v>
      </c>
      <c r="G63" s="66">
        <v>0</v>
      </c>
      <c r="H63" s="66">
        <v>0</v>
      </c>
      <c r="I63" s="66">
        <v>19373</v>
      </c>
      <c r="J63" s="66">
        <v>28333.333299999998</v>
      </c>
      <c r="K63" s="66">
        <v>8960.3333000000002</v>
      </c>
      <c r="L63" s="66">
        <v>0</v>
      </c>
      <c r="M63" s="66">
        <v>1326</v>
      </c>
      <c r="N63" s="66">
        <v>2833.3332999999998</v>
      </c>
      <c r="O63" s="66">
        <v>1507.3333</v>
      </c>
      <c r="P63" s="66">
        <v>613</v>
      </c>
      <c r="Q63" s="66">
        <v>803</v>
      </c>
      <c r="R63" s="66">
        <v>2216.6667000000002</v>
      </c>
      <c r="S63" s="66">
        <v>800.66669999999999</v>
      </c>
      <c r="T63" s="66">
        <v>50.7</v>
      </c>
      <c r="U63" s="66">
        <v>267.66669999999999</v>
      </c>
      <c r="V63" s="66">
        <v>216.9667</v>
      </c>
      <c r="W63" s="66">
        <v>121.69</v>
      </c>
      <c r="X63" s="66">
        <v>293.33330000000001</v>
      </c>
      <c r="Y63" s="66">
        <v>171.64330000000001</v>
      </c>
      <c r="Z63" s="66" t="str">
        <f>_xlfn.XLOOKUP(REALIZADO[[#This Row],[PDV]],PROJEÇÃO[PDV],PROJEÇÃO[COORDENAÇÃO])</f>
        <v>ARIEL</v>
      </c>
    </row>
    <row r="64" spans="1:26" x14ac:dyDescent="0.35">
      <c r="A64" t="s">
        <v>141</v>
      </c>
      <c r="B64" t="s">
        <v>35</v>
      </c>
      <c r="C64" s="66">
        <v>1249.99</v>
      </c>
      <c r="D64" s="66">
        <v>2786.6667000000002</v>
      </c>
      <c r="E64" s="66">
        <v>1536.6767</v>
      </c>
      <c r="F64" s="66">
        <v>0</v>
      </c>
      <c r="G64" s="66">
        <v>0</v>
      </c>
      <c r="H64" s="66">
        <v>0</v>
      </c>
      <c r="I64" s="66">
        <v>25395</v>
      </c>
      <c r="J64" s="66">
        <v>28333.333299999998</v>
      </c>
      <c r="K64" s="66">
        <v>2938.3332999999998</v>
      </c>
      <c r="L64" s="66">
        <v>0</v>
      </c>
      <c r="M64" s="66">
        <v>538</v>
      </c>
      <c r="N64" s="66">
        <v>2833.3332999999998</v>
      </c>
      <c r="O64" s="66">
        <v>2295.3332999999998</v>
      </c>
      <c r="P64" s="66">
        <v>287</v>
      </c>
      <c r="Q64" s="66">
        <v>1093</v>
      </c>
      <c r="R64" s="66">
        <v>2216.6667000000002</v>
      </c>
      <c r="S64" s="66">
        <v>836.66669999999999</v>
      </c>
      <c r="T64" s="66">
        <v>21.9</v>
      </c>
      <c r="U64" s="66">
        <v>267.66669999999999</v>
      </c>
      <c r="V64" s="66">
        <v>245.76669999999999</v>
      </c>
      <c r="W64" s="66">
        <v>122.69</v>
      </c>
      <c r="X64" s="66">
        <v>293.33330000000001</v>
      </c>
      <c r="Y64" s="66">
        <v>170.64330000000001</v>
      </c>
      <c r="Z64" s="66" t="str">
        <f>_xlfn.XLOOKUP(REALIZADO[[#This Row],[PDV]],PROJEÇÃO[PDV],PROJEÇÃO[COORDENAÇÃO])</f>
        <v>ARIEL</v>
      </c>
    </row>
    <row r="65" spans="1:26" x14ac:dyDescent="0.35">
      <c r="A65" t="s">
        <v>142</v>
      </c>
      <c r="B65" t="s">
        <v>35</v>
      </c>
      <c r="C65" s="66">
        <v>1531.94</v>
      </c>
      <c r="D65" s="66">
        <v>2786.6667000000002</v>
      </c>
      <c r="E65" s="66">
        <v>1254.7266999999999</v>
      </c>
      <c r="F65" s="66">
        <v>0</v>
      </c>
      <c r="G65" s="66">
        <v>0</v>
      </c>
      <c r="H65" s="66">
        <v>0</v>
      </c>
      <c r="I65" s="66">
        <v>10697</v>
      </c>
      <c r="J65" s="66">
        <v>28333.333299999998</v>
      </c>
      <c r="K65" s="66">
        <v>17636.333299999998</v>
      </c>
      <c r="L65" s="66">
        <v>0</v>
      </c>
      <c r="M65" s="66">
        <v>2499</v>
      </c>
      <c r="N65" s="66">
        <v>2833.3332999999998</v>
      </c>
      <c r="O65" s="66">
        <v>334.33330000000001</v>
      </c>
      <c r="P65" s="66">
        <v>208</v>
      </c>
      <c r="Q65" s="66">
        <v>357</v>
      </c>
      <c r="R65" s="66">
        <v>2216.6667000000002</v>
      </c>
      <c r="S65" s="66">
        <v>1651.6667</v>
      </c>
      <c r="T65" s="66">
        <v>33.799999999999997</v>
      </c>
      <c r="U65" s="66">
        <v>267.66669999999999</v>
      </c>
      <c r="V65" s="66">
        <v>233.86670000000001</v>
      </c>
      <c r="W65" s="66">
        <v>85.6</v>
      </c>
      <c r="X65" s="66">
        <v>293.33330000000001</v>
      </c>
      <c r="Y65" s="66">
        <v>207.73330000000001</v>
      </c>
      <c r="Z65" s="66" t="str">
        <f>_xlfn.XLOOKUP(REALIZADO[[#This Row],[PDV]],PROJEÇÃO[PDV],PROJEÇÃO[COORDENAÇÃO])</f>
        <v>ARIEL</v>
      </c>
    </row>
    <row r="66" spans="1:26" x14ac:dyDescent="0.35">
      <c r="A66" t="s">
        <v>143</v>
      </c>
      <c r="B66" t="s">
        <v>50</v>
      </c>
      <c r="C66" s="66">
        <v>2676.97</v>
      </c>
      <c r="D66" s="66">
        <v>3501.6667000000002</v>
      </c>
      <c r="E66" s="66">
        <v>824.69669999999996</v>
      </c>
      <c r="F66" s="66">
        <v>1070</v>
      </c>
      <c r="G66" s="66">
        <v>1530.8333</v>
      </c>
      <c r="H66" s="66">
        <v>460.83330000000001</v>
      </c>
      <c r="I66" s="66">
        <v>31518</v>
      </c>
      <c r="J66" s="66">
        <v>33333.333299999998</v>
      </c>
      <c r="K66" s="66">
        <v>1815.3333</v>
      </c>
      <c r="L66" s="66">
        <v>0</v>
      </c>
      <c r="M66" s="66">
        <v>1955</v>
      </c>
      <c r="N66" s="66">
        <v>6000</v>
      </c>
      <c r="O66" s="66">
        <v>4045</v>
      </c>
      <c r="P66" s="66">
        <v>822</v>
      </c>
      <c r="Q66" s="66">
        <v>1053</v>
      </c>
      <c r="R66" s="66">
        <v>2250</v>
      </c>
      <c r="S66" s="66">
        <v>375</v>
      </c>
      <c r="T66" s="66">
        <v>362.2</v>
      </c>
      <c r="U66" s="66">
        <v>366.66669999999999</v>
      </c>
      <c r="V66" s="66">
        <v>4.4667000000000003</v>
      </c>
      <c r="W66" s="66">
        <v>329.9</v>
      </c>
      <c r="X66" s="66">
        <v>238.33330000000001</v>
      </c>
      <c r="Y66" s="66">
        <v>-91.566699999999997</v>
      </c>
      <c r="Z66" s="66" t="str">
        <f>_xlfn.XLOOKUP(REALIZADO[[#This Row],[PDV]],PROJEÇÃO[PDV],PROJEÇÃO[COORDENAÇÃO])</f>
        <v>THAYANDRA</v>
      </c>
    </row>
    <row r="67" spans="1:26" x14ac:dyDescent="0.35">
      <c r="A67" t="s">
        <v>144</v>
      </c>
      <c r="B67" t="s">
        <v>50</v>
      </c>
      <c r="C67" s="66">
        <v>3728</v>
      </c>
      <c r="D67" s="66">
        <v>3501.6667000000002</v>
      </c>
      <c r="E67" s="66">
        <v>-226.33330000000001</v>
      </c>
      <c r="F67" s="66">
        <v>1234.99</v>
      </c>
      <c r="G67" s="66">
        <v>1530.8333</v>
      </c>
      <c r="H67" s="66">
        <v>295.8433</v>
      </c>
      <c r="I67" s="66">
        <v>31293</v>
      </c>
      <c r="J67" s="66">
        <v>33333.333299999998</v>
      </c>
      <c r="K67" s="66">
        <v>2040.3333</v>
      </c>
      <c r="L67" s="66">
        <v>399</v>
      </c>
      <c r="M67" s="66">
        <v>4998</v>
      </c>
      <c r="N67" s="66">
        <v>6000</v>
      </c>
      <c r="O67" s="66">
        <v>603</v>
      </c>
      <c r="P67" s="66">
        <v>1131</v>
      </c>
      <c r="Q67" s="66">
        <v>1439</v>
      </c>
      <c r="R67" s="66">
        <v>2250</v>
      </c>
      <c r="S67" s="66">
        <v>-320</v>
      </c>
      <c r="T67" s="66">
        <v>300.8</v>
      </c>
      <c r="U67" s="66">
        <v>366.66669999999999</v>
      </c>
      <c r="V67" s="66">
        <v>65.866699999999994</v>
      </c>
      <c r="W67" s="66">
        <v>376.7</v>
      </c>
      <c r="X67" s="66">
        <v>238.33330000000001</v>
      </c>
      <c r="Y67" s="66">
        <v>-138.36670000000001</v>
      </c>
      <c r="Z67" s="66" t="str">
        <f>_xlfn.XLOOKUP(REALIZADO[[#This Row],[PDV]],PROJEÇÃO[PDV],PROJEÇÃO[COORDENAÇÃO])</f>
        <v>THAYANDRA</v>
      </c>
    </row>
    <row r="68" spans="1:26" x14ac:dyDescent="0.35">
      <c r="A68" t="s">
        <v>145</v>
      </c>
      <c r="B68" t="s">
        <v>50</v>
      </c>
      <c r="C68" s="66">
        <v>1756.99</v>
      </c>
      <c r="D68" s="66">
        <v>3501.6667000000002</v>
      </c>
      <c r="E68" s="66">
        <v>1744.6767</v>
      </c>
      <c r="F68" s="66">
        <v>698</v>
      </c>
      <c r="G68" s="66">
        <v>1530.8333</v>
      </c>
      <c r="H68" s="66">
        <v>832.83330000000001</v>
      </c>
      <c r="I68" s="66">
        <v>19746</v>
      </c>
      <c r="J68" s="66">
        <v>33333.333299999998</v>
      </c>
      <c r="K68" s="66">
        <v>13587.3333</v>
      </c>
      <c r="L68" s="66">
        <v>0</v>
      </c>
      <c r="M68" s="66">
        <v>8625</v>
      </c>
      <c r="N68" s="66">
        <v>6000</v>
      </c>
      <c r="O68" s="66">
        <v>-2625</v>
      </c>
      <c r="P68" s="66">
        <v>129</v>
      </c>
      <c r="Q68" s="66">
        <v>69</v>
      </c>
      <c r="R68" s="66">
        <v>2250</v>
      </c>
      <c r="S68" s="66">
        <v>2052</v>
      </c>
      <c r="T68" s="66">
        <v>148.6</v>
      </c>
      <c r="U68" s="66">
        <v>366.66669999999999</v>
      </c>
      <c r="V68" s="66">
        <v>218.0667</v>
      </c>
      <c r="W68" s="66">
        <v>246.7</v>
      </c>
      <c r="X68" s="66">
        <v>238.33330000000001</v>
      </c>
      <c r="Y68" s="66">
        <v>-8.3666999999999998</v>
      </c>
      <c r="Z68" s="66" t="str">
        <f>_xlfn.XLOOKUP(REALIZADO[[#This Row],[PDV]],PROJEÇÃO[PDV],PROJEÇÃO[COORDENAÇÃO])</f>
        <v>THAYANDRA</v>
      </c>
    </row>
    <row r="69" spans="1:26" x14ac:dyDescent="0.35">
      <c r="A69" t="s">
        <v>146</v>
      </c>
      <c r="B69" t="s">
        <v>50</v>
      </c>
      <c r="C69" s="66">
        <v>2780</v>
      </c>
      <c r="D69" s="66">
        <v>3501.6667000000002</v>
      </c>
      <c r="E69" s="66">
        <v>721.66669999999999</v>
      </c>
      <c r="F69" s="66">
        <v>1140</v>
      </c>
      <c r="G69" s="66">
        <v>1530.8333</v>
      </c>
      <c r="H69" s="66">
        <v>390.83330000000001</v>
      </c>
      <c r="I69" s="66">
        <v>22571</v>
      </c>
      <c r="J69" s="66">
        <v>33333.333299999998</v>
      </c>
      <c r="K69" s="66">
        <v>10762.3333</v>
      </c>
      <c r="L69" s="66">
        <v>0</v>
      </c>
      <c r="M69" s="66">
        <v>8945</v>
      </c>
      <c r="N69" s="66">
        <v>6000</v>
      </c>
      <c r="O69" s="66">
        <v>-2945</v>
      </c>
      <c r="P69" s="66">
        <v>555</v>
      </c>
      <c r="Q69" s="66">
        <v>327</v>
      </c>
      <c r="R69" s="66">
        <v>2250</v>
      </c>
      <c r="S69" s="66">
        <v>1368</v>
      </c>
      <c r="T69" s="66">
        <v>125.5</v>
      </c>
      <c r="U69" s="66">
        <v>366.66669999999999</v>
      </c>
      <c r="V69" s="66">
        <v>241.16669999999999</v>
      </c>
      <c r="W69" s="66">
        <v>194.5</v>
      </c>
      <c r="X69" s="66">
        <v>238.33330000000001</v>
      </c>
      <c r="Y69" s="66">
        <v>43.833300000000001</v>
      </c>
      <c r="Z69" s="66" t="str">
        <f>_xlfn.XLOOKUP(REALIZADO[[#This Row],[PDV]],PROJEÇÃO[PDV],PROJEÇÃO[COORDENAÇÃO])</f>
        <v>THAYANDRA</v>
      </c>
    </row>
    <row r="70" spans="1:26" x14ac:dyDescent="0.35">
      <c r="A70" t="s">
        <v>147</v>
      </c>
      <c r="B70" t="s">
        <v>50</v>
      </c>
      <c r="C70" s="66">
        <v>2361</v>
      </c>
      <c r="D70" s="66">
        <v>3501.6667000000002</v>
      </c>
      <c r="E70" s="66">
        <v>1140.6667</v>
      </c>
      <c r="F70" s="66">
        <v>765</v>
      </c>
      <c r="G70" s="66">
        <v>1530.8333</v>
      </c>
      <c r="H70" s="66">
        <v>765.83330000000001</v>
      </c>
      <c r="I70" s="66">
        <v>20722</v>
      </c>
      <c r="J70" s="66">
        <v>33333.333299999998</v>
      </c>
      <c r="K70" s="66">
        <v>12611.3333</v>
      </c>
      <c r="L70" s="66">
        <v>0</v>
      </c>
      <c r="M70" s="66">
        <v>848</v>
      </c>
      <c r="N70" s="66">
        <v>6000</v>
      </c>
      <c r="O70" s="66">
        <v>5152</v>
      </c>
      <c r="P70" s="66">
        <v>387</v>
      </c>
      <c r="Q70" s="66">
        <v>1361</v>
      </c>
      <c r="R70" s="66">
        <v>2250</v>
      </c>
      <c r="S70" s="66">
        <v>502</v>
      </c>
      <c r="T70" s="66">
        <v>221.3</v>
      </c>
      <c r="U70" s="66">
        <v>366.66669999999999</v>
      </c>
      <c r="V70" s="66">
        <v>145.36670000000001</v>
      </c>
      <c r="W70" s="66">
        <v>317.89999999999998</v>
      </c>
      <c r="X70" s="66">
        <v>238.33330000000001</v>
      </c>
      <c r="Y70" s="66">
        <v>-79.566699999999997</v>
      </c>
      <c r="Z70" s="66" t="str">
        <f>_xlfn.XLOOKUP(REALIZADO[[#This Row],[PDV]],PROJEÇÃO[PDV],PROJEÇÃO[COORDENAÇÃO])</f>
        <v>THAYANDRA</v>
      </c>
    </row>
    <row r="71" spans="1:26" x14ac:dyDescent="0.35">
      <c r="A71" t="s">
        <v>148</v>
      </c>
      <c r="B71" t="s">
        <v>50</v>
      </c>
      <c r="C71" s="66">
        <v>3487</v>
      </c>
      <c r="D71" s="66">
        <v>3501.6667000000002</v>
      </c>
      <c r="E71" s="66">
        <v>14.666700000000001</v>
      </c>
      <c r="F71" s="66">
        <v>1030</v>
      </c>
      <c r="G71" s="66">
        <v>1530.8333</v>
      </c>
      <c r="H71" s="66">
        <v>500.83330000000001</v>
      </c>
      <c r="I71" s="66">
        <v>33468</v>
      </c>
      <c r="J71" s="66">
        <v>33333.333299999998</v>
      </c>
      <c r="K71" s="66">
        <v>-134.66669999999999</v>
      </c>
      <c r="L71" s="66">
        <v>0</v>
      </c>
      <c r="M71" s="66">
        <v>9744</v>
      </c>
      <c r="N71" s="66">
        <v>6000</v>
      </c>
      <c r="O71" s="66">
        <v>-3744</v>
      </c>
      <c r="P71" s="66">
        <v>1042</v>
      </c>
      <c r="Q71" s="66">
        <v>1678</v>
      </c>
      <c r="R71" s="66">
        <v>2250</v>
      </c>
      <c r="S71" s="66">
        <v>-470</v>
      </c>
      <c r="T71" s="66">
        <v>394.8</v>
      </c>
      <c r="U71" s="66">
        <v>366.66669999999999</v>
      </c>
      <c r="V71" s="66">
        <v>-28.133299999999998</v>
      </c>
      <c r="W71" s="66">
        <v>396.5</v>
      </c>
      <c r="X71" s="66">
        <v>238.33330000000001</v>
      </c>
      <c r="Y71" s="66">
        <v>-158.16669999999999</v>
      </c>
      <c r="Z71" s="66" t="str">
        <f>_xlfn.XLOOKUP(REALIZADO[[#This Row],[PDV]],PROJEÇÃO[PDV],PROJEÇÃO[COORDENAÇÃO])</f>
        <v>THAYANDRA</v>
      </c>
    </row>
    <row r="72" spans="1:26" x14ac:dyDescent="0.35">
      <c r="A72" t="s">
        <v>149</v>
      </c>
      <c r="B72" t="s">
        <v>44</v>
      </c>
      <c r="C72" s="66">
        <v>429.99</v>
      </c>
      <c r="D72" s="66">
        <v>0</v>
      </c>
      <c r="E72" s="66">
        <v>-429.99</v>
      </c>
      <c r="F72" s="66">
        <v>225</v>
      </c>
      <c r="G72" s="66">
        <v>0</v>
      </c>
      <c r="H72" s="66">
        <v>-225</v>
      </c>
      <c r="I72" s="66">
        <v>1199</v>
      </c>
      <c r="J72" s="66">
        <v>0</v>
      </c>
      <c r="K72" s="66">
        <v>-1199</v>
      </c>
      <c r="L72" s="66">
        <v>0</v>
      </c>
      <c r="M72" s="66">
        <v>0</v>
      </c>
      <c r="N72" s="66">
        <v>0</v>
      </c>
      <c r="O72" s="66">
        <v>0</v>
      </c>
      <c r="P72" s="66">
        <v>208</v>
      </c>
      <c r="Q72" s="66">
        <v>557</v>
      </c>
      <c r="R72" s="66">
        <v>0</v>
      </c>
      <c r="S72" s="66">
        <v>-765</v>
      </c>
      <c r="T72" s="66">
        <v>59.9</v>
      </c>
      <c r="U72" s="66">
        <v>0</v>
      </c>
      <c r="V72" s="66">
        <v>-59.9</v>
      </c>
      <c r="W72" s="66">
        <v>0</v>
      </c>
      <c r="X72" s="66">
        <v>0</v>
      </c>
      <c r="Y72" s="66">
        <v>0</v>
      </c>
      <c r="Z72" s="66" t="str">
        <f>_xlfn.XLOOKUP(REALIZADO[[#This Row],[PDV]],PROJEÇÃO[PDV],PROJEÇÃO[COORDENAÇÃO])</f>
        <v>THAYANDRA</v>
      </c>
    </row>
    <row r="73" spans="1:26" x14ac:dyDescent="0.35">
      <c r="A73" t="s">
        <v>150</v>
      </c>
      <c r="B73" t="s">
        <v>27</v>
      </c>
      <c r="C73" s="66">
        <v>0</v>
      </c>
      <c r="D73" s="66">
        <v>0</v>
      </c>
      <c r="E73" s="66">
        <v>0</v>
      </c>
      <c r="F73" s="66">
        <v>0</v>
      </c>
      <c r="G73" s="66">
        <v>0</v>
      </c>
      <c r="H73" s="66">
        <v>0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v>0</v>
      </c>
      <c r="Q73" s="66">
        <v>0</v>
      </c>
      <c r="R73" s="66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66" t="str">
        <f>_xlfn.XLOOKUP(REALIZADO[[#This Row],[PDV]],PROJEÇÃO[PDV],PROJEÇÃO[COORDENAÇÃO])</f>
        <v>ARIEL</v>
      </c>
    </row>
    <row r="74" spans="1:26" x14ac:dyDescent="0.35">
      <c r="A74" t="s">
        <v>151</v>
      </c>
      <c r="B74" t="s">
        <v>36</v>
      </c>
      <c r="C74" s="66">
        <v>0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3099</v>
      </c>
      <c r="J74" s="66">
        <v>0</v>
      </c>
      <c r="K74" s="66">
        <v>-3099</v>
      </c>
      <c r="L74" s="66">
        <v>0</v>
      </c>
      <c r="M74" s="66">
        <v>0</v>
      </c>
      <c r="N74" s="66">
        <v>0</v>
      </c>
      <c r="O74" s="66">
        <v>0</v>
      </c>
      <c r="P74" s="66">
        <v>69</v>
      </c>
      <c r="Q74" s="66">
        <v>0</v>
      </c>
      <c r="R74" s="66">
        <v>0</v>
      </c>
      <c r="S74" s="66">
        <v>-69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 t="str">
        <f>_xlfn.XLOOKUP(REALIZADO[[#This Row],[PDV]],PROJEÇÃO[PDV],PROJEÇÃO[COORDENAÇÃO])</f>
        <v>LUIZ</v>
      </c>
    </row>
    <row r="75" spans="1:26" x14ac:dyDescent="0.35">
      <c r="A75" t="s">
        <v>152</v>
      </c>
      <c r="B75" t="s">
        <v>30</v>
      </c>
      <c r="C75" s="66">
        <v>0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 t="str">
        <f>_xlfn.XLOOKUP(REALIZADO[[#This Row],[PDV]],PROJEÇÃO[PDV],PROJEÇÃO[COORDENAÇÃO])</f>
        <v>ARIEL</v>
      </c>
    </row>
    <row r="76" spans="1:26" x14ac:dyDescent="0.35">
      <c r="A76" t="s">
        <v>153</v>
      </c>
      <c r="B76" t="s">
        <v>31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 t="str">
        <f>_xlfn.XLOOKUP(REALIZADO[[#This Row],[PDV]],PROJEÇÃO[PDV],PROJEÇÃO[COORDENAÇÃO])</f>
        <v>ARIEL</v>
      </c>
    </row>
    <row r="77" spans="1:26" x14ac:dyDescent="0.35">
      <c r="A77" t="s">
        <v>154</v>
      </c>
      <c r="B77" t="s">
        <v>49</v>
      </c>
      <c r="C77" s="66">
        <v>699</v>
      </c>
      <c r="D77" s="66">
        <v>0</v>
      </c>
      <c r="E77" s="66">
        <v>-699</v>
      </c>
      <c r="F77" s="66">
        <v>620</v>
      </c>
      <c r="G77" s="66">
        <v>0</v>
      </c>
      <c r="H77" s="66">
        <v>-620</v>
      </c>
      <c r="I77" s="66">
        <v>6798</v>
      </c>
      <c r="J77" s="66">
        <v>0</v>
      </c>
      <c r="K77" s="66">
        <v>-6798</v>
      </c>
      <c r="L77" s="66">
        <v>0</v>
      </c>
      <c r="M77" s="66">
        <v>338</v>
      </c>
      <c r="N77" s="66">
        <v>0</v>
      </c>
      <c r="O77" s="66">
        <v>-338</v>
      </c>
      <c r="P77" s="66">
        <v>138</v>
      </c>
      <c r="Q77" s="66">
        <v>219</v>
      </c>
      <c r="R77" s="66">
        <v>0</v>
      </c>
      <c r="S77" s="66">
        <v>-357</v>
      </c>
      <c r="T77" s="66">
        <v>259.8</v>
      </c>
      <c r="U77" s="66">
        <v>0</v>
      </c>
      <c r="V77" s="66">
        <v>-259.8</v>
      </c>
      <c r="W77" s="66">
        <v>21.9</v>
      </c>
      <c r="X77" s="66">
        <v>0</v>
      </c>
      <c r="Y77" s="66">
        <v>-21.9</v>
      </c>
      <c r="Z77" s="66" t="str">
        <f>_xlfn.XLOOKUP(REALIZADO[[#This Row],[PDV]],PROJEÇÃO[PDV],PROJEÇÃO[COORDENAÇÃO])</f>
        <v>THAYANDRA</v>
      </c>
    </row>
    <row r="78" spans="1:26" x14ac:dyDescent="0.35">
      <c r="A78" t="s">
        <v>155</v>
      </c>
      <c r="B78" t="s">
        <v>50</v>
      </c>
      <c r="C78" s="66">
        <v>155</v>
      </c>
      <c r="D78" s="66">
        <v>0</v>
      </c>
      <c r="E78" s="66">
        <v>-155</v>
      </c>
      <c r="F78" s="66">
        <v>0</v>
      </c>
      <c r="G78" s="66">
        <v>0</v>
      </c>
      <c r="H78" s="66">
        <v>0</v>
      </c>
      <c r="I78" s="66">
        <v>20798</v>
      </c>
      <c r="J78" s="66">
        <v>0</v>
      </c>
      <c r="K78" s="66">
        <v>-20798</v>
      </c>
      <c r="L78" s="66">
        <v>0</v>
      </c>
      <c r="M78" s="66">
        <v>0</v>
      </c>
      <c r="N78" s="66">
        <v>0</v>
      </c>
      <c r="O78" s="66">
        <v>0</v>
      </c>
      <c r="P78" s="66">
        <v>138</v>
      </c>
      <c r="Q78" s="66">
        <v>666</v>
      </c>
      <c r="R78" s="66">
        <v>0</v>
      </c>
      <c r="S78" s="66">
        <v>-804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 t="str">
        <f>_xlfn.XLOOKUP(REALIZADO[[#This Row],[PDV]],PROJEÇÃO[PDV],PROJEÇÃO[COORDENAÇÃO])</f>
        <v>THAYANDRA</v>
      </c>
    </row>
    <row r="79" spans="1:26" x14ac:dyDescent="0.35">
      <c r="A79" t="s">
        <v>156</v>
      </c>
      <c r="B79" t="s">
        <v>38</v>
      </c>
      <c r="C79" s="66">
        <v>0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 t="str">
        <f>_xlfn.XLOOKUP(REALIZADO[[#This Row],[PDV]],PROJEÇÃO[PDV],PROJEÇÃO[COORDENAÇÃO])</f>
        <v>LUIZ</v>
      </c>
    </row>
    <row r="80" spans="1:26" x14ac:dyDescent="0.35">
      <c r="A80" t="s">
        <v>157</v>
      </c>
      <c r="B80" t="s">
        <v>40</v>
      </c>
      <c r="C80" s="66">
        <v>271</v>
      </c>
      <c r="D80" s="66">
        <v>0</v>
      </c>
      <c r="E80" s="66">
        <v>-271</v>
      </c>
      <c r="F80" s="66">
        <v>95</v>
      </c>
      <c r="G80" s="66">
        <v>0</v>
      </c>
      <c r="H80" s="66">
        <v>-95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v>178</v>
      </c>
      <c r="Q80" s="66">
        <v>0</v>
      </c>
      <c r="R80" s="66">
        <v>0</v>
      </c>
      <c r="S80" s="66">
        <v>-178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66" t="str">
        <f>_xlfn.XLOOKUP(REALIZADO[[#This Row],[PDV]],PROJEÇÃO[PDV],PROJEÇÃO[COORDENAÇÃO])</f>
        <v>THAYANDRA</v>
      </c>
    </row>
    <row r="81" spans="1:26" x14ac:dyDescent="0.35">
      <c r="A81" t="s">
        <v>158</v>
      </c>
      <c r="B81" t="s">
        <v>46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6">
        <v>0</v>
      </c>
      <c r="O81" s="66">
        <v>0</v>
      </c>
      <c r="P81" s="66">
        <v>0</v>
      </c>
      <c r="Q81" s="66">
        <v>0</v>
      </c>
      <c r="R81" s="66">
        <v>0</v>
      </c>
      <c r="S81" s="66">
        <v>0</v>
      </c>
      <c r="T81" s="66">
        <v>0</v>
      </c>
      <c r="U81" s="66">
        <v>0</v>
      </c>
      <c r="V81" s="66">
        <v>0</v>
      </c>
      <c r="W81" s="66">
        <v>27.9</v>
      </c>
      <c r="X81" s="66">
        <v>0</v>
      </c>
      <c r="Y81" s="66">
        <v>-27.9</v>
      </c>
      <c r="Z81" s="66" t="str">
        <f>_xlfn.XLOOKUP(REALIZADO[[#This Row],[PDV]],PROJEÇÃO[PDV],PROJEÇÃO[COORDENAÇÃO])</f>
        <v>THAYANDRA</v>
      </c>
    </row>
    <row r="82" spans="1:26" x14ac:dyDescent="0.35">
      <c r="A82" t="s">
        <v>159</v>
      </c>
      <c r="B82" t="s">
        <v>41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6">
        <v>0</v>
      </c>
      <c r="O82" s="66">
        <v>0</v>
      </c>
      <c r="P82" s="66">
        <v>0</v>
      </c>
      <c r="Q82" s="66">
        <v>0</v>
      </c>
      <c r="R82" s="66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 t="str">
        <f>_xlfn.XLOOKUP(REALIZADO[[#This Row],[PDV]],PROJEÇÃO[PDV],PROJEÇÃO[COORDENAÇÃO])</f>
        <v>LUIZ</v>
      </c>
    </row>
    <row r="83" spans="1:26" x14ac:dyDescent="0.35">
      <c r="A83" t="s">
        <v>160</v>
      </c>
      <c r="B83" t="s">
        <v>41</v>
      </c>
      <c r="C83" s="66">
        <v>120</v>
      </c>
      <c r="D83" s="66">
        <v>0</v>
      </c>
      <c r="E83" s="66">
        <v>-120</v>
      </c>
      <c r="F83" s="66">
        <v>584.99</v>
      </c>
      <c r="G83" s="66">
        <v>0</v>
      </c>
      <c r="H83" s="66">
        <v>-584.99</v>
      </c>
      <c r="I83" s="66">
        <v>14247</v>
      </c>
      <c r="J83" s="66">
        <v>0</v>
      </c>
      <c r="K83" s="66">
        <v>-14247</v>
      </c>
      <c r="L83" s="66">
        <v>0</v>
      </c>
      <c r="M83" s="66">
        <v>3599</v>
      </c>
      <c r="N83" s="66">
        <v>0</v>
      </c>
      <c r="O83" s="66">
        <v>-3599</v>
      </c>
      <c r="P83" s="66">
        <v>218</v>
      </c>
      <c r="Q83" s="66">
        <v>79</v>
      </c>
      <c r="R83" s="66">
        <v>0</v>
      </c>
      <c r="S83" s="66">
        <v>-297</v>
      </c>
      <c r="T83" s="66">
        <v>99.9</v>
      </c>
      <c r="U83" s="66">
        <v>0</v>
      </c>
      <c r="V83" s="66">
        <v>-99.9</v>
      </c>
      <c r="W83" s="66">
        <v>65.8</v>
      </c>
      <c r="X83" s="66">
        <v>0</v>
      </c>
      <c r="Y83" s="66">
        <v>-65.8</v>
      </c>
      <c r="Z83" s="66" t="str">
        <f>_xlfn.XLOOKUP(REALIZADO[[#This Row],[PDV]],PROJEÇÃO[PDV],PROJEÇÃO[COORDENAÇÃO])</f>
        <v>LUIZ</v>
      </c>
    </row>
    <row r="84" spans="1:26" x14ac:dyDescent="0.35">
      <c r="A84" t="s">
        <v>161</v>
      </c>
      <c r="B84" t="s">
        <v>48</v>
      </c>
      <c r="C84" s="66">
        <v>120</v>
      </c>
      <c r="D84" s="66">
        <v>0</v>
      </c>
      <c r="E84" s="66">
        <v>-120</v>
      </c>
      <c r="F84" s="66">
        <v>0</v>
      </c>
      <c r="G84" s="66">
        <v>0</v>
      </c>
      <c r="H84" s="66">
        <v>0</v>
      </c>
      <c r="I84" s="66">
        <v>0</v>
      </c>
      <c r="J84" s="66">
        <v>0</v>
      </c>
      <c r="K84" s="66">
        <v>0</v>
      </c>
      <c r="L84" s="66">
        <v>0</v>
      </c>
      <c r="M84" s="66">
        <v>0</v>
      </c>
      <c r="N84" s="66">
        <v>0</v>
      </c>
      <c r="O84" s="66">
        <v>0</v>
      </c>
      <c r="P84" s="66">
        <v>0</v>
      </c>
      <c r="Q84" s="66">
        <v>0</v>
      </c>
      <c r="R84" s="66">
        <v>0</v>
      </c>
      <c r="S84" s="66">
        <v>0</v>
      </c>
      <c r="T84" s="66">
        <v>0</v>
      </c>
      <c r="U84" s="66">
        <v>0</v>
      </c>
      <c r="V84" s="66">
        <v>0</v>
      </c>
      <c r="W84" s="66">
        <v>0</v>
      </c>
      <c r="X84" s="66">
        <v>0</v>
      </c>
      <c r="Y84" s="66">
        <v>0</v>
      </c>
      <c r="Z84" s="66" t="str">
        <f>_xlfn.XLOOKUP(REALIZADO[[#This Row],[PDV]],PROJEÇÃO[PDV],PROJEÇÃO[COORDENAÇÃO])</f>
        <v>THAYANDRA</v>
      </c>
    </row>
    <row r="85" spans="1:26" x14ac:dyDescent="0.35">
      <c r="A85" t="s">
        <v>162</v>
      </c>
      <c r="B85" t="s">
        <v>48</v>
      </c>
      <c r="C85" s="66">
        <v>0</v>
      </c>
      <c r="D85" s="66">
        <v>0</v>
      </c>
      <c r="E85" s="66">
        <v>0</v>
      </c>
      <c r="F85" s="66">
        <v>0</v>
      </c>
      <c r="G85" s="66">
        <v>0</v>
      </c>
      <c r="H85" s="66">
        <v>0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6">
        <v>0</v>
      </c>
      <c r="O85" s="66">
        <v>0</v>
      </c>
      <c r="P85" s="66">
        <v>0</v>
      </c>
      <c r="Q85" s="66">
        <v>0</v>
      </c>
      <c r="R85" s="66">
        <v>0</v>
      </c>
      <c r="S85" s="66">
        <v>0</v>
      </c>
      <c r="T85" s="66">
        <v>0</v>
      </c>
      <c r="U85" s="66">
        <v>0</v>
      </c>
      <c r="V85" s="66">
        <v>0</v>
      </c>
      <c r="W85" s="66">
        <v>0</v>
      </c>
      <c r="X85" s="66">
        <v>0</v>
      </c>
      <c r="Y85" s="66">
        <v>0</v>
      </c>
      <c r="Z85" s="66" t="str">
        <f>_xlfn.XLOOKUP(REALIZADO[[#This Row],[PDV]],PROJEÇÃO[PDV],PROJEÇÃO[COORDENAÇÃO])</f>
        <v>THAYANDRA</v>
      </c>
    </row>
    <row r="86" spans="1:26" x14ac:dyDescent="0.35">
      <c r="A86" t="s">
        <v>163</v>
      </c>
      <c r="B86" t="s">
        <v>42</v>
      </c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6">
        <v>0</v>
      </c>
      <c r="J86" s="66">
        <v>0</v>
      </c>
      <c r="K86" s="66">
        <v>0</v>
      </c>
      <c r="L86" s="66">
        <v>0</v>
      </c>
      <c r="M86" s="66">
        <v>0</v>
      </c>
      <c r="N86" s="66">
        <v>0</v>
      </c>
      <c r="O86" s="66">
        <v>0</v>
      </c>
      <c r="P86" s="66">
        <v>0</v>
      </c>
      <c r="Q86" s="66">
        <v>0</v>
      </c>
      <c r="R86" s="66">
        <v>0</v>
      </c>
      <c r="S86" s="66">
        <v>0</v>
      </c>
      <c r="T86" s="66">
        <v>0</v>
      </c>
      <c r="U86" s="66">
        <v>0</v>
      </c>
      <c r="V86" s="66">
        <v>0</v>
      </c>
      <c r="W86" s="66">
        <v>0</v>
      </c>
      <c r="X86" s="66">
        <v>0</v>
      </c>
      <c r="Y86" s="66">
        <v>0</v>
      </c>
      <c r="Z86" s="66" t="str">
        <f>_xlfn.XLOOKUP(REALIZADO[[#This Row],[PDV]],PROJEÇÃO[PDV],PROJEÇÃO[COORDENAÇÃO])</f>
        <v>THAYANDRA</v>
      </c>
    </row>
    <row r="87" spans="1:26" x14ac:dyDescent="0.35">
      <c r="A87" t="s">
        <v>164</v>
      </c>
      <c r="B87" t="s">
        <v>29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0</v>
      </c>
      <c r="K87" s="66">
        <v>0</v>
      </c>
      <c r="L87" s="66">
        <v>0</v>
      </c>
      <c r="M87" s="66">
        <v>0</v>
      </c>
      <c r="N87" s="66">
        <v>0</v>
      </c>
      <c r="O87" s="66">
        <v>0</v>
      </c>
      <c r="P87" s="66">
        <v>0</v>
      </c>
      <c r="Q87" s="66">
        <v>0</v>
      </c>
      <c r="R87" s="66">
        <v>0</v>
      </c>
      <c r="S87" s="66">
        <v>0</v>
      </c>
      <c r="T87" s="66">
        <v>0</v>
      </c>
      <c r="U87" s="66">
        <v>0</v>
      </c>
      <c r="V87" s="66">
        <v>0</v>
      </c>
      <c r="W87" s="66">
        <v>0</v>
      </c>
      <c r="X87" s="66">
        <v>0</v>
      </c>
      <c r="Y87" s="66">
        <v>0</v>
      </c>
      <c r="Z87" s="66" t="str">
        <f>_xlfn.XLOOKUP(REALIZADO[[#This Row],[PDV]],PROJEÇÃO[PDV],PROJEÇÃO[COORDENAÇÃO])</f>
        <v>ARIEL</v>
      </c>
    </row>
    <row r="88" spans="1:26" x14ac:dyDescent="0.35">
      <c r="A88" t="s">
        <v>165</v>
      </c>
      <c r="B88" t="s">
        <v>39</v>
      </c>
      <c r="C88" s="66">
        <v>118</v>
      </c>
      <c r="D88" s="66">
        <v>0</v>
      </c>
      <c r="E88" s="66">
        <v>-118</v>
      </c>
      <c r="F88" s="66">
        <v>0</v>
      </c>
      <c r="G88" s="66">
        <v>0</v>
      </c>
      <c r="H88" s="66">
        <v>0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6">
        <v>0</v>
      </c>
      <c r="O88" s="66">
        <v>0</v>
      </c>
      <c r="P88" s="66">
        <v>0</v>
      </c>
      <c r="Q88" s="66">
        <v>0</v>
      </c>
      <c r="R88" s="66">
        <v>0</v>
      </c>
      <c r="S88" s="66">
        <v>0</v>
      </c>
      <c r="T88" s="66">
        <v>0</v>
      </c>
      <c r="U88" s="66">
        <v>0</v>
      </c>
      <c r="V88" s="66">
        <v>0</v>
      </c>
      <c r="W88" s="66">
        <v>40.9</v>
      </c>
      <c r="X88" s="66">
        <v>0</v>
      </c>
      <c r="Y88" s="66">
        <v>-40.9</v>
      </c>
      <c r="Z88" s="66" t="str">
        <f>_xlfn.XLOOKUP(REALIZADO[[#This Row],[PDV]],PROJEÇÃO[PDV],PROJEÇÃO[COORDENAÇÃO])</f>
        <v>LUIZ</v>
      </c>
    </row>
    <row r="89" spans="1:26" x14ac:dyDescent="0.35">
      <c r="A89" t="s">
        <v>166</v>
      </c>
      <c r="B89" t="s">
        <v>43</v>
      </c>
      <c r="C89" s="66">
        <v>0</v>
      </c>
      <c r="D89" s="66">
        <v>0</v>
      </c>
      <c r="E89" s="66">
        <v>0</v>
      </c>
      <c r="F89" s="66">
        <v>0</v>
      </c>
      <c r="G89" s="66">
        <v>0</v>
      </c>
      <c r="H89" s="66">
        <v>0</v>
      </c>
      <c r="I89" s="66">
        <v>1699</v>
      </c>
      <c r="J89" s="66">
        <v>0</v>
      </c>
      <c r="K89" s="66">
        <v>-1699</v>
      </c>
      <c r="L89" s="66">
        <v>0</v>
      </c>
      <c r="M89" s="66">
        <v>0</v>
      </c>
      <c r="N89" s="66">
        <v>0</v>
      </c>
      <c r="O89" s="66">
        <v>0</v>
      </c>
      <c r="P89" s="66">
        <v>0</v>
      </c>
      <c r="Q89" s="66">
        <v>0</v>
      </c>
      <c r="R89" s="66">
        <v>0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 t="str">
        <f>_xlfn.XLOOKUP(REALIZADO[[#This Row],[PDV]],PROJEÇÃO[PDV],PROJEÇÃO[COORDENAÇÃO])</f>
        <v>LUIZ</v>
      </c>
    </row>
    <row r="90" spans="1:26" x14ac:dyDescent="0.35">
      <c r="A90" t="s">
        <v>167</v>
      </c>
      <c r="B90" t="s">
        <v>47</v>
      </c>
      <c r="C90" s="66">
        <v>0</v>
      </c>
      <c r="D90" s="66">
        <v>0</v>
      </c>
      <c r="E90" s="66">
        <v>0</v>
      </c>
      <c r="F90" s="66">
        <v>0</v>
      </c>
      <c r="G90" s="66">
        <v>0</v>
      </c>
      <c r="H90" s="66">
        <v>0</v>
      </c>
      <c r="I90" s="66">
        <v>0</v>
      </c>
      <c r="J90" s="66">
        <v>0</v>
      </c>
      <c r="K90" s="66">
        <v>0</v>
      </c>
      <c r="L90" s="66">
        <v>0</v>
      </c>
      <c r="M90" s="66">
        <v>0</v>
      </c>
      <c r="N90" s="66">
        <v>0</v>
      </c>
      <c r="O90" s="66">
        <v>0</v>
      </c>
      <c r="P90" s="66">
        <v>0</v>
      </c>
      <c r="Q90" s="66">
        <v>0</v>
      </c>
      <c r="R90" s="66">
        <v>0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 t="str">
        <f>_xlfn.XLOOKUP(REALIZADO[[#This Row],[PDV]],PROJEÇÃO[PDV],PROJEÇÃO[COORDENAÇÃO])</f>
        <v>LUIZ</v>
      </c>
    </row>
    <row r="91" spans="1:26" x14ac:dyDescent="0.35">
      <c r="A91" t="s">
        <v>168</v>
      </c>
      <c r="B91" t="s">
        <v>32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66">
        <v>0</v>
      </c>
      <c r="I91" s="66">
        <v>0</v>
      </c>
      <c r="J91" s="66">
        <v>0</v>
      </c>
      <c r="K91" s="66">
        <v>0</v>
      </c>
      <c r="L91" s="66">
        <v>0</v>
      </c>
      <c r="M91" s="66">
        <v>0</v>
      </c>
      <c r="N91" s="66">
        <v>0</v>
      </c>
      <c r="O91" s="66">
        <v>0</v>
      </c>
      <c r="P91" s="66">
        <v>0</v>
      </c>
      <c r="Q91" s="66">
        <v>0</v>
      </c>
      <c r="R91" s="66">
        <v>0</v>
      </c>
      <c r="S91" s="66">
        <v>0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</v>
      </c>
      <c r="Z91" s="66" t="str">
        <f>_xlfn.XLOOKUP(REALIZADO[[#This Row],[PDV]],PROJEÇÃO[PDV],PROJEÇÃO[COORDENAÇÃO])</f>
        <v>ARIEL</v>
      </c>
    </row>
    <row r="92" spans="1:26" x14ac:dyDescent="0.35">
      <c r="A92" t="s">
        <v>169</v>
      </c>
      <c r="B92" t="s">
        <v>33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O92" s="66">
        <v>0</v>
      </c>
      <c r="P92" s="66">
        <v>0</v>
      </c>
      <c r="Q92" s="66">
        <v>0</v>
      </c>
      <c r="R92" s="66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66" t="str">
        <f>_xlfn.XLOOKUP(REALIZADO[[#This Row],[PDV]],PROJEÇÃO[PDV],PROJEÇÃO[COORDENAÇÃO])</f>
        <v>ARIEL</v>
      </c>
    </row>
    <row r="93" spans="1:26" x14ac:dyDescent="0.35">
      <c r="A93" t="s">
        <v>170</v>
      </c>
      <c r="B93" t="s">
        <v>34</v>
      </c>
      <c r="C93" s="66">
        <v>0</v>
      </c>
      <c r="D93" s="66">
        <v>0</v>
      </c>
      <c r="E93" s="66">
        <v>0</v>
      </c>
      <c r="F93" s="66">
        <v>0</v>
      </c>
      <c r="G93" s="66">
        <v>0</v>
      </c>
      <c r="H93" s="66">
        <v>0</v>
      </c>
      <c r="I93" s="66">
        <v>0</v>
      </c>
      <c r="J93" s="66">
        <v>0</v>
      </c>
      <c r="K93" s="66">
        <v>0</v>
      </c>
      <c r="L93" s="66">
        <v>0</v>
      </c>
      <c r="M93" s="66">
        <v>0</v>
      </c>
      <c r="N93" s="66">
        <v>0</v>
      </c>
      <c r="O93" s="66">
        <v>0</v>
      </c>
      <c r="P93" s="66">
        <v>0</v>
      </c>
      <c r="Q93" s="66">
        <v>0</v>
      </c>
      <c r="R93" s="66">
        <v>0</v>
      </c>
      <c r="S93" s="66">
        <v>0</v>
      </c>
      <c r="T93" s="66">
        <v>59.9</v>
      </c>
      <c r="U93" s="66">
        <v>0</v>
      </c>
      <c r="V93" s="66">
        <v>-59.9</v>
      </c>
      <c r="W93" s="66">
        <v>0</v>
      </c>
      <c r="X93" s="66">
        <v>0</v>
      </c>
      <c r="Y93" s="66">
        <v>0</v>
      </c>
      <c r="Z93" s="66" t="str">
        <f>_xlfn.XLOOKUP(REALIZADO[[#This Row],[PDV]],PROJEÇÃO[PDV],PROJEÇÃO[COORDENAÇÃO])</f>
        <v>ARIEL</v>
      </c>
    </row>
    <row r="94" spans="1:26" x14ac:dyDescent="0.35">
      <c r="A94" t="s">
        <v>171</v>
      </c>
      <c r="B94" t="s">
        <v>35</v>
      </c>
      <c r="C94" s="66">
        <v>0</v>
      </c>
      <c r="D94" s="66">
        <v>0</v>
      </c>
      <c r="E94" s="66">
        <v>0</v>
      </c>
      <c r="F94" s="66">
        <v>0</v>
      </c>
      <c r="G94" s="66">
        <v>0</v>
      </c>
      <c r="H94" s="66">
        <v>0</v>
      </c>
      <c r="I94" s="66">
        <v>0</v>
      </c>
      <c r="J94" s="66">
        <v>0</v>
      </c>
      <c r="K94" s="66">
        <v>0</v>
      </c>
      <c r="L94" s="66">
        <v>0</v>
      </c>
      <c r="M94" s="66">
        <v>0</v>
      </c>
      <c r="N94" s="66">
        <v>0</v>
      </c>
      <c r="O94" s="66">
        <v>0</v>
      </c>
      <c r="P94" s="66">
        <v>0</v>
      </c>
      <c r="Q94" s="66">
        <v>0</v>
      </c>
      <c r="R94" s="66">
        <v>0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66" t="str">
        <f>_xlfn.XLOOKUP(REALIZADO[[#This Row],[PDV]],PROJEÇÃO[PDV],PROJEÇÃO[COORDENAÇÃO])</f>
        <v>ARIEL</v>
      </c>
    </row>
    <row r="95" spans="1:26" x14ac:dyDescent="0.35">
      <c r="A95" t="s">
        <v>172</v>
      </c>
      <c r="B95" t="s">
        <v>51</v>
      </c>
      <c r="C95" s="66">
        <v>0</v>
      </c>
      <c r="D95" s="66">
        <v>0</v>
      </c>
      <c r="E95" s="66">
        <v>0</v>
      </c>
      <c r="F95" s="66">
        <v>0</v>
      </c>
      <c r="G95" s="66">
        <v>0</v>
      </c>
      <c r="H95" s="66">
        <v>0</v>
      </c>
      <c r="I95" s="66">
        <v>0</v>
      </c>
      <c r="J95" s="66">
        <v>0</v>
      </c>
      <c r="K95" s="66">
        <v>0</v>
      </c>
      <c r="L95" s="66">
        <v>0</v>
      </c>
      <c r="M95" s="66">
        <v>0</v>
      </c>
      <c r="N95" s="66">
        <v>0</v>
      </c>
      <c r="O95" s="66">
        <v>0</v>
      </c>
      <c r="P95" s="66">
        <v>0</v>
      </c>
      <c r="Q95" s="66">
        <v>0</v>
      </c>
      <c r="R95" s="66">
        <v>0</v>
      </c>
      <c r="S95" s="66">
        <v>0</v>
      </c>
      <c r="T95" s="66">
        <v>0</v>
      </c>
      <c r="U95" s="66">
        <v>0</v>
      </c>
      <c r="V95" s="66">
        <v>0</v>
      </c>
      <c r="W95" s="66">
        <v>0</v>
      </c>
      <c r="X95" s="66">
        <v>0</v>
      </c>
      <c r="Y95" s="66">
        <v>0</v>
      </c>
      <c r="Z95" s="66" t="str">
        <f>_xlfn.XLOOKUP(REALIZADO[[#This Row],[PDV]],PROJEÇÃO[PDV],PROJEÇÃO[COORDENAÇÃO])</f>
        <v>RCX</v>
      </c>
    </row>
    <row r="96" spans="1:26" x14ac:dyDescent="0.35">
      <c r="A96" t="s">
        <v>173</v>
      </c>
      <c r="B96" t="s">
        <v>51</v>
      </c>
      <c r="C96" s="66">
        <v>1483.97</v>
      </c>
      <c r="D96" s="66">
        <v>0</v>
      </c>
      <c r="E96" s="66">
        <v>-1483.97</v>
      </c>
      <c r="F96" s="66">
        <v>844.98</v>
      </c>
      <c r="G96" s="66">
        <v>0</v>
      </c>
      <c r="H96" s="66">
        <v>-844.98</v>
      </c>
      <c r="I96" s="66">
        <v>0</v>
      </c>
      <c r="J96" s="66">
        <v>0</v>
      </c>
      <c r="K96" s="66">
        <v>0</v>
      </c>
      <c r="L96" s="66">
        <v>0</v>
      </c>
      <c r="M96" s="66">
        <v>0</v>
      </c>
      <c r="N96" s="66">
        <v>0</v>
      </c>
      <c r="O96" s="66">
        <v>0</v>
      </c>
      <c r="P96" s="66">
        <v>0</v>
      </c>
      <c r="Q96" s="66">
        <v>0</v>
      </c>
      <c r="R96" s="66">
        <v>0</v>
      </c>
      <c r="S96" s="66">
        <v>0</v>
      </c>
      <c r="T96" s="66">
        <v>0</v>
      </c>
      <c r="U96" s="66">
        <v>0</v>
      </c>
      <c r="V96" s="66">
        <v>0</v>
      </c>
      <c r="W96" s="66">
        <v>0</v>
      </c>
      <c r="X96" s="66">
        <v>0</v>
      </c>
      <c r="Y96" s="66">
        <v>0</v>
      </c>
      <c r="Z96" s="66" t="str">
        <f>_xlfn.XLOOKUP(REALIZADO[[#This Row],[PDV]],PROJEÇÃO[PDV],PROJEÇÃO[COORDENAÇÃO])</f>
        <v>RCX</v>
      </c>
    </row>
    <row r="97" spans="1:26" x14ac:dyDescent="0.35">
      <c r="A97" t="s">
        <v>174</v>
      </c>
      <c r="B97" t="s">
        <v>51</v>
      </c>
      <c r="C97" s="66">
        <v>332</v>
      </c>
      <c r="D97" s="66">
        <v>0</v>
      </c>
      <c r="E97" s="66">
        <v>-332</v>
      </c>
      <c r="F97" s="66">
        <v>449.99</v>
      </c>
      <c r="G97" s="66">
        <v>0</v>
      </c>
      <c r="H97" s="66">
        <v>-449.99</v>
      </c>
      <c r="I97" s="66">
        <v>0</v>
      </c>
      <c r="J97" s="66">
        <v>0</v>
      </c>
      <c r="K97" s="66">
        <v>0</v>
      </c>
      <c r="L97" s="66">
        <v>0</v>
      </c>
      <c r="M97" s="66">
        <v>0</v>
      </c>
      <c r="N97" s="66">
        <v>0</v>
      </c>
      <c r="O97" s="66">
        <v>0</v>
      </c>
      <c r="P97" s="66">
        <v>0</v>
      </c>
      <c r="Q97" s="66">
        <v>0</v>
      </c>
      <c r="R97" s="66">
        <v>0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66" t="str">
        <f>_xlfn.XLOOKUP(REALIZADO[[#This Row],[PDV]],PROJEÇÃO[PDV],PROJEÇÃO[COORDENAÇÃO])</f>
        <v>RCX</v>
      </c>
    </row>
    <row r="98" spans="1:26" x14ac:dyDescent="0.35">
      <c r="A98" t="s">
        <v>175</v>
      </c>
      <c r="B98" t="s">
        <v>46</v>
      </c>
      <c r="C98" s="66">
        <v>0</v>
      </c>
      <c r="D98" s="66">
        <v>0</v>
      </c>
      <c r="E98" s="66">
        <v>0</v>
      </c>
      <c r="F98" s="66">
        <v>0</v>
      </c>
      <c r="G98" s="66">
        <v>0</v>
      </c>
      <c r="H98" s="66">
        <v>0</v>
      </c>
      <c r="I98" s="66">
        <v>0</v>
      </c>
      <c r="J98" s="66">
        <v>0</v>
      </c>
      <c r="K98" s="66">
        <v>0</v>
      </c>
      <c r="L98" s="66">
        <v>0</v>
      </c>
      <c r="M98" s="66">
        <v>0</v>
      </c>
      <c r="N98" s="66">
        <v>0</v>
      </c>
      <c r="O98" s="66">
        <v>0</v>
      </c>
      <c r="P98" s="66">
        <v>0</v>
      </c>
      <c r="Q98" s="66">
        <v>0</v>
      </c>
      <c r="R98" s="66">
        <v>0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66" t="str">
        <f>_xlfn.XLOOKUP(REALIZADO[[#This Row],[PDV]],PROJEÇÃO[PDV],PROJEÇÃO[COORDENAÇÃO])</f>
        <v>THAYANDRA</v>
      </c>
    </row>
    <row r="99" spans="1:26" x14ac:dyDescent="0.35">
      <c r="A99" t="s">
        <v>176</v>
      </c>
      <c r="B99" t="s">
        <v>48</v>
      </c>
      <c r="C99" s="66">
        <v>48</v>
      </c>
      <c r="D99" s="66">
        <v>0</v>
      </c>
      <c r="E99" s="66">
        <v>-48</v>
      </c>
      <c r="F99" s="66">
        <v>0</v>
      </c>
      <c r="G99" s="66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O99" s="66">
        <v>0</v>
      </c>
      <c r="P99" s="66">
        <v>0</v>
      </c>
      <c r="Q99" s="66">
        <v>0</v>
      </c>
      <c r="R99" s="66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 t="str">
        <f>_xlfn.XLOOKUP(REALIZADO[[#This Row],[PDV]],PROJEÇÃO[PDV],PROJEÇÃO[COORDENAÇÃO])</f>
        <v>THAYANDRA</v>
      </c>
    </row>
    <row r="100" spans="1:26" x14ac:dyDescent="0.35">
      <c r="A100" t="s">
        <v>177</v>
      </c>
      <c r="B100" t="s">
        <v>42</v>
      </c>
      <c r="C100" s="66">
        <v>263</v>
      </c>
      <c r="D100" s="66">
        <v>0</v>
      </c>
      <c r="E100" s="66">
        <v>-263</v>
      </c>
      <c r="F100" s="66">
        <v>15</v>
      </c>
      <c r="G100" s="66">
        <v>0</v>
      </c>
      <c r="H100" s="66">
        <v>-15</v>
      </c>
      <c r="I100" s="66">
        <v>6668</v>
      </c>
      <c r="J100" s="66">
        <v>0</v>
      </c>
      <c r="K100" s="66">
        <v>-6668</v>
      </c>
      <c r="L100" s="66">
        <v>0</v>
      </c>
      <c r="M100" s="66">
        <v>139</v>
      </c>
      <c r="N100" s="66">
        <v>0</v>
      </c>
      <c r="O100" s="66">
        <v>-139</v>
      </c>
      <c r="P100" s="66">
        <v>327</v>
      </c>
      <c r="Q100" s="66">
        <v>706</v>
      </c>
      <c r="R100" s="66">
        <v>0</v>
      </c>
      <c r="S100" s="66">
        <v>-1033</v>
      </c>
      <c r="T100" s="66">
        <v>0</v>
      </c>
      <c r="U100" s="66">
        <v>0</v>
      </c>
      <c r="V100" s="66">
        <v>0</v>
      </c>
      <c r="W100" s="66">
        <v>45</v>
      </c>
      <c r="X100" s="66">
        <v>0</v>
      </c>
      <c r="Y100" s="66">
        <v>-45</v>
      </c>
      <c r="Z100" s="66" t="str">
        <f>_xlfn.XLOOKUP(REALIZADO[[#This Row],[PDV]],PROJEÇÃO[PDV],PROJEÇÃO[COORDENAÇÃO])</f>
        <v>THAYANDRA</v>
      </c>
    </row>
    <row r="101" spans="1:26" x14ac:dyDescent="0.35">
      <c r="A101" t="s">
        <v>178</v>
      </c>
      <c r="B101" t="s">
        <v>39</v>
      </c>
      <c r="C101" s="66">
        <v>0</v>
      </c>
      <c r="D101" s="66">
        <v>0</v>
      </c>
      <c r="E101" s="66">
        <v>0</v>
      </c>
      <c r="F101" s="66">
        <v>0</v>
      </c>
      <c r="G101" s="66">
        <v>0</v>
      </c>
      <c r="H101" s="66">
        <v>0</v>
      </c>
      <c r="I101" s="66">
        <v>6399</v>
      </c>
      <c r="J101" s="66">
        <v>0</v>
      </c>
      <c r="K101" s="66">
        <v>-6399</v>
      </c>
      <c r="L101" s="66">
        <v>0</v>
      </c>
      <c r="M101" s="66">
        <v>3648</v>
      </c>
      <c r="N101" s="66">
        <v>0</v>
      </c>
      <c r="O101" s="66">
        <v>-3648</v>
      </c>
      <c r="P101" s="66">
        <v>119</v>
      </c>
      <c r="Q101" s="66">
        <v>368</v>
      </c>
      <c r="R101" s="66">
        <v>0</v>
      </c>
      <c r="S101" s="66">
        <v>-487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66" t="str">
        <f>_xlfn.XLOOKUP(REALIZADO[[#This Row],[PDV]],PROJEÇÃO[PDV],PROJEÇÃO[COORDENAÇÃO])</f>
        <v>LUIZ</v>
      </c>
    </row>
    <row r="102" spans="1:26" x14ac:dyDescent="0.35">
      <c r="A102" t="s">
        <v>179</v>
      </c>
      <c r="B102" t="s">
        <v>50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  <c r="Q102" s="66">
        <v>0</v>
      </c>
      <c r="R102" s="66">
        <v>0</v>
      </c>
      <c r="S102" s="66">
        <v>0</v>
      </c>
      <c r="T102" s="66">
        <v>29.9</v>
      </c>
      <c r="U102" s="66">
        <v>0</v>
      </c>
      <c r="V102" s="66">
        <v>-29.9</v>
      </c>
      <c r="W102" s="66">
        <v>0</v>
      </c>
      <c r="X102" s="66">
        <v>0</v>
      </c>
      <c r="Y102" s="66">
        <v>0</v>
      </c>
      <c r="Z102" s="66" t="str">
        <f>_xlfn.XLOOKUP(REALIZADO[[#This Row],[PDV]],PROJEÇÃO[PDV],PROJEÇÃO[COORDENAÇÃO])</f>
        <v>THAYANDRA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4BC4-DA08-47F6-B6BC-110C4D9D8380}">
  <sheetPr codeName="Planilha2"/>
  <dimension ref="A1:T106"/>
  <sheetViews>
    <sheetView workbookViewId="0">
      <selection activeCell="B14" sqref="B14"/>
    </sheetView>
  </sheetViews>
  <sheetFormatPr defaultRowHeight="14.5" x14ac:dyDescent="0.35"/>
  <cols>
    <col min="1" max="1" width="37.36328125" bestFit="1" customWidth="1"/>
    <col min="2" max="2" width="24.81640625" bestFit="1" customWidth="1"/>
    <col min="3" max="3" width="15.90625" style="66" bestFit="1" customWidth="1"/>
    <col min="4" max="4" width="13.453125" style="66" bestFit="1" customWidth="1"/>
    <col min="5" max="5" width="10.453125" style="66" bestFit="1" customWidth="1"/>
    <col min="6" max="6" width="19.36328125" style="66" bestFit="1" customWidth="1"/>
    <col min="7" max="7" width="20.453125" style="66" bestFit="1" customWidth="1"/>
    <col min="8" max="8" width="21.36328125" style="66" bestFit="1" customWidth="1"/>
    <col min="9" max="9" width="17.26953125" style="66" bestFit="1" customWidth="1"/>
    <col min="10" max="10" width="13.08984375" style="66" bestFit="1" customWidth="1"/>
    <col min="11" max="11" width="13.36328125" style="66" bestFit="1" customWidth="1"/>
    <col min="12" max="12" width="19.7265625" style="66" bestFit="1" customWidth="1"/>
    <col min="13" max="13" width="20" style="66" bestFit="1" customWidth="1"/>
    <col min="14" max="14" width="17.54296875" style="66" bestFit="1" customWidth="1"/>
    <col min="15" max="16" width="18.54296875" style="66" bestFit="1" customWidth="1"/>
    <col min="17" max="17" width="17.54296875" style="66" bestFit="1" customWidth="1"/>
    <col min="18" max="18" width="17.54296875" bestFit="1" customWidth="1"/>
    <col min="19" max="19" width="12" bestFit="1" customWidth="1"/>
    <col min="20" max="20" width="17.453125" bestFit="1" customWidth="1"/>
  </cols>
  <sheetData>
    <row r="1" spans="1:20" x14ac:dyDescent="0.35">
      <c r="A1" t="s">
        <v>53</v>
      </c>
      <c r="B1" t="s">
        <v>54</v>
      </c>
      <c r="C1" s="66" t="s">
        <v>180</v>
      </c>
      <c r="D1" s="66" t="s">
        <v>181</v>
      </c>
      <c r="E1" t="s">
        <v>228</v>
      </c>
      <c r="F1" s="66" t="s">
        <v>182</v>
      </c>
      <c r="G1" s="66" t="s">
        <v>183</v>
      </c>
      <c r="H1" s="66" t="s">
        <v>184</v>
      </c>
      <c r="I1" s="66" t="s">
        <v>185</v>
      </c>
      <c r="J1" s="66" t="s">
        <v>186</v>
      </c>
      <c r="K1" s="66" t="s">
        <v>187</v>
      </c>
      <c r="L1" s="66" t="s">
        <v>188</v>
      </c>
      <c r="M1" s="66" t="s">
        <v>189</v>
      </c>
      <c r="N1" s="66" t="s">
        <v>190</v>
      </c>
      <c r="O1" s="66" t="s">
        <v>191</v>
      </c>
      <c r="P1" s="66" t="s">
        <v>192</v>
      </c>
      <c r="Q1" s="66" t="s">
        <v>193</v>
      </c>
      <c r="R1" s="66" t="s">
        <v>194</v>
      </c>
      <c r="S1" t="s">
        <v>229</v>
      </c>
      <c r="T1" t="s">
        <v>78</v>
      </c>
    </row>
    <row r="2" spans="1:20" x14ac:dyDescent="0.35">
      <c r="A2" s="198" t="s">
        <v>81</v>
      </c>
      <c r="B2" s="198" t="s">
        <v>27</v>
      </c>
      <c r="C2" s="66">
        <v>1484.6871000000001</v>
      </c>
      <c r="D2" s="66">
        <v>0</v>
      </c>
      <c r="E2" s="66">
        <v>3</v>
      </c>
      <c r="F2" s="66">
        <v>21974.857100000001</v>
      </c>
      <c r="G2" s="66">
        <v>2014</v>
      </c>
      <c r="H2" s="66">
        <v>4473.1428999999998</v>
      </c>
      <c r="I2" s="66">
        <v>203.02860000000001</v>
      </c>
      <c r="J2" s="66">
        <v>565.87429999999995</v>
      </c>
      <c r="K2" s="66">
        <v>0</v>
      </c>
      <c r="L2" s="66">
        <v>0</v>
      </c>
      <c r="M2" s="66">
        <v>0</v>
      </c>
      <c r="N2" s="66">
        <v>0</v>
      </c>
      <c r="O2" s="66">
        <v>0</v>
      </c>
      <c r="P2" s="66">
        <v>4473.1428999999998</v>
      </c>
      <c r="Q2" s="66">
        <v>1207.8570999999999</v>
      </c>
      <c r="R2" s="66">
        <v>806.14290000000005</v>
      </c>
      <c r="S2" s="66">
        <v>0</v>
      </c>
      <c r="T2" t="s">
        <v>28</v>
      </c>
    </row>
    <row r="3" spans="1:20" x14ac:dyDescent="0.35">
      <c r="A3" s="198" t="s">
        <v>79</v>
      </c>
      <c r="B3" s="198" t="s">
        <v>27</v>
      </c>
      <c r="C3" s="66">
        <v>1202.3471</v>
      </c>
      <c r="D3" s="66">
        <v>0</v>
      </c>
      <c r="E3" s="66">
        <v>0</v>
      </c>
      <c r="F3" s="66">
        <v>25118</v>
      </c>
      <c r="G3" s="66">
        <v>2662.7143000000001</v>
      </c>
      <c r="H3" s="66">
        <v>947.28570000000002</v>
      </c>
      <c r="I3" s="66">
        <v>140.6</v>
      </c>
      <c r="J3" s="66">
        <v>56.7286</v>
      </c>
      <c r="K3" s="66">
        <v>0</v>
      </c>
      <c r="L3" s="66">
        <v>0</v>
      </c>
      <c r="M3" s="66">
        <v>0</v>
      </c>
      <c r="N3" s="66">
        <v>0</v>
      </c>
      <c r="O3" s="66">
        <v>0</v>
      </c>
      <c r="P3" s="66">
        <v>947.28570000000002</v>
      </c>
      <c r="Q3" s="66">
        <v>857.71429999999998</v>
      </c>
      <c r="R3" s="66">
        <v>1805</v>
      </c>
      <c r="S3" s="66">
        <v>0</v>
      </c>
      <c r="T3" t="s">
        <v>28</v>
      </c>
    </row>
    <row r="4" spans="1:20" x14ac:dyDescent="0.35">
      <c r="A4" s="198" t="s">
        <v>230</v>
      </c>
      <c r="B4" s="198" t="s">
        <v>27</v>
      </c>
      <c r="C4" s="66">
        <v>1063.9729</v>
      </c>
      <c r="D4" s="66">
        <v>0</v>
      </c>
      <c r="E4" s="66">
        <v>0</v>
      </c>
      <c r="F4" s="66">
        <v>17493.571400000001</v>
      </c>
      <c r="G4" s="66">
        <v>2605.7143000000001</v>
      </c>
      <c r="H4" s="66">
        <v>1864.7143000000001</v>
      </c>
      <c r="I4" s="66">
        <v>183.48570000000001</v>
      </c>
      <c r="J4" s="66">
        <v>224.2</v>
      </c>
      <c r="K4" s="66">
        <v>0</v>
      </c>
      <c r="L4" s="66">
        <v>0</v>
      </c>
      <c r="M4" s="66">
        <v>0</v>
      </c>
      <c r="N4" s="66">
        <v>0</v>
      </c>
      <c r="O4" s="66">
        <v>0</v>
      </c>
      <c r="P4" s="66">
        <v>1864.7143000000001</v>
      </c>
      <c r="Q4" s="66">
        <v>1449.4286</v>
      </c>
      <c r="R4" s="66">
        <v>1156.2856999999999</v>
      </c>
      <c r="S4" s="66">
        <v>0</v>
      </c>
      <c r="T4" t="s">
        <v>28</v>
      </c>
    </row>
    <row r="5" spans="1:20" x14ac:dyDescent="0.35">
      <c r="A5" s="198" t="s">
        <v>231</v>
      </c>
      <c r="B5" s="198" t="s">
        <v>29</v>
      </c>
      <c r="C5" s="66">
        <v>6264.4629000000004</v>
      </c>
      <c r="D5" s="66">
        <v>0</v>
      </c>
      <c r="E5" s="66">
        <v>0</v>
      </c>
      <c r="F5" s="66">
        <v>37036.428599999999</v>
      </c>
      <c r="G5" s="66">
        <v>5862.8571000000002</v>
      </c>
      <c r="H5" s="66">
        <v>16380.7143</v>
      </c>
      <c r="I5" s="66">
        <v>473.91430000000003</v>
      </c>
      <c r="J5" s="66">
        <v>460.85860000000002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16380.7143</v>
      </c>
      <c r="Q5" s="66">
        <v>3333.1428999999998</v>
      </c>
      <c r="R5" s="66">
        <v>2529.7143000000001</v>
      </c>
      <c r="S5" s="66">
        <v>0</v>
      </c>
      <c r="T5" t="s">
        <v>28</v>
      </c>
    </row>
    <row r="6" spans="1:20" x14ac:dyDescent="0.35">
      <c r="A6" s="198" t="s">
        <v>83</v>
      </c>
      <c r="B6" s="198" t="s">
        <v>29</v>
      </c>
      <c r="C6" s="66">
        <v>3908.5171</v>
      </c>
      <c r="D6" s="66">
        <v>0</v>
      </c>
      <c r="E6" s="66">
        <v>0</v>
      </c>
      <c r="F6" s="66">
        <v>17227.571400000001</v>
      </c>
      <c r="G6" s="66">
        <v>2309.8571000000002</v>
      </c>
      <c r="H6" s="66">
        <v>10216.571400000001</v>
      </c>
      <c r="I6" s="66">
        <v>183.48570000000001</v>
      </c>
      <c r="J6" s="66">
        <v>181.28710000000001</v>
      </c>
      <c r="K6" s="66">
        <v>0</v>
      </c>
      <c r="L6" s="66">
        <v>0</v>
      </c>
      <c r="M6" s="66">
        <v>0</v>
      </c>
      <c r="N6" s="66">
        <v>0</v>
      </c>
      <c r="O6" s="66">
        <v>540.14290000000005</v>
      </c>
      <c r="P6" s="66">
        <v>9676.4285999999993</v>
      </c>
      <c r="Q6" s="66">
        <v>1207.8570999999999</v>
      </c>
      <c r="R6" s="66">
        <v>1102</v>
      </c>
      <c r="S6" s="66">
        <v>0</v>
      </c>
      <c r="T6" t="s">
        <v>28</v>
      </c>
    </row>
    <row r="7" spans="1:20" x14ac:dyDescent="0.35">
      <c r="A7" s="198" t="s">
        <v>82</v>
      </c>
      <c r="B7" s="198" t="s">
        <v>29</v>
      </c>
      <c r="C7" s="66">
        <v>3599.1428999999998</v>
      </c>
      <c r="D7" s="66">
        <v>0</v>
      </c>
      <c r="E7" s="66">
        <v>0</v>
      </c>
      <c r="F7" s="66">
        <v>30123.142899999999</v>
      </c>
      <c r="G7" s="66">
        <v>2904.2856999999999</v>
      </c>
      <c r="H7" s="66">
        <v>9847.4285999999993</v>
      </c>
      <c r="I7" s="66">
        <v>83.6</v>
      </c>
      <c r="J7" s="66">
        <v>54.258600000000001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9847.4285999999993</v>
      </c>
      <c r="Q7" s="66">
        <v>806.14290000000005</v>
      </c>
      <c r="R7" s="66">
        <v>2098.1428999999998</v>
      </c>
      <c r="S7" s="66">
        <v>0</v>
      </c>
      <c r="T7" t="s">
        <v>28</v>
      </c>
    </row>
    <row r="8" spans="1:20" x14ac:dyDescent="0.35">
      <c r="A8" s="198" t="s">
        <v>232</v>
      </c>
      <c r="B8" s="198" t="s">
        <v>36</v>
      </c>
      <c r="C8" s="66">
        <v>3273.4014000000002</v>
      </c>
      <c r="D8" s="66">
        <v>1425</v>
      </c>
      <c r="E8" s="66">
        <v>11</v>
      </c>
      <c r="F8" s="66">
        <v>49660.571400000001</v>
      </c>
      <c r="G8" s="66">
        <v>483.1429</v>
      </c>
      <c r="H8" s="66">
        <v>6356.8571000000002</v>
      </c>
      <c r="I8" s="66">
        <v>45.871400000000001</v>
      </c>
      <c r="J8" s="66">
        <v>732.3143</v>
      </c>
      <c r="K8" s="66">
        <v>0</v>
      </c>
      <c r="L8" s="66">
        <v>0</v>
      </c>
      <c r="M8" s="66">
        <v>0</v>
      </c>
      <c r="N8" s="66">
        <v>0</v>
      </c>
      <c r="O8" s="66">
        <v>211.71430000000001</v>
      </c>
      <c r="P8" s="66">
        <v>6145.1428999999998</v>
      </c>
      <c r="Q8" s="66">
        <v>483.1429</v>
      </c>
      <c r="R8" s="66">
        <v>0</v>
      </c>
      <c r="S8" s="66">
        <v>0.73333333333333328</v>
      </c>
      <c r="T8" t="s">
        <v>227</v>
      </c>
    </row>
    <row r="9" spans="1:20" x14ac:dyDescent="0.35">
      <c r="A9" s="198" t="s">
        <v>85</v>
      </c>
      <c r="B9" s="198" t="s">
        <v>36</v>
      </c>
      <c r="C9" s="66">
        <v>1848.4014</v>
      </c>
      <c r="D9" s="66">
        <v>1194.2856999999999</v>
      </c>
      <c r="E9" s="66">
        <v>6</v>
      </c>
      <c r="F9" s="66">
        <v>0</v>
      </c>
      <c r="G9" s="66">
        <v>2315.2856999999999</v>
      </c>
      <c r="H9" s="66">
        <v>781.71429999999998</v>
      </c>
      <c r="I9" s="66">
        <v>189.7286</v>
      </c>
      <c r="J9" s="66">
        <v>298.02859999999998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v>781.71429999999998</v>
      </c>
      <c r="Q9" s="66">
        <v>887.57140000000004</v>
      </c>
      <c r="R9" s="66">
        <v>1427.7143000000001</v>
      </c>
      <c r="S9" s="66">
        <v>0.4</v>
      </c>
      <c r="T9" t="s">
        <v>227</v>
      </c>
    </row>
    <row r="10" spans="1:20" x14ac:dyDescent="0.35">
      <c r="A10" s="198" t="s">
        <v>233</v>
      </c>
      <c r="B10" s="198" t="s">
        <v>38</v>
      </c>
      <c r="C10" s="66">
        <v>2337</v>
      </c>
      <c r="D10" s="66">
        <v>447.8571</v>
      </c>
      <c r="E10" s="66">
        <v>6</v>
      </c>
      <c r="F10" s="66">
        <v>28977.7143</v>
      </c>
      <c r="G10" s="66">
        <v>1639.4286</v>
      </c>
      <c r="H10" s="66">
        <v>3544.8571000000002</v>
      </c>
      <c r="I10" s="66">
        <v>45.871400000000001</v>
      </c>
      <c r="J10" s="66">
        <v>273.32859999999999</v>
      </c>
      <c r="K10" s="66">
        <v>0</v>
      </c>
      <c r="L10" s="66">
        <v>0</v>
      </c>
      <c r="M10" s="66">
        <v>0</v>
      </c>
      <c r="N10" s="66">
        <v>0</v>
      </c>
      <c r="O10" s="66">
        <v>567.28570000000002</v>
      </c>
      <c r="P10" s="66">
        <v>2977.5713999999998</v>
      </c>
      <c r="Q10" s="66">
        <v>561.85709999999995</v>
      </c>
      <c r="R10" s="66">
        <v>1077.5714</v>
      </c>
      <c r="S10" s="66">
        <v>0.4</v>
      </c>
      <c r="T10" t="s">
        <v>227</v>
      </c>
    </row>
    <row r="11" spans="1:20" x14ac:dyDescent="0.35">
      <c r="A11" s="198" t="s">
        <v>234</v>
      </c>
      <c r="B11" s="198" t="s">
        <v>38</v>
      </c>
      <c r="C11" s="66">
        <v>746.45569999999998</v>
      </c>
      <c r="D11" s="66">
        <v>787.14290000000005</v>
      </c>
      <c r="E11" s="66">
        <v>9</v>
      </c>
      <c r="F11" s="66">
        <v>4204.4286000000002</v>
      </c>
      <c r="G11" s="66">
        <v>187.28569999999999</v>
      </c>
      <c r="H11" s="66">
        <v>0</v>
      </c>
      <c r="I11" s="66">
        <v>189.7286</v>
      </c>
      <c r="J11" s="66">
        <v>56.7286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187.28569999999999</v>
      </c>
      <c r="R11" s="66">
        <v>0</v>
      </c>
      <c r="S11" s="66">
        <v>0.6</v>
      </c>
      <c r="T11" t="s">
        <v>227</v>
      </c>
    </row>
    <row r="12" spans="1:20" x14ac:dyDescent="0.35">
      <c r="A12" s="198" t="s">
        <v>86</v>
      </c>
      <c r="B12" s="198" t="s">
        <v>38</v>
      </c>
      <c r="C12" s="66">
        <v>2147</v>
      </c>
      <c r="D12" s="66">
        <v>1872.83</v>
      </c>
      <c r="E12" s="66">
        <v>17</v>
      </c>
      <c r="F12" s="66">
        <v>46674.857100000001</v>
      </c>
      <c r="G12" s="66">
        <v>3745.7143000000001</v>
      </c>
      <c r="H12" s="66">
        <v>0</v>
      </c>
      <c r="I12" s="66">
        <v>189.7286</v>
      </c>
      <c r="J12" s="66">
        <v>219.3143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1346.2856999999999</v>
      </c>
      <c r="R12" s="66">
        <v>2399.4286000000002</v>
      </c>
      <c r="S12" s="66">
        <v>1.1333333333333333</v>
      </c>
      <c r="T12" t="s">
        <v>227</v>
      </c>
    </row>
    <row r="13" spans="1:20" x14ac:dyDescent="0.35">
      <c r="A13" s="198" t="s">
        <v>235</v>
      </c>
      <c r="B13" s="198" t="s">
        <v>39</v>
      </c>
      <c r="C13" s="66">
        <v>2450.3213999999998</v>
      </c>
      <c r="D13" s="66">
        <v>298.57139999999998</v>
      </c>
      <c r="E13" s="66">
        <v>3</v>
      </c>
      <c r="F13" s="66">
        <v>6916</v>
      </c>
      <c r="G13" s="66">
        <v>574.20709999999997</v>
      </c>
      <c r="H13" s="66">
        <v>703</v>
      </c>
      <c r="I13" s="66">
        <v>94.7286</v>
      </c>
      <c r="J13" s="66">
        <v>137.88570000000001</v>
      </c>
      <c r="K13" s="66">
        <v>0</v>
      </c>
      <c r="L13" s="66">
        <v>0</v>
      </c>
      <c r="M13" s="66">
        <v>0</v>
      </c>
      <c r="N13" s="66">
        <v>0</v>
      </c>
      <c r="O13" s="66">
        <v>0</v>
      </c>
      <c r="P13" s="66">
        <v>703</v>
      </c>
      <c r="Q13" s="66">
        <v>574.20709999999997</v>
      </c>
      <c r="R13" s="66">
        <v>0</v>
      </c>
      <c r="S13" s="66">
        <v>0.15789473684210523</v>
      </c>
      <c r="T13" t="s">
        <v>227</v>
      </c>
    </row>
    <row r="14" spans="1:20" x14ac:dyDescent="0.35">
      <c r="A14" s="198" t="s">
        <v>88</v>
      </c>
      <c r="B14" s="198" t="s">
        <v>39</v>
      </c>
      <c r="C14" s="66">
        <v>1373.4286</v>
      </c>
      <c r="D14" s="66">
        <v>1628.5714</v>
      </c>
      <c r="E14" s="66">
        <v>17</v>
      </c>
      <c r="F14" s="66">
        <v>39753.428599999999</v>
      </c>
      <c r="G14" s="66">
        <v>3097</v>
      </c>
      <c r="H14" s="66">
        <v>11742</v>
      </c>
      <c r="I14" s="66">
        <v>232.34289999999999</v>
      </c>
      <c r="J14" s="66">
        <v>476.30290000000002</v>
      </c>
      <c r="K14" s="66">
        <v>0</v>
      </c>
      <c r="L14" s="66">
        <v>0</v>
      </c>
      <c r="M14" s="66">
        <v>0</v>
      </c>
      <c r="N14" s="66">
        <v>0</v>
      </c>
      <c r="O14" s="66">
        <v>0</v>
      </c>
      <c r="P14" s="66">
        <v>11742</v>
      </c>
      <c r="Q14" s="66">
        <v>1183.4286</v>
      </c>
      <c r="R14" s="66">
        <v>1913.5714</v>
      </c>
      <c r="S14" s="66">
        <v>0.89473684210526316</v>
      </c>
      <c r="T14" t="s">
        <v>227</v>
      </c>
    </row>
    <row r="15" spans="1:20" x14ac:dyDescent="0.35">
      <c r="A15" s="198" t="s">
        <v>90</v>
      </c>
      <c r="B15" s="198" t="s">
        <v>39</v>
      </c>
      <c r="C15" s="66">
        <v>2174.1428999999998</v>
      </c>
      <c r="D15" s="66">
        <v>2293.5713999999998</v>
      </c>
      <c r="E15" s="66">
        <v>25</v>
      </c>
      <c r="F15" s="66">
        <v>85695.428599999999</v>
      </c>
      <c r="G15" s="66">
        <v>1609.5714</v>
      </c>
      <c r="H15" s="66">
        <v>8683</v>
      </c>
      <c r="I15" s="66">
        <v>91.742900000000006</v>
      </c>
      <c r="J15" s="66">
        <v>162.5857</v>
      </c>
      <c r="K15" s="66">
        <v>0</v>
      </c>
      <c r="L15" s="66">
        <v>0</v>
      </c>
      <c r="M15" s="66">
        <v>0</v>
      </c>
      <c r="N15" s="66">
        <v>0</v>
      </c>
      <c r="O15" s="66">
        <v>0</v>
      </c>
      <c r="P15" s="66">
        <v>8683</v>
      </c>
      <c r="Q15" s="66">
        <v>966.28570000000002</v>
      </c>
      <c r="R15" s="66">
        <v>643.28570000000002</v>
      </c>
      <c r="S15" s="66">
        <v>1.3157894736842106</v>
      </c>
      <c r="T15" t="s">
        <v>227</v>
      </c>
    </row>
    <row r="16" spans="1:20" x14ac:dyDescent="0.35">
      <c r="A16" s="198" t="s">
        <v>128</v>
      </c>
      <c r="B16" s="198" t="s">
        <v>39</v>
      </c>
      <c r="C16" s="66">
        <v>1178</v>
      </c>
      <c r="D16" s="66">
        <v>1180.7143000000001</v>
      </c>
      <c r="E16" s="66">
        <v>11</v>
      </c>
      <c r="F16" s="66">
        <v>5018.7142999999996</v>
      </c>
      <c r="G16" s="66">
        <v>830.57140000000004</v>
      </c>
      <c r="H16" s="66">
        <v>8001.7142999999996</v>
      </c>
      <c r="I16" s="66">
        <v>137.61429999999999</v>
      </c>
      <c r="J16" s="66">
        <v>368.32859999999999</v>
      </c>
      <c r="K16" s="66">
        <v>0</v>
      </c>
      <c r="L16" s="66">
        <v>0</v>
      </c>
      <c r="M16" s="66">
        <v>0</v>
      </c>
      <c r="N16" s="66">
        <v>0</v>
      </c>
      <c r="O16" s="66">
        <v>7054.4286000000002</v>
      </c>
      <c r="P16" s="66">
        <v>947.28570000000002</v>
      </c>
      <c r="Q16" s="66">
        <v>428.8571</v>
      </c>
      <c r="R16" s="66">
        <v>401.71429999999998</v>
      </c>
      <c r="S16" s="66">
        <v>0.57894736842105265</v>
      </c>
      <c r="T16" t="s">
        <v>227</v>
      </c>
    </row>
    <row r="17" spans="1:20" x14ac:dyDescent="0.35">
      <c r="A17" s="198" t="s">
        <v>236</v>
      </c>
      <c r="B17" s="198" t="s">
        <v>39</v>
      </c>
      <c r="C17" s="66">
        <v>814.28570000000002</v>
      </c>
      <c r="D17" s="66">
        <v>990.71429999999998</v>
      </c>
      <c r="E17" s="66">
        <v>11</v>
      </c>
      <c r="F17" s="66">
        <v>21839.142899999999</v>
      </c>
      <c r="G17" s="66">
        <v>2261</v>
      </c>
      <c r="H17" s="66">
        <v>6400.2857000000004</v>
      </c>
      <c r="I17" s="66">
        <v>94.7286</v>
      </c>
      <c r="J17" s="66">
        <v>235.6</v>
      </c>
      <c r="K17" s="66">
        <v>0</v>
      </c>
      <c r="L17" s="66">
        <v>0</v>
      </c>
      <c r="M17" s="66">
        <v>0</v>
      </c>
      <c r="N17" s="66">
        <v>0</v>
      </c>
      <c r="O17" s="66">
        <v>0</v>
      </c>
      <c r="P17" s="66">
        <v>6400.2857000000004</v>
      </c>
      <c r="Q17" s="66">
        <v>912</v>
      </c>
      <c r="R17" s="66">
        <v>1349</v>
      </c>
      <c r="S17" s="66">
        <v>0.91666666666666652</v>
      </c>
      <c r="T17" t="s">
        <v>227</v>
      </c>
    </row>
    <row r="18" spans="1:20" x14ac:dyDescent="0.35">
      <c r="A18" s="198" t="s">
        <v>237</v>
      </c>
      <c r="B18" s="198" t="s">
        <v>39</v>
      </c>
      <c r="C18" s="66">
        <v>1095.92</v>
      </c>
      <c r="D18" s="66">
        <v>678.57140000000004</v>
      </c>
      <c r="E18" s="66">
        <v>9</v>
      </c>
      <c r="F18" s="66">
        <v>17374.278600000001</v>
      </c>
      <c r="G18" s="66">
        <v>1934.4713999999999</v>
      </c>
      <c r="H18" s="66">
        <v>646</v>
      </c>
      <c r="I18" s="66">
        <v>418.8143</v>
      </c>
      <c r="J18" s="66">
        <v>594.97140000000002</v>
      </c>
      <c r="K18" s="66">
        <v>0</v>
      </c>
      <c r="L18" s="66">
        <v>0</v>
      </c>
      <c r="M18" s="66">
        <v>0</v>
      </c>
      <c r="N18" s="66">
        <v>0</v>
      </c>
      <c r="O18" s="66">
        <v>0</v>
      </c>
      <c r="P18" s="66">
        <v>646</v>
      </c>
      <c r="Q18" s="66">
        <v>1140</v>
      </c>
      <c r="R18" s="66">
        <v>794.47140000000002</v>
      </c>
      <c r="S18" s="66">
        <v>0.47368421052631576</v>
      </c>
      <c r="T18" t="s">
        <v>227</v>
      </c>
    </row>
    <row r="19" spans="1:20" x14ac:dyDescent="0.35">
      <c r="A19" s="198" t="s">
        <v>94</v>
      </c>
      <c r="B19" s="198" t="s">
        <v>30</v>
      </c>
      <c r="C19" s="66">
        <v>2885.2856999999999</v>
      </c>
      <c r="D19" s="66">
        <v>0</v>
      </c>
      <c r="E19" s="66">
        <v>0</v>
      </c>
      <c r="F19" s="66">
        <v>44226.571400000001</v>
      </c>
      <c r="G19" s="66">
        <v>5491</v>
      </c>
      <c r="H19" s="66">
        <v>5368.8571000000002</v>
      </c>
      <c r="I19" s="66">
        <v>175.34289999999999</v>
      </c>
      <c r="J19" s="66">
        <v>355.00139999999999</v>
      </c>
      <c r="K19" s="66">
        <v>0</v>
      </c>
      <c r="L19" s="66">
        <v>0</v>
      </c>
      <c r="M19" s="66">
        <v>0</v>
      </c>
      <c r="N19" s="66">
        <v>0</v>
      </c>
      <c r="O19" s="66">
        <v>485.8571</v>
      </c>
      <c r="P19" s="66">
        <v>4883</v>
      </c>
      <c r="Q19" s="66">
        <v>1395.1429000000001</v>
      </c>
      <c r="R19" s="66">
        <v>4095.8571000000002</v>
      </c>
      <c r="S19" s="66">
        <v>0</v>
      </c>
      <c r="T19" t="s">
        <v>28</v>
      </c>
    </row>
    <row r="20" spans="1:20" x14ac:dyDescent="0.35">
      <c r="A20" s="198" t="s">
        <v>238</v>
      </c>
      <c r="B20" s="198" t="s">
        <v>30</v>
      </c>
      <c r="C20" s="66">
        <v>1468.4286</v>
      </c>
      <c r="D20" s="66">
        <v>0</v>
      </c>
      <c r="E20" s="66">
        <v>0</v>
      </c>
      <c r="F20" s="66">
        <v>31689.2857</v>
      </c>
      <c r="G20" s="66">
        <v>2339.7143000000001</v>
      </c>
      <c r="H20" s="66">
        <v>621.57140000000004</v>
      </c>
      <c r="I20" s="66">
        <v>398.45710000000003</v>
      </c>
      <c r="J20" s="66">
        <v>170.1857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621.57140000000004</v>
      </c>
      <c r="Q20" s="66">
        <v>1530.8570999999999</v>
      </c>
      <c r="R20" s="66">
        <v>808.85709999999995</v>
      </c>
      <c r="S20" s="66">
        <v>0</v>
      </c>
      <c r="T20" t="s">
        <v>28</v>
      </c>
    </row>
    <row r="21" spans="1:20" x14ac:dyDescent="0.35">
      <c r="A21" s="198" t="s">
        <v>239</v>
      </c>
      <c r="B21" s="198" t="s">
        <v>43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6">
        <v>0</v>
      </c>
      <c r="R21" s="66">
        <v>0</v>
      </c>
      <c r="S21" s="66">
        <v>0</v>
      </c>
      <c r="T21" t="s">
        <v>227</v>
      </c>
    </row>
    <row r="22" spans="1:20" x14ac:dyDescent="0.35">
      <c r="A22" s="198" t="s">
        <v>96</v>
      </c>
      <c r="B22" s="198" t="s">
        <v>43</v>
      </c>
      <c r="C22" s="66">
        <v>2605.6871000000001</v>
      </c>
      <c r="D22" s="66">
        <v>298.57139999999998</v>
      </c>
      <c r="E22" s="66">
        <v>3</v>
      </c>
      <c r="F22" s="66">
        <v>62059.428599999999</v>
      </c>
      <c r="G22" s="66">
        <v>3846.1428999999998</v>
      </c>
      <c r="H22" s="66">
        <v>1134.5714</v>
      </c>
      <c r="I22" s="66">
        <v>396.01429999999999</v>
      </c>
      <c r="J22" s="66">
        <v>149.20429999999999</v>
      </c>
      <c r="K22" s="66">
        <v>0</v>
      </c>
      <c r="L22" s="66">
        <v>0</v>
      </c>
      <c r="M22" s="66">
        <v>0</v>
      </c>
      <c r="N22" s="66">
        <v>0</v>
      </c>
      <c r="O22" s="66">
        <v>0</v>
      </c>
      <c r="P22" s="66">
        <v>1134.5714</v>
      </c>
      <c r="Q22" s="66">
        <v>1340.8570999999999</v>
      </c>
      <c r="R22" s="66">
        <v>2505.2856999999999</v>
      </c>
      <c r="S22" s="66">
        <v>0.2</v>
      </c>
      <c r="T22" t="s">
        <v>227</v>
      </c>
    </row>
    <row r="23" spans="1:20" x14ac:dyDescent="0.35">
      <c r="A23" s="198" t="s">
        <v>240</v>
      </c>
      <c r="B23" s="198" t="s">
        <v>43</v>
      </c>
      <c r="C23" s="66">
        <v>3012.8571000000002</v>
      </c>
      <c r="D23" s="66">
        <v>1031.4286</v>
      </c>
      <c r="E23" s="66">
        <v>11</v>
      </c>
      <c r="F23" s="66">
        <v>16277.571400000001</v>
      </c>
      <c r="G23" s="66">
        <v>3067.1428999999998</v>
      </c>
      <c r="H23" s="66">
        <v>1620.4286</v>
      </c>
      <c r="I23" s="66">
        <v>91.742900000000006</v>
      </c>
      <c r="J23" s="66">
        <v>695.91570000000002</v>
      </c>
      <c r="K23" s="66">
        <v>0</v>
      </c>
      <c r="L23" s="66">
        <v>0</v>
      </c>
      <c r="M23" s="66">
        <v>0</v>
      </c>
      <c r="N23" s="66">
        <v>0</v>
      </c>
      <c r="O23" s="66">
        <v>540.14290000000005</v>
      </c>
      <c r="P23" s="66">
        <v>1080.2856999999999</v>
      </c>
      <c r="Q23" s="66">
        <v>1449.4286</v>
      </c>
      <c r="R23" s="66">
        <v>1617.7143000000001</v>
      </c>
      <c r="S23" s="66">
        <v>0.73333333333333328</v>
      </c>
      <c r="T23" t="s">
        <v>227</v>
      </c>
    </row>
    <row r="24" spans="1:20" x14ac:dyDescent="0.35">
      <c r="A24" s="198" t="s">
        <v>241</v>
      </c>
      <c r="B24" s="198" t="s">
        <v>44</v>
      </c>
      <c r="C24" s="66">
        <v>1707.2856999999999</v>
      </c>
      <c r="D24" s="66">
        <v>1818.5714</v>
      </c>
      <c r="E24" s="66">
        <v>19</v>
      </c>
      <c r="F24" s="66">
        <v>44392.278599999998</v>
      </c>
      <c r="G24" s="66">
        <v>2191.2429000000002</v>
      </c>
      <c r="H24" s="66">
        <v>18364.857100000001</v>
      </c>
      <c r="I24" s="66">
        <v>373.21429999999998</v>
      </c>
      <c r="J24" s="66">
        <v>246.4571</v>
      </c>
      <c r="K24" s="66">
        <v>0</v>
      </c>
      <c r="L24" s="66">
        <v>0</v>
      </c>
      <c r="M24" s="66">
        <v>0</v>
      </c>
      <c r="N24" s="66">
        <v>0</v>
      </c>
      <c r="O24" s="66">
        <v>0</v>
      </c>
      <c r="P24" s="66">
        <v>18364.857100000001</v>
      </c>
      <c r="Q24" s="66">
        <v>1835.4</v>
      </c>
      <c r="R24" s="66">
        <v>355.84289999999999</v>
      </c>
      <c r="S24" s="66">
        <v>1.1875</v>
      </c>
      <c r="T24" t="s">
        <v>45</v>
      </c>
    </row>
    <row r="25" spans="1:20" x14ac:dyDescent="0.35">
      <c r="A25" s="198" t="s">
        <v>242</v>
      </c>
      <c r="B25" s="198" t="s">
        <v>44</v>
      </c>
      <c r="C25" s="66">
        <v>1175.2856999999999</v>
      </c>
      <c r="D25" s="66">
        <v>1357.1429000000001</v>
      </c>
      <c r="E25" s="66">
        <v>14</v>
      </c>
      <c r="F25" s="66">
        <v>9358.8570999999993</v>
      </c>
      <c r="G25" s="66">
        <v>471.0643</v>
      </c>
      <c r="H25" s="66">
        <v>6104.4286000000002</v>
      </c>
      <c r="I25" s="66">
        <v>186.47139999999999</v>
      </c>
      <c r="J25" s="66">
        <v>343.87290000000002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6104.4286000000002</v>
      </c>
      <c r="Q25" s="66">
        <v>471.0643</v>
      </c>
      <c r="R25" s="66">
        <v>0</v>
      </c>
      <c r="S25" s="66">
        <v>1.4</v>
      </c>
      <c r="T25" t="s">
        <v>45</v>
      </c>
    </row>
    <row r="26" spans="1:20" x14ac:dyDescent="0.35">
      <c r="A26" s="198" t="s">
        <v>243</v>
      </c>
      <c r="B26" s="198" t="s">
        <v>44</v>
      </c>
      <c r="C26" s="66">
        <v>1584.4914000000001</v>
      </c>
      <c r="D26" s="66">
        <v>556.45569999999998</v>
      </c>
      <c r="E26" s="66">
        <v>6</v>
      </c>
      <c r="F26" s="66">
        <v>30932</v>
      </c>
      <c r="G26" s="66">
        <v>2216.4857000000002</v>
      </c>
      <c r="H26" s="66">
        <v>5697.2857000000004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5697.2857000000004</v>
      </c>
      <c r="Q26" s="66">
        <v>1301.7714000000001</v>
      </c>
      <c r="R26" s="66">
        <v>914.71429999999998</v>
      </c>
      <c r="S26" s="66">
        <v>0.6</v>
      </c>
      <c r="T26" t="s">
        <v>45</v>
      </c>
    </row>
    <row r="27" spans="1:20" x14ac:dyDescent="0.35">
      <c r="A27" s="198" t="s">
        <v>244</v>
      </c>
      <c r="B27" s="198" t="s">
        <v>44</v>
      </c>
      <c r="C27" s="66">
        <v>2789.6071000000002</v>
      </c>
      <c r="D27" s="66">
        <v>827.83</v>
      </c>
      <c r="E27" s="66">
        <v>6</v>
      </c>
      <c r="F27" s="66">
        <v>49427.278599999998</v>
      </c>
      <c r="G27" s="66">
        <v>3900.4014000000002</v>
      </c>
      <c r="H27" s="66">
        <v>8137.4286000000002</v>
      </c>
      <c r="I27" s="66">
        <v>379.45710000000003</v>
      </c>
      <c r="J27" s="66">
        <v>338.2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v>8137.4286000000002</v>
      </c>
      <c r="Q27" s="66">
        <v>1880.8643</v>
      </c>
      <c r="R27" s="66">
        <v>2019.5371</v>
      </c>
      <c r="S27" s="66">
        <v>0.375</v>
      </c>
      <c r="T27" t="s">
        <v>45</v>
      </c>
    </row>
    <row r="28" spans="1:20" x14ac:dyDescent="0.35">
      <c r="A28" s="198" t="s">
        <v>245</v>
      </c>
      <c r="B28" s="198" t="s">
        <v>40</v>
      </c>
      <c r="C28" s="66">
        <v>765.42859999999996</v>
      </c>
      <c r="D28" s="66">
        <v>1234.9729</v>
      </c>
      <c r="E28" s="66">
        <v>11</v>
      </c>
      <c r="F28" s="66">
        <v>14784.7143</v>
      </c>
      <c r="G28" s="66">
        <v>2448.2856999999999</v>
      </c>
      <c r="H28" s="66">
        <v>3523.1428999999998</v>
      </c>
      <c r="I28" s="66">
        <v>45.871400000000001</v>
      </c>
      <c r="J28" s="66">
        <v>270.85860000000002</v>
      </c>
      <c r="K28" s="66">
        <v>0</v>
      </c>
      <c r="L28" s="66">
        <v>0</v>
      </c>
      <c r="M28" s="66">
        <v>0</v>
      </c>
      <c r="N28" s="66">
        <v>0</v>
      </c>
      <c r="O28" s="66">
        <v>0</v>
      </c>
      <c r="P28" s="66">
        <v>3523.1428999999998</v>
      </c>
      <c r="Q28" s="66">
        <v>966.28570000000002</v>
      </c>
      <c r="R28" s="66">
        <v>1482</v>
      </c>
      <c r="S28" s="66">
        <v>0.91666666666666652</v>
      </c>
      <c r="T28" t="s">
        <v>45</v>
      </c>
    </row>
    <row r="29" spans="1:20" x14ac:dyDescent="0.35">
      <c r="A29" s="198" t="s">
        <v>246</v>
      </c>
      <c r="B29" s="198" t="s">
        <v>40</v>
      </c>
      <c r="C29" s="66">
        <v>1473.8842999999999</v>
      </c>
      <c r="D29" s="66">
        <v>1520</v>
      </c>
      <c r="E29" s="66">
        <v>14</v>
      </c>
      <c r="F29" s="66">
        <v>14241.857099999999</v>
      </c>
      <c r="G29" s="66">
        <v>1237.7143000000001</v>
      </c>
      <c r="H29" s="66">
        <v>2920.5713999999998</v>
      </c>
      <c r="I29" s="66">
        <v>83.6</v>
      </c>
      <c r="J29" s="66">
        <v>240.73</v>
      </c>
      <c r="K29" s="66">
        <v>0</v>
      </c>
      <c r="L29" s="66">
        <v>0</v>
      </c>
      <c r="M29" s="66">
        <v>0</v>
      </c>
      <c r="N29" s="66">
        <v>0</v>
      </c>
      <c r="O29" s="66">
        <v>540.14290000000005</v>
      </c>
      <c r="P29" s="66">
        <v>2380.4286000000002</v>
      </c>
      <c r="Q29" s="66">
        <v>428.8571</v>
      </c>
      <c r="R29" s="66">
        <v>808.85709999999995</v>
      </c>
      <c r="S29" s="66">
        <v>1.4</v>
      </c>
      <c r="T29" t="s">
        <v>45</v>
      </c>
    </row>
    <row r="30" spans="1:20" x14ac:dyDescent="0.35">
      <c r="A30" s="198" t="s">
        <v>133</v>
      </c>
      <c r="B30" s="198" t="s">
        <v>40</v>
      </c>
      <c r="C30" s="66">
        <v>2458.4371000000001</v>
      </c>
      <c r="D30" s="66">
        <v>1547.1429000000001</v>
      </c>
      <c r="E30" s="66">
        <v>14</v>
      </c>
      <c r="F30" s="66">
        <v>88605.142900000006</v>
      </c>
      <c r="G30" s="66">
        <v>2559.5713999999998</v>
      </c>
      <c r="H30" s="66">
        <v>2711.5713999999998</v>
      </c>
      <c r="I30" s="66">
        <v>417.1857</v>
      </c>
      <c r="J30" s="66">
        <v>175.88570000000001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2711.5713999999998</v>
      </c>
      <c r="Q30" s="66">
        <v>670.42859999999996</v>
      </c>
      <c r="R30" s="66">
        <v>1889.1429000000001</v>
      </c>
      <c r="S30" s="66">
        <v>1.1666666666666667</v>
      </c>
      <c r="T30" t="s">
        <v>45</v>
      </c>
    </row>
    <row r="31" spans="1:20" x14ac:dyDescent="0.35">
      <c r="A31" s="198" t="s">
        <v>247</v>
      </c>
      <c r="B31" s="198" t="s">
        <v>46</v>
      </c>
      <c r="C31" s="66">
        <v>1072.1429000000001</v>
      </c>
      <c r="D31" s="66">
        <v>909.28570000000002</v>
      </c>
      <c r="E31" s="66">
        <v>9</v>
      </c>
      <c r="F31" s="66">
        <v>31607.857100000001</v>
      </c>
      <c r="G31" s="66">
        <v>2660</v>
      </c>
      <c r="H31" s="66">
        <v>2054.7143000000001</v>
      </c>
      <c r="I31" s="66">
        <v>0</v>
      </c>
      <c r="J31" s="66">
        <v>184.02860000000001</v>
      </c>
      <c r="K31" s="66">
        <v>0</v>
      </c>
      <c r="L31" s="66">
        <v>0</v>
      </c>
      <c r="M31" s="66">
        <v>0</v>
      </c>
      <c r="N31" s="66">
        <v>0</v>
      </c>
      <c r="O31" s="66">
        <v>485.8571</v>
      </c>
      <c r="P31" s="66">
        <v>1568.8570999999999</v>
      </c>
      <c r="Q31" s="66">
        <v>1123.7143000000001</v>
      </c>
      <c r="R31" s="66">
        <v>1536.2856999999999</v>
      </c>
      <c r="S31" s="66">
        <v>0.81818181818181823</v>
      </c>
      <c r="T31" t="s">
        <v>45</v>
      </c>
    </row>
    <row r="32" spans="1:20" x14ac:dyDescent="0.35">
      <c r="A32" s="198" t="s">
        <v>248</v>
      </c>
      <c r="B32" s="198" t="s">
        <v>46</v>
      </c>
      <c r="C32" s="66">
        <v>1725.5528999999999</v>
      </c>
      <c r="D32" s="66">
        <v>1153.5714</v>
      </c>
      <c r="E32" s="66">
        <v>9</v>
      </c>
      <c r="F32" s="66">
        <v>21706.142899999999</v>
      </c>
      <c r="G32" s="66">
        <v>969</v>
      </c>
      <c r="H32" s="66">
        <v>947.28570000000002</v>
      </c>
      <c r="I32" s="66">
        <v>37.7286</v>
      </c>
      <c r="J32" s="66">
        <v>470.65710000000001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  <c r="P32" s="66">
        <v>947.28570000000002</v>
      </c>
      <c r="Q32" s="66">
        <v>374.57139999999998</v>
      </c>
      <c r="R32" s="66">
        <v>594.42859999999996</v>
      </c>
      <c r="S32" s="66">
        <v>0.6428571428571429</v>
      </c>
      <c r="T32" t="s">
        <v>45</v>
      </c>
    </row>
    <row r="33" spans="1:20" x14ac:dyDescent="0.35">
      <c r="A33" s="198" t="s">
        <v>104</v>
      </c>
      <c r="B33" s="198" t="s">
        <v>46</v>
      </c>
      <c r="C33" s="66">
        <v>2782.1156999999998</v>
      </c>
      <c r="D33" s="66">
        <v>1519.9729</v>
      </c>
      <c r="E33" s="66">
        <v>17</v>
      </c>
      <c r="F33" s="66">
        <v>47079.2857</v>
      </c>
      <c r="G33" s="66">
        <v>2149.7143000000001</v>
      </c>
      <c r="H33" s="66">
        <v>1080.2856999999999</v>
      </c>
      <c r="I33" s="66">
        <v>91.742900000000006</v>
      </c>
      <c r="J33" s="66">
        <v>273.32859999999999</v>
      </c>
      <c r="K33" s="66">
        <v>0</v>
      </c>
      <c r="L33" s="66">
        <v>0</v>
      </c>
      <c r="M33" s="66">
        <v>0</v>
      </c>
      <c r="N33" s="66">
        <v>0</v>
      </c>
      <c r="O33" s="66">
        <v>540.14290000000005</v>
      </c>
      <c r="P33" s="66">
        <v>540.14290000000005</v>
      </c>
      <c r="Q33" s="66">
        <v>936.42859999999996</v>
      </c>
      <c r="R33" s="66">
        <v>1213.2856999999999</v>
      </c>
      <c r="S33" s="66">
        <v>1.2142857142857142</v>
      </c>
      <c r="T33" t="s">
        <v>45</v>
      </c>
    </row>
    <row r="34" spans="1:20" x14ac:dyDescent="0.35">
      <c r="A34" s="198" t="s">
        <v>249</v>
      </c>
      <c r="B34" s="198" t="s">
        <v>46</v>
      </c>
      <c r="C34" s="66">
        <v>138.42859999999999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400.9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t="s">
        <v>45</v>
      </c>
    </row>
    <row r="35" spans="1:20" x14ac:dyDescent="0.35">
      <c r="A35" s="198" t="s">
        <v>250</v>
      </c>
      <c r="B35" s="198" t="s">
        <v>46</v>
      </c>
      <c r="C35" s="66">
        <v>3821.7143000000001</v>
      </c>
      <c r="D35" s="66">
        <v>1587.8570999999999</v>
      </c>
      <c r="E35" s="66">
        <v>14</v>
      </c>
      <c r="F35" s="66">
        <v>36363.2857</v>
      </c>
      <c r="G35" s="66">
        <v>3360.2856999999999</v>
      </c>
      <c r="H35" s="66">
        <v>1354.4286</v>
      </c>
      <c r="I35" s="66">
        <v>350.1429</v>
      </c>
      <c r="J35" s="66">
        <v>435.37139999999999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v>1354.4286</v>
      </c>
      <c r="Q35" s="66">
        <v>1419.5714</v>
      </c>
      <c r="R35" s="66">
        <v>1940.7143000000001</v>
      </c>
      <c r="S35" s="66">
        <v>1.2727272727272727</v>
      </c>
      <c r="T35" t="s">
        <v>45</v>
      </c>
    </row>
    <row r="36" spans="1:20" x14ac:dyDescent="0.35">
      <c r="A36" s="198" t="s">
        <v>251</v>
      </c>
      <c r="B36" s="198" t="s">
        <v>47</v>
      </c>
      <c r="C36" s="66">
        <v>1028.7143000000001</v>
      </c>
      <c r="D36" s="66">
        <v>1004.2586</v>
      </c>
      <c r="E36" s="66">
        <v>11</v>
      </c>
      <c r="F36" s="66">
        <v>22658.857100000001</v>
      </c>
      <c r="G36" s="66">
        <v>1607.1286</v>
      </c>
      <c r="H36" s="66">
        <v>4068.7143000000001</v>
      </c>
      <c r="I36" s="66">
        <v>189.7286</v>
      </c>
      <c r="J36" s="66">
        <v>137.88570000000001</v>
      </c>
      <c r="K36" s="66">
        <v>0</v>
      </c>
      <c r="L36" s="66">
        <v>0</v>
      </c>
      <c r="M36" s="66">
        <v>0</v>
      </c>
      <c r="N36" s="66">
        <v>0</v>
      </c>
      <c r="O36" s="66">
        <v>0</v>
      </c>
      <c r="P36" s="66">
        <v>4068.7143000000001</v>
      </c>
      <c r="Q36" s="66">
        <v>936.7</v>
      </c>
      <c r="R36" s="66">
        <v>670.42859999999996</v>
      </c>
      <c r="S36" s="66">
        <v>1</v>
      </c>
      <c r="T36" t="s">
        <v>227</v>
      </c>
    </row>
    <row r="37" spans="1:20" x14ac:dyDescent="0.35">
      <c r="A37" s="198" t="s">
        <v>252</v>
      </c>
      <c r="B37" s="198" t="s">
        <v>47</v>
      </c>
      <c r="C37" s="66">
        <v>2191.7856999999999</v>
      </c>
      <c r="D37" s="66">
        <v>855</v>
      </c>
      <c r="E37" s="66">
        <v>6</v>
      </c>
      <c r="F37" s="66">
        <v>7325.8571000000002</v>
      </c>
      <c r="G37" s="66">
        <v>1326.0643</v>
      </c>
      <c r="H37" s="66">
        <v>703</v>
      </c>
      <c r="I37" s="66">
        <v>94.7286</v>
      </c>
      <c r="J37" s="66">
        <v>162.5857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703</v>
      </c>
      <c r="Q37" s="66">
        <v>975.92139999999995</v>
      </c>
      <c r="R37" s="66">
        <v>350.1429</v>
      </c>
      <c r="S37" s="66">
        <v>0.54545454545454541</v>
      </c>
      <c r="T37" t="s">
        <v>227</v>
      </c>
    </row>
    <row r="38" spans="1:20" x14ac:dyDescent="0.35">
      <c r="A38" s="198" t="s">
        <v>253</v>
      </c>
      <c r="B38" s="198" t="s">
        <v>47</v>
      </c>
      <c r="C38" s="66">
        <v>2119.8571000000002</v>
      </c>
      <c r="D38" s="66">
        <v>2347.8571000000002</v>
      </c>
      <c r="E38" s="66">
        <v>25</v>
      </c>
      <c r="F38" s="66">
        <v>13156.142900000001</v>
      </c>
      <c r="G38" s="66">
        <v>1844.9</v>
      </c>
      <c r="H38" s="66">
        <v>10441.857099999999</v>
      </c>
      <c r="I38" s="66">
        <v>235.32859999999999</v>
      </c>
      <c r="J38" s="66">
        <v>108.54430000000001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10441.857099999999</v>
      </c>
      <c r="Q38" s="66">
        <v>543.12860000000001</v>
      </c>
      <c r="R38" s="66">
        <v>1301.7714000000001</v>
      </c>
      <c r="S38" s="66">
        <v>2.2727272727272729</v>
      </c>
      <c r="T38" t="s">
        <v>227</v>
      </c>
    </row>
    <row r="39" spans="1:20" x14ac:dyDescent="0.35">
      <c r="A39" s="198" t="s">
        <v>123</v>
      </c>
      <c r="B39" s="198" t="s">
        <v>41</v>
      </c>
      <c r="C39" s="66">
        <v>4424.2857000000004</v>
      </c>
      <c r="D39" s="66">
        <v>2999.2856999999999</v>
      </c>
      <c r="E39" s="66">
        <v>30</v>
      </c>
      <c r="F39" s="66">
        <v>46050.571400000001</v>
      </c>
      <c r="G39" s="66">
        <v>1319.1429000000001</v>
      </c>
      <c r="H39" s="66">
        <v>10851.7143</v>
      </c>
      <c r="I39" s="66">
        <v>396.01429999999999</v>
      </c>
      <c r="J39" s="66">
        <v>81.1571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10851.7143</v>
      </c>
      <c r="Q39" s="66">
        <v>670.42859999999996</v>
      </c>
      <c r="R39" s="66">
        <v>648.71429999999998</v>
      </c>
      <c r="S39" s="66">
        <v>1.875</v>
      </c>
      <c r="T39" t="s">
        <v>227</v>
      </c>
    </row>
    <row r="40" spans="1:20" x14ac:dyDescent="0.35">
      <c r="A40" s="198" t="s">
        <v>254</v>
      </c>
      <c r="B40" s="198" t="s">
        <v>41</v>
      </c>
      <c r="C40" s="66">
        <v>808.85709999999995</v>
      </c>
      <c r="D40" s="66">
        <v>814.28570000000002</v>
      </c>
      <c r="E40" s="66">
        <v>9</v>
      </c>
      <c r="F40" s="66">
        <v>15685.857099999999</v>
      </c>
      <c r="G40" s="66">
        <v>0</v>
      </c>
      <c r="H40" s="66">
        <v>187.28569999999999</v>
      </c>
      <c r="I40" s="66">
        <v>352.58569999999997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187.28569999999999</v>
      </c>
      <c r="Q40" s="66">
        <v>0</v>
      </c>
      <c r="R40" s="66">
        <v>0</v>
      </c>
      <c r="S40" s="66">
        <v>0.9</v>
      </c>
      <c r="T40" t="s">
        <v>227</v>
      </c>
    </row>
    <row r="41" spans="1:20" x14ac:dyDescent="0.35">
      <c r="A41" s="198" t="s">
        <v>255</v>
      </c>
      <c r="B41" s="198" t="s">
        <v>41</v>
      </c>
      <c r="C41" s="66">
        <v>2540.5443</v>
      </c>
      <c r="D41" s="66">
        <v>1465.6871000000001</v>
      </c>
      <c r="E41" s="66">
        <v>14</v>
      </c>
      <c r="F41" s="66">
        <v>8954.4285999999993</v>
      </c>
      <c r="G41" s="66">
        <v>229.49289999999999</v>
      </c>
      <c r="H41" s="66">
        <v>1053.1429000000001</v>
      </c>
      <c r="I41" s="66">
        <v>94.7286</v>
      </c>
      <c r="J41" s="66">
        <v>229.9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1053.1429000000001</v>
      </c>
      <c r="Q41" s="66">
        <v>229.49289999999999</v>
      </c>
      <c r="R41" s="66">
        <v>0</v>
      </c>
      <c r="S41" s="66">
        <v>1.4</v>
      </c>
      <c r="T41" t="s">
        <v>227</v>
      </c>
    </row>
    <row r="42" spans="1:20" x14ac:dyDescent="0.35">
      <c r="A42" s="198" t="s">
        <v>112</v>
      </c>
      <c r="B42" s="198" t="s">
        <v>41</v>
      </c>
      <c r="C42" s="66">
        <v>2356</v>
      </c>
      <c r="D42" s="66">
        <v>678.57140000000004</v>
      </c>
      <c r="E42" s="66">
        <v>6</v>
      </c>
      <c r="F42" s="66">
        <v>9763.2857000000004</v>
      </c>
      <c r="G42" s="66">
        <v>2312.5713999999998</v>
      </c>
      <c r="H42" s="66">
        <v>14947.571400000001</v>
      </c>
      <c r="I42" s="66">
        <v>186.47139999999999</v>
      </c>
      <c r="J42" s="66">
        <v>83.844300000000004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14947.571400000001</v>
      </c>
      <c r="Q42" s="66">
        <v>670.42859999999996</v>
      </c>
      <c r="R42" s="66">
        <v>1642.1429000000001</v>
      </c>
      <c r="S42" s="66">
        <v>0.375</v>
      </c>
      <c r="T42" t="s">
        <v>227</v>
      </c>
    </row>
    <row r="43" spans="1:20" x14ac:dyDescent="0.35">
      <c r="A43" s="198" t="s">
        <v>91</v>
      </c>
      <c r="B43" s="198" t="s">
        <v>41</v>
      </c>
      <c r="C43" s="66">
        <v>507.57139999999998</v>
      </c>
      <c r="D43" s="66">
        <v>230.71430000000001</v>
      </c>
      <c r="E43" s="66">
        <v>3</v>
      </c>
      <c r="F43" s="66">
        <v>3525.8571000000002</v>
      </c>
      <c r="G43" s="66">
        <v>0</v>
      </c>
      <c r="H43" s="66">
        <v>0</v>
      </c>
      <c r="I43" s="66">
        <v>0</v>
      </c>
      <c r="J43" s="66">
        <v>224.68860000000001</v>
      </c>
      <c r="K43" s="66">
        <v>0</v>
      </c>
      <c r="L43" s="66">
        <v>0</v>
      </c>
      <c r="M43" s="66">
        <v>0</v>
      </c>
      <c r="N43" s="66">
        <v>0</v>
      </c>
      <c r="O43" s="66">
        <v>0</v>
      </c>
      <c r="P43" s="66">
        <v>0</v>
      </c>
      <c r="Q43" s="66">
        <v>0</v>
      </c>
      <c r="R43" s="66">
        <v>0</v>
      </c>
      <c r="S43" s="66">
        <v>0.27272727272727271</v>
      </c>
      <c r="T43" t="s">
        <v>227</v>
      </c>
    </row>
    <row r="44" spans="1:20" x14ac:dyDescent="0.35">
      <c r="A44" s="198" t="s">
        <v>111</v>
      </c>
      <c r="B44" s="198" t="s">
        <v>41</v>
      </c>
      <c r="C44" s="66">
        <v>1468.4286</v>
      </c>
      <c r="D44" s="66">
        <v>2551.4286000000002</v>
      </c>
      <c r="E44" s="66">
        <v>19</v>
      </c>
      <c r="F44" s="66">
        <v>21980.2857</v>
      </c>
      <c r="G44" s="66">
        <v>1862</v>
      </c>
      <c r="H44" s="66">
        <v>757.28570000000002</v>
      </c>
      <c r="I44" s="66">
        <v>189.7286</v>
      </c>
      <c r="J44" s="66">
        <v>56.7286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757.28570000000002</v>
      </c>
      <c r="Q44" s="66">
        <v>404.42860000000002</v>
      </c>
      <c r="R44" s="66">
        <v>1457.5714</v>
      </c>
      <c r="S44" s="66">
        <v>1.1875</v>
      </c>
      <c r="T44" t="s">
        <v>227</v>
      </c>
    </row>
    <row r="45" spans="1:20" x14ac:dyDescent="0.35">
      <c r="A45" s="198" t="s">
        <v>115</v>
      </c>
      <c r="B45" s="198" t="s">
        <v>41</v>
      </c>
      <c r="C45" s="66">
        <v>4557.2857000000004</v>
      </c>
      <c r="D45" s="66">
        <v>1058.5714</v>
      </c>
      <c r="E45" s="66">
        <v>11</v>
      </c>
      <c r="F45" s="66">
        <v>36439.2857</v>
      </c>
      <c r="G45" s="66">
        <v>3145.8571000000002</v>
      </c>
      <c r="H45" s="66">
        <v>7540.2857000000004</v>
      </c>
      <c r="I45" s="66">
        <v>235.32859999999999</v>
      </c>
      <c r="J45" s="66">
        <v>506.67570000000001</v>
      </c>
      <c r="K45" s="66">
        <v>0</v>
      </c>
      <c r="L45" s="66">
        <v>0</v>
      </c>
      <c r="M45" s="66">
        <v>0</v>
      </c>
      <c r="N45" s="66">
        <v>0</v>
      </c>
      <c r="O45" s="66">
        <v>485.8571</v>
      </c>
      <c r="P45" s="66">
        <v>7054.4286000000002</v>
      </c>
      <c r="Q45" s="66">
        <v>1099.2856999999999</v>
      </c>
      <c r="R45" s="66">
        <v>2046.5714</v>
      </c>
      <c r="S45" s="66">
        <v>0.6875</v>
      </c>
      <c r="T45" t="s">
        <v>227</v>
      </c>
    </row>
    <row r="46" spans="1:20" x14ac:dyDescent="0.35">
      <c r="A46" s="198" t="s">
        <v>114</v>
      </c>
      <c r="B46" s="198" t="s">
        <v>31</v>
      </c>
      <c r="C46" s="66">
        <v>1938</v>
      </c>
      <c r="D46" s="66">
        <v>0</v>
      </c>
      <c r="E46" s="66">
        <v>0</v>
      </c>
      <c r="F46" s="66">
        <v>49115</v>
      </c>
      <c r="G46" s="66">
        <v>5651.1428999999998</v>
      </c>
      <c r="H46" s="66">
        <v>703</v>
      </c>
      <c r="I46" s="66">
        <v>0</v>
      </c>
      <c r="J46" s="66">
        <v>208.67429999999999</v>
      </c>
      <c r="K46" s="66">
        <v>0</v>
      </c>
      <c r="L46" s="66">
        <v>0</v>
      </c>
      <c r="M46" s="66">
        <v>0</v>
      </c>
      <c r="N46" s="66">
        <v>0</v>
      </c>
      <c r="O46" s="66">
        <v>0</v>
      </c>
      <c r="P46" s="66">
        <v>703</v>
      </c>
      <c r="Q46" s="66">
        <v>2119.8571000000002</v>
      </c>
      <c r="R46" s="66">
        <v>3531.2856999999999</v>
      </c>
      <c r="S46" s="66">
        <v>0</v>
      </c>
      <c r="T46" t="s">
        <v>28</v>
      </c>
    </row>
    <row r="47" spans="1:20" x14ac:dyDescent="0.35">
      <c r="A47" s="198" t="s">
        <v>256</v>
      </c>
      <c r="B47" s="198" t="s">
        <v>31</v>
      </c>
      <c r="C47" s="66">
        <v>3278.8571000000002</v>
      </c>
      <c r="D47" s="66">
        <v>0</v>
      </c>
      <c r="E47" s="66">
        <v>0</v>
      </c>
      <c r="F47" s="66">
        <v>66421.285699999993</v>
      </c>
      <c r="G47" s="66">
        <v>4728.2857000000004</v>
      </c>
      <c r="H47" s="66">
        <v>11657.857099999999</v>
      </c>
      <c r="I47" s="66">
        <v>121.32859999999999</v>
      </c>
      <c r="J47" s="66">
        <v>167.2</v>
      </c>
      <c r="K47" s="66">
        <v>0</v>
      </c>
      <c r="L47" s="66">
        <v>0</v>
      </c>
      <c r="M47" s="66">
        <v>0</v>
      </c>
      <c r="N47" s="66">
        <v>0</v>
      </c>
      <c r="O47" s="66">
        <v>540.14290000000005</v>
      </c>
      <c r="P47" s="66">
        <v>11117.7143</v>
      </c>
      <c r="Q47" s="66">
        <v>1606.8570999999999</v>
      </c>
      <c r="R47" s="66">
        <v>3121.4286000000002</v>
      </c>
      <c r="S47" s="66">
        <v>0</v>
      </c>
      <c r="T47" t="s">
        <v>28</v>
      </c>
    </row>
    <row r="48" spans="1:20" x14ac:dyDescent="0.35">
      <c r="A48" s="198" t="s">
        <v>122</v>
      </c>
      <c r="B48" s="198" t="s">
        <v>48</v>
      </c>
      <c r="C48" s="66">
        <v>2406.2413999999999</v>
      </c>
      <c r="D48" s="66">
        <v>1547.1429000000001</v>
      </c>
      <c r="E48" s="66">
        <v>17</v>
      </c>
      <c r="F48" s="66">
        <v>65528.2857</v>
      </c>
      <c r="G48" s="66">
        <v>2774</v>
      </c>
      <c r="H48" s="66">
        <v>10897.857099999999</v>
      </c>
      <c r="I48" s="66">
        <v>365.88569999999999</v>
      </c>
      <c r="J48" s="66">
        <v>110.9871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v>10897.857099999999</v>
      </c>
      <c r="Q48" s="66">
        <v>1479.2856999999999</v>
      </c>
      <c r="R48" s="66">
        <v>1294.7143000000001</v>
      </c>
      <c r="S48" s="66">
        <v>1.0625</v>
      </c>
      <c r="T48" t="s">
        <v>45</v>
      </c>
    </row>
    <row r="49" spans="1:20" x14ac:dyDescent="0.35">
      <c r="A49" s="198" t="s">
        <v>117</v>
      </c>
      <c r="B49" s="198" t="s">
        <v>48</v>
      </c>
      <c r="C49" s="66">
        <v>4182.7142999999996</v>
      </c>
      <c r="D49" s="66">
        <v>2497.17</v>
      </c>
      <c r="E49" s="66">
        <v>25</v>
      </c>
      <c r="F49" s="66">
        <v>63221.142899999999</v>
      </c>
      <c r="G49" s="66">
        <v>3094.2856999999999</v>
      </c>
      <c r="H49" s="66">
        <v>567.28570000000002</v>
      </c>
      <c r="I49" s="66">
        <v>444.87139999999999</v>
      </c>
      <c r="J49" s="66">
        <v>873.1857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v>567.28570000000002</v>
      </c>
      <c r="Q49" s="66">
        <v>2125.2856999999999</v>
      </c>
      <c r="R49" s="66">
        <v>969</v>
      </c>
      <c r="S49" s="66">
        <v>1.5625</v>
      </c>
      <c r="T49" t="s">
        <v>45</v>
      </c>
    </row>
    <row r="50" spans="1:20" x14ac:dyDescent="0.35">
      <c r="A50" s="198" t="s">
        <v>257</v>
      </c>
      <c r="B50" s="198" t="s">
        <v>48</v>
      </c>
      <c r="C50" s="66">
        <v>1465.7143000000001</v>
      </c>
      <c r="D50" s="66">
        <v>922.85709999999995</v>
      </c>
      <c r="E50" s="66">
        <v>9</v>
      </c>
      <c r="F50" s="66">
        <v>37164</v>
      </c>
      <c r="G50" s="66">
        <v>2339.7143000000001</v>
      </c>
      <c r="H50" s="66">
        <v>947.28570000000002</v>
      </c>
      <c r="I50" s="66">
        <v>232.34289999999999</v>
      </c>
      <c r="J50" s="66">
        <v>205.74289999999999</v>
      </c>
      <c r="K50" s="66">
        <v>0</v>
      </c>
      <c r="L50" s="66">
        <v>0</v>
      </c>
      <c r="M50" s="66">
        <v>0</v>
      </c>
      <c r="N50" s="66">
        <v>0</v>
      </c>
      <c r="O50" s="66">
        <v>0</v>
      </c>
      <c r="P50" s="66">
        <v>947.28570000000002</v>
      </c>
      <c r="Q50" s="66">
        <v>646</v>
      </c>
      <c r="R50" s="66">
        <v>1693.7143000000001</v>
      </c>
      <c r="S50" s="66">
        <v>0.81818181818181823</v>
      </c>
      <c r="T50" t="s">
        <v>45</v>
      </c>
    </row>
    <row r="51" spans="1:20" x14ac:dyDescent="0.35">
      <c r="A51" s="198" t="s">
        <v>258</v>
      </c>
      <c r="B51" s="198" t="s">
        <v>48</v>
      </c>
      <c r="C51" s="66">
        <v>2850</v>
      </c>
      <c r="D51" s="66">
        <v>580.85709999999995</v>
      </c>
      <c r="E51" s="66">
        <v>6</v>
      </c>
      <c r="F51" s="66">
        <v>64306.857100000001</v>
      </c>
      <c r="G51" s="66">
        <v>4038.8571000000002</v>
      </c>
      <c r="H51" s="66">
        <v>2247.4286000000002</v>
      </c>
      <c r="I51" s="66">
        <v>322.1857</v>
      </c>
      <c r="J51" s="66">
        <v>54.014299999999999</v>
      </c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2247.4286000000002</v>
      </c>
      <c r="Q51" s="66">
        <v>1938</v>
      </c>
      <c r="R51" s="66">
        <v>2100.8571000000002</v>
      </c>
      <c r="S51" s="66">
        <v>0.46153846153846162</v>
      </c>
      <c r="T51" t="s">
        <v>45</v>
      </c>
    </row>
    <row r="52" spans="1:20" x14ac:dyDescent="0.35">
      <c r="A52" s="198" t="s">
        <v>119</v>
      </c>
      <c r="B52" s="198" t="s">
        <v>48</v>
      </c>
      <c r="C52" s="66">
        <v>4766.2586000000001</v>
      </c>
      <c r="D52" s="66">
        <v>2768.5171</v>
      </c>
      <c r="E52" s="66">
        <v>28</v>
      </c>
      <c r="F52" s="66">
        <v>180331.71429999999</v>
      </c>
      <c r="G52" s="66">
        <v>7412.7142999999996</v>
      </c>
      <c r="H52" s="66">
        <v>4709.2857000000004</v>
      </c>
      <c r="I52" s="66">
        <v>856.62860000000001</v>
      </c>
      <c r="J52" s="66">
        <v>376.2</v>
      </c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4709.2857000000004</v>
      </c>
      <c r="Q52" s="66">
        <v>3175.7143000000001</v>
      </c>
      <c r="R52" s="66">
        <v>4237</v>
      </c>
      <c r="S52" s="66">
        <v>1.75</v>
      </c>
      <c r="T52" t="s">
        <v>45</v>
      </c>
    </row>
    <row r="53" spans="1:20" x14ac:dyDescent="0.35">
      <c r="A53" s="198" t="s">
        <v>259</v>
      </c>
      <c r="B53" s="198" t="s">
        <v>48</v>
      </c>
      <c r="C53" s="66">
        <v>1229.5714</v>
      </c>
      <c r="D53" s="66">
        <v>461.42860000000002</v>
      </c>
      <c r="E53" s="66">
        <v>6</v>
      </c>
      <c r="F53" s="66">
        <v>62895.428599999999</v>
      </c>
      <c r="G53" s="66">
        <v>7005.5713999999998</v>
      </c>
      <c r="H53" s="66">
        <v>8683</v>
      </c>
      <c r="I53" s="66">
        <v>0</v>
      </c>
      <c r="J53" s="66">
        <v>379.1857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8683</v>
      </c>
      <c r="Q53" s="66">
        <v>3069.8571000000002</v>
      </c>
      <c r="R53" s="66">
        <v>3935.7143000000001</v>
      </c>
      <c r="S53" s="66">
        <v>0.46153846153846162</v>
      </c>
      <c r="T53" t="s">
        <v>45</v>
      </c>
    </row>
    <row r="54" spans="1:20" x14ac:dyDescent="0.35">
      <c r="A54" s="198" t="s">
        <v>260</v>
      </c>
      <c r="B54" s="198" t="s">
        <v>48</v>
      </c>
      <c r="C54" s="66">
        <v>1560.7143000000001</v>
      </c>
      <c r="D54" s="66">
        <v>529.28570000000002</v>
      </c>
      <c r="E54" s="66">
        <v>6</v>
      </c>
      <c r="F54" s="66">
        <v>26866</v>
      </c>
      <c r="G54" s="66">
        <v>1940.7143000000001</v>
      </c>
      <c r="H54" s="66">
        <v>2518.8571000000002</v>
      </c>
      <c r="I54" s="66">
        <v>189.7286</v>
      </c>
      <c r="J54" s="66">
        <v>658.21429999999998</v>
      </c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2518.8571000000002</v>
      </c>
      <c r="Q54" s="66">
        <v>241.57140000000001</v>
      </c>
      <c r="R54" s="66">
        <v>1699.1429000000001</v>
      </c>
      <c r="S54" s="66">
        <v>0.46153846153846162</v>
      </c>
      <c r="T54" t="s">
        <v>45</v>
      </c>
    </row>
    <row r="55" spans="1:20" x14ac:dyDescent="0.35">
      <c r="A55" s="198" t="s">
        <v>118</v>
      </c>
      <c r="B55" s="198" t="s">
        <v>48</v>
      </c>
      <c r="C55" s="66">
        <v>3250.3571000000002</v>
      </c>
      <c r="D55" s="66">
        <v>1275.7143000000001</v>
      </c>
      <c r="E55" s="66">
        <v>14</v>
      </c>
      <c r="F55" s="66">
        <v>84797</v>
      </c>
      <c r="G55" s="66">
        <v>3553</v>
      </c>
      <c r="H55" s="66">
        <v>10517.857099999999</v>
      </c>
      <c r="I55" s="66">
        <v>663.91430000000003</v>
      </c>
      <c r="J55" s="66">
        <v>311.60000000000002</v>
      </c>
      <c r="K55" s="66">
        <v>0</v>
      </c>
      <c r="L55" s="66">
        <v>0</v>
      </c>
      <c r="M55" s="66">
        <v>0</v>
      </c>
      <c r="N55" s="66">
        <v>0</v>
      </c>
      <c r="O55" s="66">
        <v>211.71430000000001</v>
      </c>
      <c r="P55" s="66">
        <v>10306.142900000001</v>
      </c>
      <c r="Q55" s="66">
        <v>1775.1429000000001</v>
      </c>
      <c r="R55" s="66">
        <v>1777.8570999999999</v>
      </c>
      <c r="S55" s="66">
        <v>0.875</v>
      </c>
      <c r="T55" t="s">
        <v>45</v>
      </c>
    </row>
    <row r="56" spans="1:20" x14ac:dyDescent="0.35">
      <c r="A56" s="198" t="s">
        <v>127</v>
      </c>
      <c r="B56" s="198" t="s">
        <v>42</v>
      </c>
      <c r="C56" s="66">
        <v>2564.8914</v>
      </c>
      <c r="D56" s="66">
        <v>2687.1156999999998</v>
      </c>
      <c r="E56" s="66">
        <v>19</v>
      </c>
      <c r="F56" s="66">
        <v>120082.71430000001</v>
      </c>
      <c r="G56" s="66">
        <v>4815.1428999999998</v>
      </c>
      <c r="H56" s="66">
        <v>4117.5713999999998</v>
      </c>
      <c r="I56" s="66">
        <v>637.04290000000003</v>
      </c>
      <c r="J56" s="66">
        <v>733.94290000000001</v>
      </c>
      <c r="K56" s="66">
        <v>0</v>
      </c>
      <c r="L56" s="66">
        <v>0</v>
      </c>
      <c r="M56" s="66">
        <v>0</v>
      </c>
      <c r="N56" s="66">
        <v>0</v>
      </c>
      <c r="O56" s="66">
        <v>105.8571</v>
      </c>
      <c r="P56" s="66">
        <v>4011.7143000000001</v>
      </c>
      <c r="Q56" s="66">
        <v>990.71429999999998</v>
      </c>
      <c r="R56" s="66">
        <v>3824.4286000000002</v>
      </c>
      <c r="S56" s="66">
        <v>1.1875</v>
      </c>
      <c r="T56" t="s">
        <v>45</v>
      </c>
    </row>
    <row r="57" spans="1:20" x14ac:dyDescent="0.35">
      <c r="A57" s="198" t="s">
        <v>261</v>
      </c>
      <c r="B57" s="198" t="s">
        <v>42</v>
      </c>
      <c r="C57" s="66">
        <v>2046.5986</v>
      </c>
      <c r="D57" s="66">
        <v>2605.6871000000001</v>
      </c>
      <c r="E57" s="66">
        <v>19</v>
      </c>
      <c r="F57" s="66">
        <v>23877.571400000001</v>
      </c>
      <c r="G57" s="66">
        <v>428.8571</v>
      </c>
      <c r="H57" s="66">
        <v>1264.8570999999999</v>
      </c>
      <c r="I57" s="66">
        <v>189.4571</v>
      </c>
      <c r="J57" s="66">
        <v>284.45710000000003</v>
      </c>
      <c r="K57" s="66">
        <v>0</v>
      </c>
      <c r="L57" s="66">
        <v>0</v>
      </c>
      <c r="M57" s="66">
        <v>0</v>
      </c>
      <c r="N57" s="66">
        <v>0</v>
      </c>
      <c r="O57" s="66">
        <v>697.57140000000004</v>
      </c>
      <c r="P57" s="66">
        <v>567.28570000000002</v>
      </c>
      <c r="Q57" s="66">
        <v>428.8571</v>
      </c>
      <c r="R57" s="66">
        <v>0</v>
      </c>
      <c r="S57" s="66">
        <v>1.1875</v>
      </c>
      <c r="T57" t="s">
        <v>45</v>
      </c>
    </row>
    <row r="58" spans="1:20" x14ac:dyDescent="0.35">
      <c r="A58" s="198" t="s">
        <v>262</v>
      </c>
      <c r="B58" s="198" t="s">
        <v>42</v>
      </c>
      <c r="C58" s="66">
        <v>2711.5713999999998</v>
      </c>
      <c r="D58" s="66">
        <v>325.71429999999998</v>
      </c>
      <c r="E58" s="66">
        <v>6</v>
      </c>
      <c r="F58" s="66">
        <v>66614</v>
      </c>
      <c r="G58" s="66">
        <v>3468.8571000000002</v>
      </c>
      <c r="H58" s="66">
        <v>27058.7143</v>
      </c>
      <c r="I58" s="66">
        <v>94.7286</v>
      </c>
      <c r="J58" s="66">
        <v>0</v>
      </c>
      <c r="K58" s="66">
        <v>0</v>
      </c>
      <c r="L58" s="66">
        <v>0</v>
      </c>
      <c r="M58" s="66">
        <v>0</v>
      </c>
      <c r="N58" s="66">
        <v>0</v>
      </c>
      <c r="O58" s="66">
        <v>540.14290000000005</v>
      </c>
      <c r="P58" s="66">
        <v>26518.571400000001</v>
      </c>
      <c r="Q58" s="66">
        <v>1691</v>
      </c>
      <c r="R58" s="66">
        <v>1777.8570999999999</v>
      </c>
      <c r="S58" s="66">
        <v>0.375</v>
      </c>
      <c r="T58" t="s">
        <v>45</v>
      </c>
    </row>
    <row r="59" spans="1:20" x14ac:dyDescent="0.35">
      <c r="A59" s="198" t="s">
        <v>263</v>
      </c>
      <c r="B59" s="198" t="s">
        <v>32</v>
      </c>
      <c r="C59" s="66">
        <v>1924.4286</v>
      </c>
      <c r="D59" s="66">
        <v>0</v>
      </c>
      <c r="E59" s="66">
        <v>0</v>
      </c>
      <c r="F59" s="66">
        <v>19610.7143</v>
      </c>
      <c r="G59" s="66">
        <v>2847.2856999999999</v>
      </c>
      <c r="H59" s="66">
        <v>2271.8571000000002</v>
      </c>
      <c r="I59" s="66">
        <v>330.32859999999999</v>
      </c>
      <c r="J59" s="66">
        <v>273.3014</v>
      </c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2271.8571000000002</v>
      </c>
      <c r="Q59" s="66">
        <v>2095.4286000000002</v>
      </c>
      <c r="R59" s="66">
        <v>751.85709999999995</v>
      </c>
      <c r="S59" s="66">
        <v>0</v>
      </c>
      <c r="T59" t="s">
        <v>28</v>
      </c>
    </row>
    <row r="60" spans="1:20" x14ac:dyDescent="0.35">
      <c r="A60" s="198" t="s">
        <v>80</v>
      </c>
      <c r="B60" s="198" t="s">
        <v>32</v>
      </c>
      <c r="C60" s="66">
        <v>3121.4557</v>
      </c>
      <c r="D60" s="66">
        <v>0</v>
      </c>
      <c r="E60" s="66">
        <v>0</v>
      </c>
      <c r="F60" s="66">
        <v>14106.142900000001</v>
      </c>
      <c r="G60" s="66">
        <v>667.71429999999998</v>
      </c>
      <c r="H60" s="66">
        <v>5450.2857000000004</v>
      </c>
      <c r="I60" s="66">
        <v>140.6</v>
      </c>
      <c r="J60" s="66">
        <v>162.55860000000001</v>
      </c>
      <c r="K60" s="66">
        <v>0</v>
      </c>
      <c r="L60" s="66">
        <v>0</v>
      </c>
      <c r="M60" s="66">
        <v>0</v>
      </c>
      <c r="N60" s="66">
        <v>0</v>
      </c>
      <c r="O60" s="66">
        <v>0</v>
      </c>
      <c r="P60" s="66">
        <v>5450.2857000000004</v>
      </c>
      <c r="Q60" s="66">
        <v>241.57140000000001</v>
      </c>
      <c r="R60" s="66">
        <v>426.1429</v>
      </c>
      <c r="S60" s="66">
        <v>0</v>
      </c>
      <c r="T60" t="s">
        <v>28</v>
      </c>
    </row>
    <row r="61" spans="1:20" x14ac:dyDescent="0.35">
      <c r="A61" s="198" t="s">
        <v>264</v>
      </c>
      <c r="B61" s="198" t="s">
        <v>32</v>
      </c>
      <c r="C61" s="66">
        <v>2377.5243</v>
      </c>
      <c r="D61" s="66">
        <v>0</v>
      </c>
      <c r="E61" s="66">
        <v>0</v>
      </c>
      <c r="F61" s="66">
        <v>20620.428599999999</v>
      </c>
      <c r="G61" s="66">
        <v>1748</v>
      </c>
      <c r="H61" s="66">
        <v>0</v>
      </c>
      <c r="I61" s="66">
        <v>186.47139999999999</v>
      </c>
      <c r="J61" s="66">
        <v>81.1571</v>
      </c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1292</v>
      </c>
      <c r="R61" s="66">
        <v>456</v>
      </c>
      <c r="S61" s="66">
        <v>0</v>
      </c>
      <c r="T61" t="s">
        <v>28</v>
      </c>
    </row>
    <row r="62" spans="1:20" x14ac:dyDescent="0.35">
      <c r="A62" s="198" t="s">
        <v>97</v>
      </c>
      <c r="B62" s="198" t="s">
        <v>32</v>
      </c>
      <c r="C62" s="66">
        <v>1685.5714</v>
      </c>
      <c r="D62" s="66">
        <v>0</v>
      </c>
      <c r="E62" s="66">
        <v>0</v>
      </c>
      <c r="F62" s="66">
        <v>15026.2857</v>
      </c>
      <c r="G62" s="66">
        <v>2660</v>
      </c>
      <c r="H62" s="66">
        <v>187.28569999999999</v>
      </c>
      <c r="I62" s="66">
        <v>83.6</v>
      </c>
      <c r="J62" s="66">
        <v>70.3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187.28569999999999</v>
      </c>
      <c r="Q62" s="66">
        <v>1397.8570999999999</v>
      </c>
      <c r="R62" s="66">
        <v>1262.1429000000001</v>
      </c>
      <c r="S62" s="66">
        <v>0</v>
      </c>
      <c r="T62" t="s">
        <v>28</v>
      </c>
    </row>
    <row r="63" spans="1:20" x14ac:dyDescent="0.35">
      <c r="A63" s="198" t="s">
        <v>265</v>
      </c>
      <c r="B63" s="198" t="s">
        <v>49</v>
      </c>
      <c r="C63" s="66">
        <v>4320.4642999999996</v>
      </c>
      <c r="D63" s="66">
        <v>1951.5714</v>
      </c>
      <c r="E63" s="66">
        <v>19</v>
      </c>
      <c r="F63" s="66">
        <v>32229.428599999999</v>
      </c>
      <c r="G63" s="66">
        <v>5062.1428999999998</v>
      </c>
      <c r="H63" s="66">
        <v>11744.7143</v>
      </c>
      <c r="I63" s="66">
        <v>281.47140000000002</v>
      </c>
      <c r="J63" s="66">
        <v>257.3143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11744.7143</v>
      </c>
      <c r="Q63" s="66">
        <v>884.85709999999995</v>
      </c>
      <c r="R63" s="66">
        <v>4177.2857000000004</v>
      </c>
      <c r="S63" s="66">
        <v>0.6333333333333333</v>
      </c>
      <c r="T63" t="s">
        <v>45</v>
      </c>
    </row>
    <row r="64" spans="1:20" x14ac:dyDescent="0.35">
      <c r="A64" s="198" t="s">
        <v>266</v>
      </c>
      <c r="B64" s="198" t="s">
        <v>33</v>
      </c>
      <c r="C64" s="66">
        <v>920.14290000000005</v>
      </c>
      <c r="D64" s="66">
        <v>0</v>
      </c>
      <c r="E64" s="66">
        <v>0</v>
      </c>
      <c r="F64" s="66">
        <v>17303.571400000001</v>
      </c>
      <c r="G64" s="66">
        <v>1932.5714</v>
      </c>
      <c r="H64" s="66">
        <v>2404.8571000000002</v>
      </c>
      <c r="I64" s="66">
        <v>45.871400000000001</v>
      </c>
      <c r="J64" s="66">
        <v>0</v>
      </c>
      <c r="K64" s="66">
        <v>0</v>
      </c>
      <c r="L64" s="66">
        <v>0</v>
      </c>
      <c r="M64" s="66">
        <v>0</v>
      </c>
      <c r="N64" s="66">
        <v>0</v>
      </c>
      <c r="O64" s="66">
        <v>540.14290000000005</v>
      </c>
      <c r="P64" s="66">
        <v>1864.7143000000001</v>
      </c>
      <c r="Q64" s="66">
        <v>1126.4286</v>
      </c>
      <c r="R64" s="66">
        <v>806.14290000000005</v>
      </c>
      <c r="S64" s="66">
        <v>0</v>
      </c>
      <c r="T64" t="s">
        <v>28</v>
      </c>
    </row>
    <row r="65" spans="1:20" x14ac:dyDescent="0.35">
      <c r="A65" s="198" t="s">
        <v>267</v>
      </c>
      <c r="B65" s="198" t="s">
        <v>33</v>
      </c>
      <c r="C65" s="66">
        <v>2622.6786000000002</v>
      </c>
      <c r="D65" s="66">
        <v>0</v>
      </c>
      <c r="E65" s="66">
        <v>0</v>
      </c>
      <c r="F65" s="66">
        <v>63166.857100000001</v>
      </c>
      <c r="G65" s="66">
        <v>3922.1428999999998</v>
      </c>
      <c r="H65" s="66">
        <v>5854.7142999999996</v>
      </c>
      <c r="I65" s="66">
        <v>330.32859999999999</v>
      </c>
      <c r="J65" s="66">
        <v>387.3014</v>
      </c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5854.7142999999996</v>
      </c>
      <c r="Q65" s="66">
        <v>1772.4286</v>
      </c>
      <c r="R65" s="66">
        <v>2149.7143000000001</v>
      </c>
      <c r="S65" s="66">
        <v>0</v>
      </c>
      <c r="T65" t="s">
        <v>28</v>
      </c>
    </row>
    <row r="66" spans="1:20" x14ac:dyDescent="0.35">
      <c r="A66" s="198" t="s">
        <v>268</v>
      </c>
      <c r="B66" s="198" t="s">
        <v>33</v>
      </c>
      <c r="C66" s="66">
        <v>2149.7143000000001</v>
      </c>
      <c r="D66" s="66">
        <v>0</v>
      </c>
      <c r="E66" s="66">
        <v>0</v>
      </c>
      <c r="F66" s="66">
        <v>19800.7143</v>
      </c>
      <c r="G66" s="66">
        <v>2603</v>
      </c>
      <c r="H66" s="66">
        <v>9953.2857000000004</v>
      </c>
      <c r="I66" s="66">
        <v>372.94290000000001</v>
      </c>
      <c r="J66" s="66">
        <v>278.73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9953.2857000000004</v>
      </c>
      <c r="Q66" s="66">
        <v>1558</v>
      </c>
      <c r="R66" s="66">
        <v>1045</v>
      </c>
      <c r="S66" s="66">
        <v>0</v>
      </c>
      <c r="T66" t="s">
        <v>28</v>
      </c>
    </row>
    <row r="67" spans="1:20" x14ac:dyDescent="0.35">
      <c r="A67" s="198" t="s">
        <v>139</v>
      </c>
      <c r="B67" s="198" t="s">
        <v>34</v>
      </c>
      <c r="C67" s="66">
        <v>903.85709999999995</v>
      </c>
      <c r="D67" s="66">
        <v>0</v>
      </c>
      <c r="E67" s="66">
        <v>0</v>
      </c>
      <c r="F67" s="66">
        <v>25237.428599999999</v>
      </c>
      <c r="G67" s="66">
        <v>618.85709999999995</v>
      </c>
      <c r="H67" s="66">
        <v>404.42860000000002</v>
      </c>
      <c r="I67" s="66">
        <v>94.7286</v>
      </c>
      <c r="J67" s="66">
        <v>0</v>
      </c>
      <c r="K67" s="66">
        <v>0</v>
      </c>
      <c r="L67" s="66">
        <v>0</v>
      </c>
      <c r="M67" s="66">
        <v>0</v>
      </c>
      <c r="N67" s="66">
        <v>0</v>
      </c>
      <c r="O67" s="66">
        <v>0</v>
      </c>
      <c r="P67" s="66">
        <v>404.42860000000002</v>
      </c>
      <c r="Q67" s="66">
        <v>404.42860000000002</v>
      </c>
      <c r="R67" s="66">
        <v>214.42859999999999</v>
      </c>
      <c r="S67" s="66">
        <v>0</v>
      </c>
      <c r="T67" t="s">
        <v>28</v>
      </c>
    </row>
    <row r="68" spans="1:20" x14ac:dyDescent="0.35">
      <c r="A68" s="198" t="s">
        <v>269</v>
      </c>
      <c r="B68" s="198" t="s">
        <v>34</v>
      </c>
      <c r="C68" s="66">
        <v>3732.1428999999998</v>
      </c>
      <c r="D68" s="66">
        <v>0</v>
      </c>
      <c r="E68" s="66">
        <v>0</v>
      </c>
      <c r="F68" s="66">
        <v>83849.714300000007</v>
      </c>
      <c r="G68" s="66">
        <v>7507.7142999999996</v>
      </c>
      <c r="H68" s="66">
        <v>8018</v>
      </c>
      <c r="I68" s="66">
        <v>368.05709999999999</v>
      </c>
      <c r="J68" s="66">
        <v>576.70429999999999</v>
      </c>
      <c r="K68" s="66">
        <v>0</v>
      </c>
      <c r="L68" s="66">
        <v>0</v>
      </c>
      <c r="M68" s="66">
        <v>0</v>
      </c>
      <c r="N68" s="66">
        <v>0</v>
      </c>
      <c r="O68" s="66">
        <v>540.14290000000005</v>
      </c>
      <c r="P68" s="66">
        <v>7477.8571000000002</v>
      </c>
      <c r="Q68" s="66">
        <v>2820.1428999999998</v>
      </c>
      <c r="R68" s="66">
        <v>4687.5713999999998</v>
      </c>
      <c r="S68" s="66">
        <v>0</v>
      </c>
      <c r="T68" t="s">
        <v>28</v>
      </c>
    </row>
    <row r="69" spans="1:20" x14ac:dyDescent="0.35">
      <c r="A69" s="198" t="s">
        <v>140</v>
      </c>
      <c r="B69" s="198" t="s">
        <v>35</v>
      </c>
      <c r="C69" s="66">
        <v>2566.9</v>
      </c>
      <c r="D69" s="66">
        <v>0</v>
      </c>
      <c r="E69" s="66">
        <v>0</v>
      </c>
      <c r="F69" s="66">
        <v>25503.428599999999</v>
      </c>
      <c r="G69" s="66">
        <v>3683.2856999999999</v>
      </c>
      <c r="H69" s="66">
        <v>6780.2857000000004</v>
      </c>
      <c r="I69" s="66">
        <v>37.7286</v>
      </c>
      <c r="J69" s="66">
        <v>203.02860000000001</v>
      </c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v>6780.2857000000004</v>
      </c>
      <c r="Q69" s="66">
        <v>749.14290000000005</v>
      </c>
      <c r="R69" s="66">
        <v>2934.1428999999998</v>
      </c>
      <c r="S69" s="66">
        <v>0</v>
      </c>
      <c r="T69" t="s">
        <v>28</v>
      </c>
    </row>
    <row r="70" spans="1:20" x14ac:dyDescent="0.35">
      <c r="A70" s="198" t="s">
        <v>270</v>
      </c>
      <c r="B70" s="198" t="s">
        <v>35</v>
      </c>
      <c r="C70" s="66">
        <v>4095.8571000000002</v>
      </c>
      <c r="D70" s="66">
        <v>0</v>
      </c>
      <c r="E70" s="66">
        <v>0</v>
      </c>
      <c r="F70" s="66">
        <v>15463.2857</v>
      </c>
      <c r="G70" s="66">
        <v>2708.8571000000002</v>
      </c>
      <c r="H70" s="66">
        <v>7320.4286000000002</v>
      </c>
      <c r="I70" s="66">
        <v>186.47139999999999</v>
      </c>
      <c r="J70" s="66">
        <v>576.51430000000005</v>
      </c>
      <c r="K70" s="66">
        <v>0</v>
      </c>
      <c r="L70" s="66">
        <v>0</v>
      </c>
      <c r="M70" s="66">
        <v>0</v>
      </c>
      <c r="N70" s="66">
        <v>0</v>
      </c>
      <c r="O70" s="66">
        <v>0</v>
      </c>
      <c r="P70" s="66">
        <v>7320.4286000000002</v>
      </c>
      <c r="Q70" s="66">
        <v>1528.1429000000001</v>
      </c>
      <c r="R70" s="66">
        <v>1180.7143000000001</v>
      </c>
      <c r="S70" s="66">
        <v>0</v>
      </c>
      <c r="T70" t="s">
        <v>28</v>
      </c>
    </row>
    <row r="71" spans="1:20" x14ac:dyDescent="0.35">
      <c r="A71" s="198" t="s">
        <v>146</v>
      </c>
      <c r="B71" s="198" t="s">
        <v>50</v>
      </c>
      <c r="C71" s="66">
        <v>4022.5713999999998</v>
      </c>
      <c r="D71" s="66">
        <v>1777.8570999999999</v>
      </c>
      <c r="E71" s="66">
        <v>14</v>
      </c>
      <c r="F71" s="66">
        <v>31206.142899999999</v>
      </c>
      <c r="G71" s="66">
        <v>1237.7143000000001</v>
      </c>
      <c r="H71" s="66">
        <v>8816</v>
      </c>
      <c r="I71" s="66">
        <v>700.28570000000002</v>
      </c>
      <c r="J71" s="66">
        <v>1153.0286000000001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8816</v>
      </c>
      <c r="Q71" s="66">
        <v>483.1429</v>
      </c>
      <c r="R71" s="66">
        <v>754.57140000000004</v>
      </c>
      <c r="S71" s="66">
        <v>0.66666666666666663</v>
      </c>
      <c r="T71" t="s">
        <v>45</v>
      </c>
    </row>
    <row r="72" spans="1:20" x14ac:dyDescent="0.35">
      <c r="A72" s="198" t="s">
        <v>271</v>
      </c>
      <c r="B72" s="198" t="s">
        <v>50</v>
      </c>
      <c r="C72" s="66">
        <v>4728.2043000000003</v>
      </c>
      <c r="D72" s="66">
        <v>678.57140000000004</v>
      </c>
      <c r="E72" s="66">
        <v>6</v>
      </c>
      <c r="F72" s="66">
        <v>41238.142899999999</v>
      </c>
      <c r="G72" s="66">
        <v>6090.8571000000002</v>
      </c>
      <c r="H72" s="66">
        <v>621.57140000000004</v>
      </c>
      <c r="I72" s="66">
        <v>321.10000000000002</v>
      </c>
      <c r="J72" s="66">
        <v>226.9143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621.57140000000004</v>
      </c>
      <c r="Q72" s="66">
        <v>1669.2856999999999</v>
      </c>
      <c r="R72" s="66">
        <v>4421.5713999999998</v>
      </c>
      <c r="S72" s="66">
        <v>0.2857142857142857</v>
      </c>
      <c r="T72" t="s">
        <v>45</v>
      </c>
    </row>
    <row r="73" spans="1:20" x14ac:dyDescent="0.35">
      <c r="A73" s="198" t="s">
        <v>148</v>
      </c>
      <c r="B73" s="198" t="s">
        <v>50</v>
      </c>
      <c r="C73" s="66">
        <v>4258.0357000000004</v>
      </c>
      <c r="D73" s="66">
        <v>1967.8570999999999</v>
      </c>
      <c r="E73" s="66">
        <v>19</v>
      </c>
      <c r="F73" s="66">
        <v>21974.857100000001</v>
      </c>
      <c r="G73" s="66">
        <v>1829.4286</v>
      </c>
      <c r="H73" s="66">
        <v>13023.142900000001</v>
      </c>
      <c r="I73" s="66">
        <v>557.51430000000005</v>
      </c>
      <c r="J73" s="66">
        <v>503.5</v>
      </c>
      <c r="K73" s="66">
        <v>0</v>
      </c>
      <c r="L73" s="66">
        <v>0</v>
      </c>
      <c r="M73" s="66">
        <v>0</v>
      </c>
      <c r="N73" s="66">
        <v>0</v>
      </c>
      <c r="O73" s="66">
        <v>0</v>
      </c>
      <c r="P73" s="66">
        <v>13023.142900000001</v>
      </c>
      <c r="Q73" s="66">
        <v>0</v>
      </c>
      <c r="R73" s="66">
        <v>1829.4286</v>
      </c>
      <c r="S73" s="66">
        <v>0.90476190476190477</v>
      </c>
      <c r="T73" t="s">
        <v>45</v>
      </c>
    </row>
    <row r="74" spans="1:20" x14ac:dyDescent="0.35">
      <c r="A74" s="198" t="s">
        <v>272</v>
      </c>
      <c r="B74" s="198" t="s">
        <v>50</v>
      </c>
      <c r="C74" s="66">
        <v>3775.5443</v>
      </c>
      <c r="D74" s="66">
        <v>475</v>
      </c>
      <c r="E74" s="66">
        <v>6</v>
      </c>
      <c r="F74" s="66">
        <v>8951.7142999999996</v>
      </c>
      <c r="G74" s="66">
        <v>643.28570000000002</v>
      </c>
      <c r="H74" s="66">
        <v>703</v>
      </c>
      <c r="I74" s="66">
        <v>189.4571</v>
      </c>
      <c r="J74" s="66">
        <v>575.70000000000005</v>
      </c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v>703</v>
      </c>
      <c r="Q74" s="66">
        <v>241.57140000000001</v>
      </c>
      <c r="R74" s="66">
        <v>401.71429999999998</v>
      </c>
      <c r="S74" s="66">
        <v>0.35294117647058826</v>
      </c>
      <c r="T74" t="s">
        <v>45</v>
      </c>
    </row>
    <row r="75" spans="1:20" x14ac:dyDescent="0.35">
      <c r="A75" s="198" t="s">
        <v>143</v>
      </c>
      <c r="B75" s="198" t="s">
        <v>50</v>
      </c>
      <c r="C75" s="66">
        <v>2474.8042999999998</v>
      </c>
      <c r="D75" s="66">
        <v>1764.2585999999999</v>
      </c>
      <c r="E75" s="66">
        <v>17</v>
      </c>
      <c r="F75" s="66">
        <v>54399.7143</v>
      </c>
      <c r="G75" s="66">
        <v>2665.4286000000002</v>
      </c>
      <c r="H75" s="66">
        <v>20905.428599999999</v>
      </c>
      <c r="I75" s="66">
        <v>654.41430000000003</v>
      </c>
      <c r="J75" s="66">
        <v>535.99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20905.428599999999</v>
      </c>
      <c r="Q75" s="66">
        <v>2236.5713999999998</v>
      </c>
      <c r="R75" s="66">
        <v>428.8571</v>
      </c>
      <c r="S75" s="66">
        <v>0.80952380952380965</v>
      </c>
      <c r="T75" t="s">
        <v>45</v>
      </c>
    </row>
    <row r="76" spans="1:20" x14ac:dyDescent="0.35">
      <c r="A76" s="198" t="s">
        <v>150</v>
      </c>
      <c r="B76" s="198" t="s">
        <v>27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6">
        <v>0</v>
      </c>
      <c r="O76" s="66">
        <v>0</v>
      </c>
      <c r="P76" s="66">
        <v>0</v>
      </c>
      <c r="Q76" s="66">
        <v>0</v>
      </c>
      <c r="R76" s="66">
        <v>0</v>
      </c>
      <c r="S76" s="66">
        <v>0</v>
      </c>
      <c r="T76" t="s">
        <v>28</v>
      </c>
    </row>
    <row r="77" spans="1:20" x14ac:dyDescent="0.35">
      <c r="A77" s="198" t="s">
        <v>152</v>
      </c>
      <c r="B77" s="198" t="s">
        <v>30</v>
      </c>
      <c r="C77" s="66">
        <v>0</v>
      </c>
      <c r="D77" s="66">
        <v>0</v>
      </c>
      <c r="E77" s="66">
        <v>0</v>
      </c>
      <c r="F77" s="66">
        <v>0</v>
      </c>
      <c r="G77" s="66">
        <v>0</v>
      </c>
      <c r="H77" s="66">
        <v>0</v>
      </c>
      <c r="I77" s="66">
        <v>0</v>
      </c>
      <c r="J77" s="66">
        <v>0</v>
      </c>
      <c r="K77" s="66">
        <v>0</v>
      </c>
      <c r="L77" s="66">
        <v>0</v>
      </c>
      <c r="M77" s="66">
        <v>0</v>
      </c>
      <c r="N77" s="66">
        <v>0</v>
      </c>
      <c r="O77" s="66">
        <v>0</v>
      </c>
      <c r="P77" s="66">
        <v>0</v>
      </c>
      <c r="Q77" s="66">
        <v>0</v>
      </c>
      <c r="R77" s="66">
        <v>0</v>
      </c>
      <c r="S77" s="66">
        <v>0</v>
      </c>
      <c r="T77" t="s">
        <v>28</v>
      </c>
    </row>
    <row r="78" spans="1:20" x14ac:dyDescent="0.35">
      <c r="A78" s="198" t="s">
        <v>149</v>
      </c>
      <c r="B78" s="198" t="s">
        <v>44</v>
      </c>
      <c r="C78" s="66">
        <v>0</v>
      </c>
      <c r="D78" s="66">
        <v>0</v>
      </c>
      <c r="E78" s="66">
        <v>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  <c r="Q78" s="66">
        <v>0</v>
      </c>
      <c r="R78" s="66">
        <v>0</v>
      </c>
      <c r="S78" s="66">
        <v>0</v>
      </c>
      <c r="T78" t="s">
        <v>45</v>
      </c>
    </row>
    <row r="79" spans="1:20" x14ac:dyDescent="0.35">
      <c r="A79" s="198" t="s">
        <v>153</v>
      </c>
      <c r="B79" s="198" t="s">
        <v>31</v>
      </c>
      <c r="C79" s="66">
        <v>0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t="s">
        <v>28</v>
      </c>
    </row>
    <row r="80" spans="1:20" x14ac:dyDescent="0.35">
      <c r="A80" s="198" t="s">
        <v>154</v>
      </c>
      <c r="B80" s="198" t="s">
        <v>49</v>
      </c>
      <c r="C80" s="66">
        <v>119.4286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0</v>
      </c>
      <c r="P80" s="66">
        <v>0</v>
      </c>
      <c r="Q80" s="66">
        <v>0</v>
      </c>
      <c r="R80" s="66">
        <v>0</v>
      </c>
      <c r="S80" s="66">
        <v>0</v>
      </c>
      <c r="T80" t="s">
        <v>45</v>
      </c>
    </row>
    <row r="81" spans="1:20" x14ac:dyDescent="0.35">
      <c r="A81" s="198" t="s">
        <v>155</v>
      </c>
      <c r="B81" s="198" t="s">
        <v>50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6">
        <v>0</v>
      </c>
      <c r="O81" s="66">
        <v>0</v>
      </c>
      <c r="P81" s="66">
        <v>0</v>
      </c>
      <c r="Q81" s="66">
        <v>0</v>
      </c>
      <c r="R81" s="66">
        <v>0</v>
      </c>
      <c r="S81" s="66">
        <v>0</v>
      </c>
      <c r="T81" t="s">
        <v>45</v>
      </c>
    </row>
    <row r="82" spans="1:20" x14ac:dyDescent="0.35">
      <c r="A82" s="198" t="s">
        <v>164</v>
      </c>
      <c r="B82" s="198" t="s">
        <v>29</v>
      </c>
      <c r="C82" s="66">
        <v>325.68709999999999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6">
        <v>0</v>
      </c>
      <c r="O82" s="66">
        <v>0</v>
      </c>
      <c r="P82" s="66">
        <v>0</v>
      </c>
      <c r="Q82" s="66">
        <v>0</v>
      </c>
      <c r="R82" s="66">
        <v>0</v>
      </c>
      <c r="S82" s="66">
        <v>0</v>
      </c>
      <c r="T82" t="s">
        <v>28</v>
      </c>
    </row>
    <row r="83" spans="1:20" x14ac:dyDescent="0.35">
      <c r="A83" s="198" t="s">
        <v>273</v>
      </c>
      <c r="B83" s="198" t="s">
        <v>36</v>
      </c>
      <c r="C83" s="66">
        <v>0</v>
      </c>
      <c r="D83" s="66">
        <v>0</v>
      </c>
      <c r="E83" s="66">
        <v>0</v>
      </c>
      <c r="F83" s="66">
        <v>0</v>
      </c>
      <c r="G83" s="66">
        <v>0</v>
      </c>
      <c r="H83" s="66">
        <v>0</v>
      </c>
      <c r="I83" s="66">
        <v>0</v>
      </c>
      <c r="J83" s="66">
        <v>0</v>
      </c>
      <c r="K83" s="66">
        <v>0</v>
      </c>
      <c r="L83" s="66">
        <v>0</v>
      </c>
      <c r="M83" s="66">
        <v>0</v>
      </c>
      <c r="N83" s="66">
        <v>0</v>
      </c>
      <c r="O83" s="66">
        <v>0</v>
      </c>
      <c r="P83" s="66">
        <v>0</v>
      </c>
      <c r="Q83" s="66">
        <v>0</v>
      </c>
      <c r="R83" s="66">
        <v>0</v>
      </c>
      <c r="S83" s="66">
        <v>0</v>
      </c>
      <c r="T83" t="s">
        <v>227</v>
      </c>
    </row>
    <row r="84" spans="1:20" x14ac:dyDescent="0.35">
      <c r="A84" s="198" t="s">
        <v>274</v>
      </c>
      <c r="B84" s="198" t="s">
        <v>38</v>
      </c>
      <c r="C84" s="66">
        <v>0</v>
      </c>
      <c r="D84" s="66">
        <v>0</v>
      </c>
      <c r="E84" s="66">
        <v>0</v>
      </c>
      <c r="F84" s="66">
        <v>0</v>
      </c>
      <c r="G84" s="66">
        <v>0</v>
      </c>
      <c r="H84" s="66">
        <v>0</v>
      </c>
      <c r="I84" s="66">
        <v>0</v>
      </c>
      <c r="J84" s="66">
        <v>0</v>
      </c>
      <c r="K84" s="66">
        <v>0</v>
      </c>
      <c r="L84" s="66">
        <v>0</v>
      </c>
      <c r="M84" s="66">
        <v>0</v>
      </c>
      <c r="N84" s="66">
        <v>0</v>
      </c>
      <c r="O84" s="66">
        <v>0</v>
      </c>
      <c r="P84" s="66">
        <v>0</v>
      </c>
      <c r="Q84" s="66">
        <v>0</v>
      </c>
      <c r="R84" s="66">
        <v>0</v>
      </c>
      <c r="S84" s="66">
        <v>0</v>
      </c>
      <c r="T84" t="s">
        <v>227</v>
      </c>
    </row>
    <row r="85" spans="1:20" x14ac:dyDescent="0.35">
      <c r="A85" s="198" t="s">
        <v>166</v>
      </c>
      <c r="B85" s="198" t="s">
        <v>43</v>
      </c>
      <c r="C85" s="66">
        <v>0</v>
      </c>
      <c r="D85" s="66">
        <v>0</v>
      </c>
      <c r="E85" s="66">
        <v>0</v>
      </c>
      <c r="F85" s="66">
        <v>0</v>
      </c>
      <c r="G85" s="66">
        <v>0</v>
      </c>
      <c r="H85" s="66">
        <v>0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6">
        <v>0</v>
      </c>
      <c r="O85" s="66">
        <v>0</v>
      </c>
      <c r="P85" s="66">
        <v>0</v>
      </c>
      <c r="Q85" s="66">
        <v>0</v>
      </c>
      <c r="R85" s="66">
        <v>0</v>
      </c>
      <c r="S85" s="66">
        <v>0</v>
      </c>
      <c r="T85" t="s">
        <v>227</v>
      </c>
    </row>
    <row r="86" spans="1:20" x14ac:dyDescent="0.35">
      <c r="A86" s="198" t="s">
        <v>275</v>
      </c>
      <c r="B86" s="198" t="s">
        <v>40</v>
      </c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6">
        <v>0</v>
      </c>
      <c r="J86" s="66">
        <v>0</v>
      </c>
      <c r="K86" s="66">
        <v>0</v>
      </c>
      <c r="L86" s="66">
        <v>0</v>
      </c>
      <c r="M86" s="66">
        <v>0</v>
      </c>
      <c r="N86" s="66">
        <v>0</v>
      </c>
      <c r="O86" s="66">
        <v>0</v>
      </c>
      <c r="P86" s="66">
        <v>0</v>
      </c>
      <c r="Q86" s="66">
        <v>0</v>
      </c>
      <c r="R86" s="66">
        <v>0</v>
      </c>
      <c r="S86" s="66">
        <v>0</v>
      </c>
      <c r="T86" t="s">
        <v>45</v>
      </c>
    </row>
    <row r="87" spans="1:20" x14ac:dyDescent="0.35">
      <c r="A87" s="198" t="s">
        <v>157</v>
      </c>
      <c r="B87" s="198" t="s">
        <v>46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73.014300000000006</v>
      </c>
      <c r="K87" s="66">
        <v>0</v>
      </c>
      <c r="L87" s="66">
        <v>0</v>
      </c>
      <c r="M87" s="66">
        <v>0</v>
      </c>
      <c r="N87" s="66">
        <v>0</v>
      </c>
      <c r="O87" s="66">
        <v>0</v>
      </c>
      <c r="P87" s="66">
        <v>0</v>
      </c>
      <c r="Q87" s="66">
        <v>0</v>
      </c>
      <c r="R87" s="66">
        <v>0</v>
      </c>
      <c r="S87" s="66">
        <v>0</v>
      </c>
      <c r="T87" t="s">
        <v>45</v>
      </c>
    </row>
    <row r="88" spans="1:20" x14ac:dyDescent="0.35">
      <c r="A88" s="198" t="s">
        <v>276</v>
      </c>
      <c r="B88" s="198" t="s">
        <v>47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6">
        <v>0</v>
      </c>
      <c r="O88" s="66">
        <v>0</v>
      </c>
      <c r="P88" s="66">
        <v>0</v>
      </c>
      <c r="Q88" s="66">
        <v>0</v>
      </c>
      <c r="R88" s="66">
        <v>0</v>
      </c>
      <c r="S88" s="66">
        <v>0</v>
      </c>
      <c r="T88" t="s">
        <v>227</v>
      </c>
    </row>
    <row r="89" spans="1:20" x14ac:dyDescent="0.35">
      <c r="A89" s="198" t="s">
        <v>159</v>
      </c>
      <c r="B89" s="198" t="s">
        <v>41</v>
      </c>
      <c r="C89" s="66">
        <v>0</v>
      </c>
      <c r="D89" s="66">
        <v>0</v>
      </c>
      <c r="E89" s="66">
        <v>0</v>
      </c>
      <c r="F89" s="66">
        <v>0</v>
      </c>
      <c r="G89" s="66">
        <v>0</v>
      </c>
      <c r="H89" s="66">
        <v>0</v>
      </c>
      <c r="I89" s="66">
        <v>0</v>
      </c>
      <c r="J89" s="66">
        <v>0</v>
      </c>
      <c r="K89" s="66">
        <v>0</v>
      </c>
      <c r="L89" s="66">
        <v>0</v>
      </c>
      <c r="M89" s="66">
        <v>0</v>
      </c>
      <c r="N89" s="66">
        <v>0</v>
      </c>
      <c r="O89" s="66">
        <v>0</v>
      </c>
      <c r="P89" s="66">
        <v>0</v>
      </c>
      <c r="Q89" s="66">
        <v>0</v>
      </c>
      <c r="R89" s="66">
        <v>0</v>
      </c>
      <c r="S89" s="66">
        <v>0</v>
      </c>
      <c r="T89" t="s">
        <v>227</v>
      </c>
    </row>
    <row r="90" spans="1:20" x14ac:dyDescent="0.35">
      <c r="A90" s="198" t="s">
        <v>165</v>
      </c>
      <c r="B90" s="198" t="s">
        <v>48</v>
      </c>
      <c r="C90" s="66">
        <v>0</v>
      </c>
      <c r="D90" s="66">
        <v>0</v>
      </c>
      <c r="E90" s="66">
        <v>0</v>
      </c>
      <c r="F90" s="66">
        <v>0</v>
      </c>
      <c r="G90" s="66">
        <v>0</v>
      </c>
      <c r="H90" s="66">
        <v>0</v>
      </c>
      <c r="I90" s="66">
        <v>0</v>
      </c>
      <c r="J90" s="66">
        <v>0</v>
      </c>
      <c r="K90" s="66">
        <v>0</v>
      </c>
      <c r="L90" s="66">
        <v>0</v>
      </c>
      <c r="M90" s="66">
        <v>0</v>
      </c>
      <c r="N90" s="66">
        <v>0</v>
      </c>
      <c r="O90" s="66">
        <v>0</v>
      </c>
      <c r="P90" s="66">
        <v>0</v>
      </c>
      <c r="Q90" s="66">
        <v>0</v>
      </c>
      <c r="R90" s="66">
        <v>0</v>
      </c>
      <c r="S90" s="66">
        <v>0</v>
      </c>
      <c r="T90" t="s">
        <v>45</v>
      </c>
    </row>
    <row r="91" spans="1:20" x14ac:dyDescent="0.35">
      <c r="A91" s="198" t="s">
        <v>163</v>
      </c>
      <c r="B91" s="198" t="s">
        <v>42</v>
      </c>
      <c r="C91" s="66">
        <v>640.57140000000004</v>
      </c>
      <c r="D91" s="66">
        <v>624.28570000000002</v>
      </c>
      <c r="E91" s="66">
        <v>3</v>
      </c>
      <c r="F91" s="66">
        <v>0</v>
      </c>
      <c r="G91" s="66">
        <v>0</v>
      </c>
      <c r="H91" s="66">
        <v>0</v>
      </c>
      <c r="I91" s="66">
        <v>37.7286</v>
      </c>
      <c r="J91" s="66">
        <v>355.00139999999999</v>
      </c>
      <c r="K91" s="66">
        <v>0</v>
      </c>
      <c r="L91" s="66">
        <v>0</v>
      </c>
      <c r="M91" s="66">
        <v>0</v>
      </c>
      <c r="N91" s="66">
        <v>0</v>
      </c>
      <c r="O91" s="66">
        <v>0</v>
      </c>
      <c r="P91" s="66">
        <v>0</v>
      </c>
      <c r="Q91" s="66">
        <v>0</v>
      </c>
      <c r="R91" s="66">
        <v>0</v>
      </c>
      <c r="S91" s="66">
        <v>0</v>
      </c>
      <c r="T91" t="s">
        <v>45</v>
      </c>
    </row>
    <row r="92" spans="1:20" x14ac:dyDescent="0.35">
      <c r="A92" s="198" t="s">
        <v>168</v>
      </c>
      <c r="B92" s="198" t="s">
        <v>32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O92" s="66">
        <v>0</v>
      </c>
      <c r="P92" s="66">
        <v>0</v>
      </c>
      <c r="Q92" s="66">
        <v>0</v>
      </c>
      <c r="R92" s="66">
        <v>0</v>
      </c>
      <c r="S92" s="66">
        <v>0</v>
      </c>
      <c r="T92" t="s">
        <v>28</v>
      </c>
    </row>
    <row r="93" spans="1:20" x14ac:dyDescent="0.35">
      <c r="A93" s="198" t="s">
        <v>135</v>
      </c>
      <c r="B93" s="198" t="s">
        <v>33</v>
      </c>
      <c r="C93" s="66">
        <v>293.1429</v>
      </c>
      <c r="D93" s="66">
        <v>0</v>
      </c>
      <c r="E93" s="66">
        <v>0</v>
      </c>
      <c r="F93" s="66">
        <v>0</v>
      </c>
      <c r="G93" s="66">
        <v>0</v>
      </c>
      <c r="H93" s="66">
        <v>0</v>
      </c>
      <c r="I93" s="66">
        <v>0</v>
      </c>
      <c r="J93" s="66">
        <v>54.258600000000001</v>
      </c>
      <c r="K93" s="66">
        <v>0</v>
      </c>
      <c r="L93" s="66">
        <v>0</v>
      </c>
      <c r="M93" s="66">
        <v>0</v>
      </c>
      <c r="N93" s="66">
        <v>0</v>
      </c>
      <c r="O93" s="66">
        <v>0</v>
      </c>
      <c r="P93" s="66">
        <v>0</v>
      </c>
      <c r="Q93" s="66">
        <v>0</v>
      </c>
      <c r="R93" s="66">
        <v>0</v>
      </c>
      <c r="S93" s="66">
        <v>0</v>
      </c>
      <c r="T93" t="s">
        <v>28</v>
      </c>
    </row>
    <row r="94" spans="1:20" x14ac:dyDescent="0.35">
      <c r="A94" s="198" t="s">
        <v>277</v>
      </c>
      <c r="B94" s="198" t="s">
        <v>34</v>
      </c>
      <c r="C94" s="66">
        <v>0</v>
      </c>
      <c r="D94" s="66">
        <v>0</v>
      </c>
      <c r="E94" s="66">
        <v>0</v>
      </c>
      <c r="F94" s="66">
        <v>10444.571400000001</v>
      </c>
      <c r="G94" s="66">
        <v>781.71429999999998</v>
      </c>
      <c r="H94" s="66">
        <v>0</v>
      </c>
      <c r="I94" s="66">
        <v>235.6</v>
      </c>
      <c r="J94" s="66">
        <v>108.3</v>
      </c>
      <c r="K94" s="66">
        <v>0</v>
      </c>
      <c r="L94" s="66">
        <v>0</v>
      </c>
      <c r="M94" s="66">
        <v>0</v>
      </c>
      <c r="N94" s="66">
        <v>0</v>
      </c>
      <c r="O94" s="66">
        <v>0</v>
      </c>
      <c r="P94" s="66">
        <v>0</v>
      </c>
      <c r="Q94" s="66">
        <v>350.1429</v>
      </c>
      <c r="R94" s="66">
        <v>431.57139999999998</v>
      </c>
      <c r="S94" s="66">
        <v>0</v>
      </c>
      <c r="T94" t="s">
        <v>28</v>
      </c>
    </row>
    <row r="95" spans="1:20" x14ac:dyDescent="0.35">
      <c r="A95" s="198" t="s">
        <v>171</v>
      </c>
      <c r="B95" s="198" t="s">
        <v>35</v>
      </c>
      <c r="C95" s="66">
        <v>0</v>
      </c>
      <c r="D95" s="66">
        <v>0</v>
      </c>
      <c r="E95" s="66">
        <v>0</v>
      </c>
      <c r="F95" s="66">
        <v>0</v>
      </c>
      <c r="G95" s="66">
        <v>0</v>
      </c>
      <c r="H95" s="66">
        <v>0</v>
      </c>
      <c r="I95" s="66">
        <v>0</v>
      </c>
      <c r="J95" s="66">
        <v>0</v>
      </c>
      <c r="K95" s="66">
        <v>0</v>
      </c>
      <c r="L95" s="66">
        <v>0</v>
      </c>
      <c r="M95" s="66">
        <v>0</v>
      </c>
      <c r="N95" s="66">
        <v>0</v>
      </c>
      <c r="O95" s="66">
        <v>0</v>
      </c>
      <c r="P95" s="66">
        <v>0</v>
      </c>
      <c r="Q95" s="66">
        <v>0</v>
      </c>
      <c r="R95" s="66">
        <v>0</v>
      </c>
      <c r="S95" s="66">
        <v>0</v>
      </c>
      <c r="T95" t="s">
        <v>28</v>
      </c>
    </row>
    <row r="96" spans="1:20" x14ac:dyDescent="0.35">
      <c r="A96" s="198" t="s">
        <v>172</v>
      </c>
      <c r="B96" s="198" t="s">
        <v>51</v>
      </c>
      <c r="C96" s="66">
        <v>703</v>
      </c>
      <c r="D96" s="66">
        <v>1411.3471</v>
      </c>
      <c r="E96" s="66">
        <v>14</v>
      </c>
      <c r="F96" s="66">
        <v>0</v>
      </c>
      <c r="G96" s="66">
        <v>0</v>
      </c>
      <c r="H96" s="66">
        <v>0</v>
      </c>
      <c r="I96" s="66">
        <v>0</v>
      </c>
      <c r="J96" s="66">
        <v>0</v>
      </c>
      <c r="K96" s="66">
        <v>0</v>
      </c>
      <c r="L96" s="66">
        <v>0</v>
      </c>
      <c r="M96" s="66">
        <v>0</v>
      </c>
      <c r="N96" s="66">
        <v>0</v>
      </c>
      <c r="O96" s="66">
        <v>0</v>
      </c>
      <c r="P96" s="66">
        <v>0</v>
      </c>
      <c r="Q96" s="66">
        <v>0</v>
      </c>
      <c r="R96" s="66">
        <v>0</v>
      </c>
      <c r="S96" s="66">
        <v>0</v>
      </c>
      <c r="T96" t="s">
        <v>52</v>
      </c>
    </row>
    <row r="97" spans="1:20" x14ac:dyDescent="0.35">
      <c r="A97" s="198" t="s">
        <v>174</v>
      </c>
      <c r="B97" s="198" t="s">
        <v>51</v>
      </c>
      <c r="C97" s="66">
        <v>168.28569999999999</v>
      </c>
      <c r="D97" s="66">
        <v>271.42860000000002</v>
      </c>
      <c r="E97" s="66">
        <v>3</v>
      </c>
      <c r="F97" s="66">
        <v>0</v>
      </c>
      <c r="G97" s="66">
        <v>0</v>
      </c>
      <c r="H97" s="66">
        <v>0</v>
      </c>
      <c r="I97" s="66">
        <v>0</v>
      </c>
      <c r="J97" s="66">
        <v>0</v>
      </c>
      <c r="K97" s="66">
        <v>0</v>
      </c>
      <c r="L97" s="66">
        <v>0</v>
      </c>
      <c r="M97" s="66">
        <v>0</v>
      </c>
      <c r="N97" s="66">
        <v>0</v>
      </c>
      <c r="O97" s="66">
        <v>0</v>
      </c>
      <c r="P97" s="66">
        <v>0</v>
      </c>
      <c r="Q97" s="66">
        <v>0</v>
      </c>
      <c r="R97" s="66">
        <v>0</v>
      </c>
      <c r="S97" s="66">
        <v>0</v>
      </c>
      <c r="T97" t="s">
        <v>52</v>
      </c>
    </row>
    <row r="98" spans="1:20" x14ac:dyDescent="0.35">
      <c r="A98" s="198" t="s">
        <v>173</v>
      </c>
      <c r="B98" s="198" t="s">
        <v>51</v>
      </c>
      <c r="C98" s="66">
        <v>0</v>
      </c>
      <c r="D98" s="66">
        <v>0</v>
      </c>
      <c r="E98" s="66">
        <v>0</v>
      </c>
      <c r="F98" s="66">
        <v>0</v>
      </c>
      <c r="G98" s="66">
        <v>0</v>
      </c>
      <c r="H98" s="66">
        <v>0</v>
      </c>
      <c r="I98" s="66">
        <v>0</v>
      </c>
      <c r="J98" s="66">
        <v>0</v>
      </c>
      <c r="K98" s="66">
        <v>0</v>
      </c>
      <c r="L98" s="66">
        <v>0</v>
      </c>
      <c r="M98" s="66">
        <v>0</v>
      </c>
      <c r="N98" s="66">
        <v>0</v>
      </c>
      <c r="O98" s="66">
        <v>0</v>
      </c>
      <c r="P98" s="66">
        <v>0</v>
      </c>
      <c r="Q98" s="66">
        <v>0</v>
      </c>
      <c r="R98" s="66">
        <v>0</v>
      </c>
      <c r="S98" s="66">
        <v>0</v>
      </c>
      <c r="T98" t="s">
        <v>52</v>
      </c>
    </row>
    <row r="99" spans="1:20" x14ac:dyDescent="0.35">
      <c r="A99" s="198" t="s">
        <v>278</v>
      </c>
      <c r="B99" s="198" t="s">
        <v>51</v>
      </c>
      <c r="C99" s="66">
        <v>0</v>
      </c>
      <c r="D99" s="66">
        <v>135.71430000000001</v>
      </c>
      <c r="E99" s="66">
        <v>3</v>
      </c>
      <c r="F99" s="66">
        <v>0</v>
      </c>
      <c r="G99" s="66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O99" s="66">
        <v>0</v>
      </c>
      <c r="P99" s="66">
        <v>0</v>
      </c>
      <c r="Q99" s="66">
        <v>0</v>
      </c>
      <c r="R99" s="66">
        <v>0</v>
      </c>
      <c r="S99" s="66">
        <v>0</v>
      </c>
      <c r="T99" t="s">
        <v>52</v>
      </c>
    </row>
    <row r="100" spans="1:20" x14ac:dyDescent="0.35">
      <c r="A100" s="198" t="s">
        <v>178</v>
      </c>
      <c r="B100" s="198" t="s">
        <v>39</v>
      </c>
      <c r="C100" s="66">
        <v>0</v>
      </c>
      <c r="D100" s="66">
        <v>0</v>
      </c>
      <c r="E100" s="66">
        <v>0</v>
      </c>
      <c r="F100" s="66">
        <v>0</v>
      </c>
      <c r="G100" s="66">
        <v>0</v>
      </c>
      <c r="H100" s="66">
        <v>0</v>
      </c>
      <c r="I100" s="66">
        <v>0</v>
      </c>
      <c r="J100" s="66">
        <v>0</v>
      </c>
      <c r="K100" s="66">
        <v>0</v>
      </c>
      <c r="L100" s="66">
        <v>0</v>
      </c>
      <c r="M100" s="66">
        <v>0</v>
      </c>
      <c r="N100" s="66">
        <v>0</v>
      </c>
      <c r="O100" s="66">
        <v>0</v>
      </c>
      <c r="P100" s="66">
        <v>0</v>
      </c>
      <c r="Q100" s="66">
        <v>0</v>
      </c>
      <c r="R100" s="66">
        <v>0</v>
      </c>
      <c r="S100" s="66">
        <v>0</v>
      </c>
      <c r="T100" t="s">
        <v>227</v>
      </c>
    </row>
    <row r="101" spans="1:20" x14ac:dyDescent="0.35">
      <c r="A101" s="198" t="s">
        <v>158</v>
      </c>
      <c r="B101" s="198" t="s">
        <v>46</v>
      </c>
      <c r="C101" s="66">
        <v>0</v>
      </c>
      <c r="D101" s="66">
        <v>0</v>
      </c>
      <c r="E101" s="66">
        <v>0</v>
      </c>
      <c r="F101" s="66">
        <v>0</v>
      </c>
      <c r="G101" s="66">
        <v>0</v>
      </c>
      <c r="H101" s="66">
        <v>0</v>
      </c>
      <c r="I101" s="66">
        <v>0</v>
      </c>
      <c r="J101" s="66">
        <v>0</v>
      </c>
      <c r="K101" s="66">
        <v>0</v>
      </c>
      <c r="L101" s="66">
        <v>0</v>
      </c>
      <c r="M101" s="66">
        <v>0</v>
      </c>
      <c r="N101" s="66">
        <v>0</v>
      </c>
      <c r="O101" s="66">
        <v>0</v>
      </c>
      <c r="P101" s="66">
        <v>0</v>
      </c>
      <c r="Q101" s="66">
        <v>0</v>
      </c>
      <c r="R101" s="66">
        <v>0</v>
      </c>
      <c r="S101" s="66">
        <v>0</v>
      </c>
      <c r="T101" t="s">
        <v>45</v>
      </c>
    </row>
    <row r="102" spans="1:20" x14ac:dyDescent="0.35">
      <c r="A102" s="198" t="s">
        <v>279</v>
      </c>
      <c r="B102" s="198" t="s">
        <v>41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0</v>
      </c>
      <c r="Q102" s="66">
        <v>0</v>
      </c>
      <c r="R102" s="66">
        <v>0</v>
      </c>
      <c r="S102" s="66">
        <v>0</v>
      </c>
      <c r="T102" t="s">
        <v>227</v>
      </c>
    </row>
    <row r="103" spans="1:20" x14ac:dyDescent="0.35">
      <c r="A103" s="198" t="s">
        <v>151</v>
      </c>
      <c r="B103" s="198" t="s">
        <v>42</v>
      </c>
      <c r="C103" s="66">
        <v>0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6">
        <v>0</v>
      </c>
      <c r="O103" s="66">
        <v>0</v>
      </c>
      <c r="P103" s="66">
        <v>0</v>
      </c>
      <c r="Q103" s="66">
        <v>0</v>
      </c>
      <c r="R103" s="66">
        <v>0</v>
      </c>
      <c r="S103" s="66">
        <v>0</v>
      </c>
      <c r="T103" t="s">
        <v>45</v>
      </c>
    </row>
    <row r="104" spans="1:20" x14ac:dyDescent="0.35">
      <c r="A104" s="198" t="s">
        <v>160</v>
      </c>
      <c r="B104" s="198" t="s">
        <v>48</v>
      </c>
      <c r="C104" s="66">
        <v>447.8571</v>
      </c>
      <c r="D104" s="66">
        <v>0</v>
      </c>
      <c r="E104" s="66">
        <v>0</v>
      </c>
      <c r="F104" s="66">
        <v>5425.8571000000002</v>
      </c>
      <c r="G104" s="66">
        <v>540.14290000000005</v>
      </c>
      <c r="H104" s="66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0</v>
      </c>
      <c r="R104" s="66">
        <v>540.14290000000005</v>
      </c>
      <c r="S104" s="66">
        <v>0</v>
      </c>
      <c r="T104" t="s">
        <v>45</v>
      </c>
    </row>
    <row r="105" spans="1:20" x14ac:dyDescent="0.35">
      <c r="A105" s="198" t="s">
        <v>177</v>
      </c>
      <c r="B105" s="198" t="s">
        <v>42</v>
      </c>
      <c r="C105" s="66">
        <v>0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O105" s="66">
        <v>0</v>
      </c>
      <c r="P105" s="66">
        <v>0</v>
      </c>
      <c r="Q105" s="66">
        <v>0</v>
      </c>
      <c r="R105" s="66">
        <v>0</v>
      </c>
      <c r="S105" s="66">
        <v>0</v>
      </c>
      <c r="T105" t="s">
        <v>45</v>
      </c>
    </row>
    <row r="106" spans="1:20" x14ac:dyDescent="0.35">
      <c r="A106" s="198" t="s">
        <v>179</v>
      </c>
      <c r="B106" s="198" t="s">
        <v>50</v>
      </c>
      <c r="C106" s="66">
        <v>640.57140000000004</v>
      </c>
      <c r="D106" s="66">
        <v>624.28570000000002</v>
      </c>
      <c r="E106" s="66">
        <v>3</v>
      </c>
      <c r="F106" s="66">
        <v>0</v>
      </c>
      <c r="G106" s="66">
        <v>0</v>
      </c>
      <c r="H106" s="66">
        <v>0</v>
      </c>
      <c r="I106" s="66">
        <v>0</v>
      </c>
      <c r="J106" s="66">
        <v>162.5857</v>
      </c>
      <c r="K106" s="66">
        <v>0</v>
      </c>
      <c r="L106" s="66">
        <v>0</v>
      </c>
      <c r="M106" s="66">
        <v>0</v>
      </c>
      <c r="N106" s="66">
        <v>0</v>
      </c>
      <c r="O106" s="66">
        <v>0</v>
      </c>
      <c r="P106" s="66">
        <v>0</v>
      </c>
      <c r="Q106" s="66">
        <v>0</v>
      </c>
      <c r="R106" s="66">
        <v>0</v>
      </c>
      <c r="S106" s="66">
        <v>0</v>
      </c>
      <c r="T106" t="s">
        <v>45</v>
      </c>
    </row>
  </sheetData>
  <phoneticPr fontId="1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5F30-E78A-4C09-8A07-1B399F4F1A1B}">
  <sheetPr codeName="Planilha3"/>
  <dimension ref="B2:H20"/>
  <sheetViews>
    <sheetView showGridLines="0" workbookViewId="0">
      <selection activeCell="P10" sqref="P10"/>
    </sheetView>
  </sheetViews>
  <sheetFormatPr defaultRowHeight="14.5" x14ac:dyDescent="0.35"/>
  <cols>
    <col min="2" max="2" width="12.26953125" bestFit="1" customWidth="1"/>
    <col min="3" max="4" width="4.7265625" customWidth="1"/>
    <col min="5" max="5" width="15.26953125" bestFit="1" customWidth="1"/>
    <col min="6" max="7" width="4.7265625" customWidth="1"/>
    <col min="8" max="8" width="21" bestFit="1" customWidth="1"/>
  </cols>
  <sheetData>
    <row r="2" spans="2:8" ht="14.5" customHeight="1" x14ac:dyDescent="0.35">
      <c r="B2" s="197" t="s">
        <v>195</v>
      </c>
      <c r="C2" s="197"/>
      <c r="D2" s="197"/>
      <c r="E2" s="197"/>
      <c r="F2" s="197"/>
      <c r="G2" s="197"/>
      <c r="H2" s="197"/>
    </row>
    <row r="3" spans="2:8" ht="14.5" customHeight="1" x14ac:dyDescent="0.35">
      <c r="B3" s="197"/>
      <c r="C3" s="197"/>
      <c r="D3" s="197"/>
      <c r="E3" s="197"/>
      <c r="F3" s="197"/>
      <c r="G3" s="197"/>
      <c r="H3" s="197"/>
    </row>
    <row r="4" spans="2:8" ht="14.5" customHeight="1" x14ac:dyDescent="0.35">
      <c r="B4" s="197"/>
      <c r="C4" s="197"/>
      <c r="D4" s="197"/>
      <c r="E4" s="197"/>
      <c r="F4" s="197"/>
      <c r="G4" s="197"/>
      <c r="H4" s="197"/>
    </row>
    <row r="6" spans="2:8" x14ac:dyDescent="0.35">
      <c r="B6" s="72" t="s">
        <v>27</v>
      </c>
      <c r="E6" s="72" t="s">
        <v>196</v>
      </c>
      <c r="H6" s="72" t="s">
        <v>43</v>
      </c>
    </row>
    <row r="8" spans="2:8" x14ac:dyDescent="0.35">
      <c r="B8" s="72" t="s">
        <v>30</v>
      </c>
      <c r="E8" s="72" t="s">
        <v>38</v>
      </c>
      <c r="H8" s="72" t="s">
        <v>197</v>
      </c>
    </row>
    <row r="10" spans="2:8" x14ac:dyDescent="0.35">
      <c r="B10" s="72" t="s">
        <v>32</v>
      </c>
      <c r="E10" s="72" t="s">
        <v>39</v>
      </c>
      <c r="H10" s="72" t="s">
        <v>46</v>
      </c>
    </row>
    <row r="12" spans="2:8" x14ac:dyDescent="0.35">
      <c r="B12" s="72" t="s">
        <v>198</v>
      </c>
      <c r="E12" s="72" t="s">
        <v>40</v>
      </c>
      <c r="H12" s="72" t="s">
        <v>47</v>
      </c>
    </row>
    <row r="14" spans="2:8" x14ac:dyDescent="0.35">
      <c r="B14" s="72" t="s">
        <v>31</v>
      </c>
      <c r="E14" s="72" t="s">
        <v>41</v>
      </c>
      <c r="H14" s="72" t="s">
        <v>48</v>
      </c>
    </row>
    <row r="16" spans="2:8" x14ac:dyDescent="0.35">
      <c r="B16" s="72" t="s">
        <v>33</v>
      </c>
      <c r="E16" s="72" t="s">
        <v>42</v>
      </c>
      <c r="H16" s="72" t="s">
        <v>49</v>
      </c>
    </row>
    <row r="18" spans="2:8" x14ac:dyDescent="0.35">
      <c r="B18" s="72" t="s">
        <v>35</v>
      </c>
      <c r="H18" s="72" t="s">
        <v>50</v>
      </c>
    </row>
    <row r="20" spans="2:8" x14ac:dyDescent="0.35">
      <c r="B20" s="72" t="s">
        <v>199</v>
      </c>
    </row>
  </sheetData>
  <mergeCells count="1">
    <mergeCell ref="B2:H4"/>
  </mergeCells>
  <hyperlinks>
    <hyperlink ref="B6" location="ANCHIETA!A1" display="ANCHIETA!A1" xr:uid="{153ADEAC-BD44-43D1-9C41-E02168939FF5}"/>
    <hyperlink ref="B12" location="'BOM JESUS'!A1" display="BOM JESUS" xr:uid="{7F7E6512-38BE-4B50-8721-D16AAA74411A}"/>
    <hyperlink ref="B8" location="ICONHA!A1" display="ICONHA" xr:uid="{A0A614C5-68C9-4076-856E-34CA6E44F86C}"/>
    <hyperlink ref="B10" location="PIUMA!A1" display="PIUMA" xr:uid="{0B54D69F-E5C1-409E-B519-5D165DC536DC}"/>
    <hyperlink ref="B14" location="MIRACEMA!A1" display="MIRACEMA" xr:uid="{C7911EA5-3C95-4D6B-9DBD-24F8DF8DB70B}"/>
    <hyperlink ref="B16" location="QUISSAMA!A1" display="QUISSAMA!A1" xr:uid="{9C94C93A-F1A4-48BF-8ED1-5726C76F3F3F}"/>
    <hyperlink ref="B18" location="'SAO FIDELIS'!A1" display="SAO FIDELIS" xr:uid="{9E09FD9D-F5BE-44B2-8BE4-A315F8E21AE8}"/>
    <hyperlink ref="B20" location="'ST PADUA'!A1" display="ST PADUA" xr:uid="{CFA669C5-4A72-4FB6-9EB8-015DC69650E7}"/>
    <hyperlink ref="E6" location="'CENTRO VV'!A1" display="CENTRO VV" xr:uid="{0BDAC731-25C5-4D9A-B16C-EA873AA2F831}"/>
    <hyperlink ref="E8" location="'CENTRO VIX'!A1" display="CENTRO VIX" xr:uid="{094E06F1-76A9-4B58-AE68-D2C6CFF19F8F}"/>
    <hyperlink ref="E10" location="GLÓRIA!A1" display="GLÓRIA" xr:uid="{97C940B5-C81C-4663-9921-BC73F43E4D5E}"/>
    <hyperlink ref="E12" location="'JARDIM CAMBURI'!A1" display="JARDIM CAMBURI" xr:uid="{6FC76F31-9371-4639-9D5B-DB533E9A0641}"/>
    <hyperlink ref="E14" location="MASTERPLACE!A1" display="MASTERPLACE" xr:uid="{5BE2C8C1-4F1C-40E6-B7DB-157E3BBFC555}"/>
    <hyperlink ref="E16" location="'NORTE SUL'!A1" display="NORTE SUL" xr:uid="{9F16102E-7D3E-4057-84E6-B031E5B33DBE}"/>
    <hyperlink ref="H6" location="ITACIBA!A1" display="ITACIBA" xr:uid="{3E8E000F-2D24-457C-A15B-BB19A229F324}"/>
    <hyperlink ref="H12" location="'MARCILIO DE NORONHA'!A1" display="MARCILIO DE NORONHA" xr:uid="{54D799F4-655C-400A-B917-C5FE8175AE37}"/>
    <hyperlink ref="H14" location="MONTSERRAT!A1" display="MONTSERRAT" xr:uid="{1AD7DD12-F4D7-42C1-9443-0FF690F50A41}"/>
    <hyperlink ref="H8" location="JACARAIPE!A1" display="JACARAIPE" xr:uid="{94F60E27-11F7-4A0A-ACFD-3BDD1A6D2D8A}"/>
    <hyperlink ref="H16" location="'PORTO CANOA'!A1" display="PORTO CANOA" xr:uid="{6130DD85-C499-4CE5-AE57-2D4419905DD3}"/>
    <hyperlink ref="H18" location="'SERRA SEDE'!A1" display="SERRA SEDE" xr:uid="{DA01D229-D025-4D6B-B020-3930188B2822}"/>
    <hyperlink ref="H10" location="LARANJEIRAS!A1" display="LARANJEIRAS" xr:uid="{35229676-4BEA-4FD9-ADCA-9FB86336401B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C2A3-DA86-49D3-ACF2-3514A21CF107}">
  <sheetPr codeName="Planilha4"/>
  <dimension ref="B1:P54"/>
  <sheetViews>
    <sheetView showGridLines="0" zoomScale="80" zoomScaleNormal="80" workbookViewId="0">
      <selection activeCell="B11" sqref="B11:L11"/>
    </sheetView>
  </sheetViews>
  <sheetFormatPr defaultRowHeight="14.5" x14ac:dyDescent="0.35"/>
  <cols>
    <col min="1" max="1" width="2.1796875" customWidth="1"/>
    <col min="2" max="5" width="21.54296875" customWidth="1"/>
    <col min="6" max="10" width="17.453125" customWidth="1"/>
    <col min="11" max="12" width="23.7265625" customWidth="1"/>
  </cols>
  <sheetData>
    <row r="1" spans="2:16" x14ac:dyDescent="0.35">
      <c r="B1" s="54"/>
    </row>
    <row r="2" spans="2:16" x14ac:dyDescent="0.35">
      <c r="B2" s="92" t="s">
        <v>200</v>
      </c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2:16" x14ac:dyDescent="0.35">
      <c r="B3" s="95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2:16" x14ac:dyDescent="0.35">
      <c r="B4" s="98"/>
      <c r="C4" s="99"/>
      <c r="D4" s="99"/>
      <c r="E4" s="99"/>
      <c r="F4" s="99"/>
      <c r="G4" s="99"/>
      <c r="H4" s="99"/>
      <c r="I4" s="99"/>
      <c r="J4" s="99"/>
      <c r="K4" s="99"/>
      <c r="L4" s="100"/>
    </row>
    <row r="5" spans="2:16" x14ac:dyDescent="0.35">
      <c r="B5" s="55"/>
      <c r="L5" s="56"/>
    </row>
    <row r="6" spans="2:16" ht="14.5" customHeight="1" x14ac:dyDescent="0.35">
      <c r="B6" s="101" t="s">
        <v>201</v>
      </c>
      <c r="C6" s="102"/>
      <c r="D6" s="102"/>
      <c r="E6" s="102"/>
      <c r="F6" s="102"/>
      <c r="G6" s="102"/>
      <c r="H6" s="103"/>
      <c r="J6" s="104" t="s">
        <v>23</v>
      </c>
      <c r="K6" s="105"/>
      <c r="L6" s="105"/>
      <c r="N6" s="1">
        <v>0</v>
      </c>
      <c r="O6" s="1">
        <v>2</v>
      </c>
      <c r="P6" s="1">
        <v>3</v>
      </c>
    </row>
    <row r="7" spans="2:16" ht="14.5" customHeight="1" x14ac:dyDescent="0.35">
      <c r="B7" s="57" t="s">
        <v>202</v>
      </c>
      <c r="C7" s="2" t="s">
        <v>13</v>
      </c>
      <c r="D7" s="2" t="s">
        <v>203</v>
      </c>
      <c r="E7" s="2" t="s">
        <v>16</v>
      </c>
      <c r="F7" s="2" t="s">
        <v>204</v>
      </c>
      <c r="G7" s="2" t="s">
        <v>205</v>
      </c>
      <c r="H7" s="3" t="s">
        <v>14</v>
      </c>
      <c r="J7" s="106" t="s">
        <v>28</v>
      </c>
      <c r="K7" s="107"/>
      <c r="L7" s="108"/>
    </row>
    <row r="8" spans="2:16" ht="14.5" customHeight="1" x14ac:dyDescent="0.35">
      <c r="B8" s="58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L8" s="56"/>
    </row>
    <row r="9" spans="2:16" x14ac:dyDescent="0.35">
      <c r="B9" s="75"/>
      <c r="C9" s="76"/>
      <c r="D9" s="76"/>
      <c r="E9" s="76"/>
      <c r="F9" s="76"/>
      <c r="G9" s="76"/>
      <c r="H9" s="76"/>
    </row>
    <row r="10" spans="2:16" x14ac:dyDescent="0.35">
      <c r="B10" s="75"/>
      <c r="C10" s="76"/>
      <c r="D10" s="76"/>
      <c r="E10" s="76"/>
      <c r="F10" s="76"/>
      <c r="G10" s="76"/>
      <c r="H10" s="76"/>
    </row>
    <row r="11" spans="2:16" ht="18.5" x14ac:dyDescent="0.35">
      <c r="B11" s="109" t="s">
        <v>206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</row>
    <row r="12" spans="2:16" x14ac:dyDescent="0.35">
      <c r="B12" s="89" t="s">
        <v>9</v>
      </c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2:16" ht="14.5" customHeight="1" x14ac:dyDescent="0.35">
      <c r="B13" s="111" t="s">
        <v>207</v>
      </c>
      <c r="C13" s="113" t="s">
        <v>208</v>
      </c>
      <c r="D13" s="114"/>
      <c r="E13" s="115"/>
      <c r="F13" s="116" t="s">
        <v>209</v>
      </c>
      <c r="G13" s="116" t="s">
        <v>210</v>
      </c>
      <c r="H13" s="118" t="s">
        <v>211</v>
      </c>
      <c r="I13" s="118" t="s">
        <v>212</v>
      </c>
      <c r="J13" s="118" t="s">
        <v>213</v>
      </c>
      <c r="K13" s="120" t="s">
        <v>214</v>
      </c>
      <c r="L13" s="120" t="s">
        <v>215</v>
      </c>
    </row>
    <row r="14" spans="2:16" x14ac:dyDescent="0.35">
      <c r="B14" s="112"/>
      <c r="C14" s="85" t="s">
        <v>216</v>
      </c>
      <c r="D14" s="122" t="s">
        <v>217</v>
      </c>
      <c r="E14" s="123"/>
      <c r="F14" s="117"/>
      <c r="G14" s="117"/>
      <c r="H14" s="119"/>
      <c r="I14" s="119"/>
      <c r="J14" s="119"/>
      <c r="K14" s="121"/>
      <c r="L14" s="121"/>
    </row>
    <row r="15" spans="2:16" x14ac:dyDescent="0.35">
      <c r="B15" s="41" t="s">
        <v>2</v>
      </c>
      <c r="C15" s="67">
        <f>SUMIFS(REALIZADO[META_MOVEL],REALIZADO[COORDENAÇÃO],$J$7)</f>
        <v>65329.000300000007</v>
      </c>
      <c r="D15" s="68">
        <f>SUMIFS(PROJEÇÃO[PROJ_MOVEL],PROJEÇÃO[COORDENAÇÃO],J7)</f>
        <v>53812.804300000003</v>
      </c>
      <c r="E15" s="45">
        <f>IFERROR(D15/C15,0)</f>
        <v>0.82372000264635914</v>
      </c>
      <c r="F15" s="8">
        <f>VLOOKUP(E15,FATORES!$I$61:$K$65,3)</f>
        <v>1.4999999999999999E-2</v>
      </c>
      <c r="G15" s="9">
        <f t="shared" ref="G15:G23" si="0">D15*F15</f>
        <v>807.19206450000001</v>
      </c>
      <c r="H15" s="10">
        <f>IF($B$8=2,G15*0.05,0)</f>
        <v>0</v>
      </c>
      <c r="I15" s="10">
        <f>IF($B$8=3,G15*0.05,0)</f>
        <v>0</v>
      </c>
      <c r="J15" s="124">
        <v>0.1</v>
      </c>
      <c r="K15" s="127">
        <f>SUM(G24:J24)</f>
        <v>2479.4767958500001</v>
      </c>
      <c r="L15" s="127">
        <f>K15*0.75</f>
        <v>1859.6075968875002</v>
      </c>
    </row>
    <row r="16" spans="2:16" x14ac:dyDescent="0.35">
      <c r="B16" s="42" t="s">
        <v>13</v>
      </c>
      <c r="C16" s="67">
        <f>SUMIFS(REALIZADO[META_FIXA],REALIZADO[COORDENAÇÃO],$J$7)</f>
        <v>0</v>
      </c>
      <c r="D16" s="68">
        <f>SUMIFS(PROJEÇÃO[PROJ_FIXA],PROJEÇÃO[COORDENAÇÃO],J7)</f>
        <v>0</v>
      </c>
      <c r="E16" s="45">
        <f>IFERROR(D16/C16,0)</f>
        <v>0</v>
      </c>
      <c r="F16" s="11">
        <f>VLOOKUP(E16,FATORES!$I$68:$K$72,3)</f>
        <v>5.0000000000000001E-3</v>
      </c>
      <c r="G16" s="60">
        <f t="shared" si="0"/>
        <v>0</v>
      </c>
      <c r="H16" s="12">
        <f>IF($C$8=2,G16*0.05,0)</f>
        <v>0</v>
      </c>
      <c r="I16" s="12">
        <f>IF($C$8=3,G16*0.05,0)</f>
        <v>0</v>
      </c>
      <c r="J16" s="125"/>
      <c r="K16" s="128"/>
      <c r="L16" s="128"/>
    </row>
    <row r="17" spans="2:12" x14ac:dyDescent="0.35">
      <c r="B17" s="42" t="s">
        <v>218</v>
      </c>
      <c r="C17" s="48">
        <f>SUMIFS(REALIZADO[META_SMARTPHONE],REALIZADO[COORDENAÇÃO],$J$7)</f>
        <v>725999.99990000017</v>
      </c>
      <c r="D17" s="69">
        <f>SUMIFS(PROJEÇÃO[PROJ_APARELHO],PROJEÇÃO[COORDENAÇÃO],J7)</f>
        <v>670558.85710000002</v>
      </c>
      <c r="E17" s="46">
        <f>IFERROR(D17/C17,0)</f>
        <v>0.92363478952116163</v>
      </c>
      <c r="F17" s="11">
        <f>VLOOKUP(E17,FATORES!$B$80:$D$83,3)</f>
        <v>1.5E-3</v>
      </c>
      <c r="G17" s="60">
        <f t="shared" si="0"/>
        <v>1005.8382856500001</v>
      </c>
      <c r="H17" s="12">
        <f>IF($D$8=2,G17*0.05,0)</f>
        <v>0</v>
      </c>
      <c r="I17" s="12">
        <f>IF($D$8=3,G17*0.05,0)</f>
        <v>0</v>
      </c>
      <c r="J17" s="125"/>
      <c r="K17" s="128"/>
      <c r="L17" s="128"/>
    </row>
    <row r="18" spans="2:12" x14ac:dyDescent="0.35">
      <c r="B18" s="43" t="s">
        <v>219</v>
      </c>
      <c r="C18" s="86">
        <f>SUMIFS(REALIZADO[META_ACESSORIO],REALIZADO[COORDENAÇÃO],$J$7)</f>
        <v>77500.00009999999</v>
      </c>
      <c r="D18" s="77">
        <f>SUMIFS(PROJEÇÃO[PROJ_ELETRO_A],PROJEÇÃO[COORDENAÇÃO],J7)</f>
        <v>2646.4287000000004</v>
      </c>
      <c r="E18" s="88">
        <f>IFERROR((D18+D19)/C18,0)</f>
        <v>1.4287299542855099</v>
      </c>
      <c r="F18" s="11">
        <f>VLOOKUP(E18,FATORES!$B$72:$E$76,3)</f>
        <v>3.0000000000000001E-3</v>
      </c>
      <c r="G18" s="60">
        <f t="shared" si="0"/>
        <v>7.9392861000000012</v>
      </c>
      <c r="H18" s="12">
        <f>IF($E$8=2,G18*0.05,0)</f>
        <v>0</v>
      </c>
      <c r="I18" s="12">
        <f>IF($E$8=3,G18*0.05,0)</f>
        <v>0</v>
      </c>
      <c r="J18" s="125"/>
      <c r="K18" s="128"/>
      <c r="L18" s="128"/>
    </row>
    <row r="19" spans="2:12" x14ac:dyDescent="0.35">
      <c r="B19" s="43" t="s">
        <v>220</v>
      </c>
      <c r="C19" s="87"/>
      <c r="D19" s="78">
        <f>SUMIFS(PROJEÇÃO[PROJ_ELETRO_B],PROJEÇÃO[COORDENAÇÃO],J7)</f>
        <v>108080.14289999999</v>
      </c>
      <c r="E19" s="88"/>
      <c r="F19" s="11">
        <f>VLOOKUP(E18,FATORES!$B$72:$E$76,4)</f>
        <v>2.5000000000000001E-3</v>
      </c>
      <c r="G19" s="60">
        <f t="shared" si="0"/>
        <v>270.20035724999997</v>
      </c>
      <c r="H19" s="12">
        <f>IF($E$8=2,G19*0.05,0)</f>
        <v>0</v>
      </c>
      <c r="I19" s="12">
        <f>IF($E$8=3,G19*0.05,0)</f>
        <v>0</v>
      </c>
      <c r="J19" s="125"/>
      <c r="K19" s="128"/>
      <c r="L19" s="128"/>
    </row>
    <row r="20" spans="2:12" x14ac:dyDescent="0.35">
      <c r="B20" s="42" t="s">
        <v>221</v>
      </c>
      <c r="C20" s="86">
        <f>SUMIFS(REALIZADO[META_ESSENCIAIS],REALIZADO[COORDENAÇÃO],$J$7)</f>
        <v>58100.000100000012</v>
      </c>
      <c r="D20" s="77">
        <f>SUMIFS(PROJEÇÃO[PROJ_ESSEN_A],PROJEÇÃO[COORDENAÇÃO],J7)</f>
        <v>30850.571599999996</v>
      </c>
      <c r="E20" s="88">
        <f>IFERROR((D20+D21)/C20,0)</f>
        <v>1.1747110926424933</v>
      </c>
      <c r="F20" s="11">
        <f>VLOOKUP(E20,FATORES!$B$63:$E$67,3)</f>
        <v>0.01</v>
      </c>
      <c r="G20" s="60">
        <f t="shared" si="0"/>
        <v>308.50571599999995</v>
      </c>
      <c r="H20" s="12">
        <f>IF($F$8=2,G20*0.05,0)</f>
        <v>0</v>
      </c>
      <c r="I20" s="12">
        <f>IF($F$8=3,G20*0.05,0)</f>
        <v>0</v>
      </c>
      <c r="J20" s="125"/>
      <c r="K20" s="128"/>
      <c r="L20" s="128"/>
    </row>
    <row r="21" spans="2:12" x14ac:dyDescent="0.35">
      <c r="B21" s="42" t="s">
        <v>222</v>
      </c>
      <c r="C21" s="87"/>
      <c r="D21" s="78">
        <f>SUMIFS(PROJEÇÃO[PROJ_ESSEN_B],PROJEÇÃO[COORDENAÇÃO],J7)</f>
        <v>37400.142999999989</v>
      </c>
      <c r="E21" s="88"/>
      <c r="F21" s="11">
        <f>VLOOKUP(E20,FATORES!$B$63:$E$67,4)</f>
        <v>1.2000000000000001E-3</v>
      </c>
      <c r="G21" s="60">
        <f t="shared" si="0"/>
        <v>44.88017159999999</v>
      </c>
      <c r="H21" s="12">
        <f>IF($F$8=2,G21*0.05,0)</f>
        <v>0</v>
      </c>
      <c r="I21" s="12">
        <f>IF($F$8=3,G21*0.05,0)</f>
        <v>0</v>
      </c>
      <c r="J21" s="125"/>
      <c r="K21" s="128"/>
      <c r="L21" s="128"/>
    </row>
    <row r="22" spans="2:12" x14ac:dyDescent="0.35">
      <c r="B22" s="42" t="s">
        <v>205</v>
      </c>
      <c r="C22" s="52">
        <f>SUMIFS(REALIZADO[META_SEGUROS],REALIZADO[COORDENAÇÃO],$J$7)</f>
        <v>6187.5</v>
      </c>
      <c r="D22" s="70">
        <f>SUMIFS(PROJEÇÃO[PROJ_SEGURO],PROJEÇÃO[COORDENAÇÃO],J7)</f>
        <v>4375.9714999999997</v>
      </c>
      <c r="E22" s="74">
        <f>IFERROR(D22/C22,0)</f>
        <v>0.70722771717171706</v>
      </c>
      <c r="F22" s="74">
        <f>VLOOKUP(E22,FATORES!$O$61:$Q$65,3)</f>
        <v>5.0000000000000001E-3</v>
      </c>
      <c r="G22" s="60">
        <f t="shared" si="0"/>
        <v>21.8798575</v>
      </c>
      <c r="H22" s="12">
        <f>IF($G$8=2,G22*0.05,0)</f>
        <v>0</v>
      </c>
      <c r="I22" s="12">
        <f>IF($G$8=3,G22*0.05,0)</f>
        <v>0</v>
      </c>
      <c r="J22" s="125"/>
      <c r="K22" s="128"/>
      <c r="L22" s="128"/>
    </row>
    <row r="23" spans="2:12" x14ac:dyDescent="0.35">
      <c r="B23" s="44" t="s">
        <v>14</v>
      </c>
      <c r="C23" s="67">
        <f>SUMIFS(REALIZADO[META_SVA],REALIZADO[COORDENAÇÃO],$J$7)</f>
        <v>5774.9998999999998</v>
      </c>
      <c r="D23" s="68">
        <f>SUMIFS(PROJEÇÃO[PROJ_SVA],PROJEÇÃO[COORDENAÇÃO],J7)</f>
        <v>5216.4228999999996</v>
      </c>
      <c r="E23" s="73">
        <f>IFERROR(D23/C23,0)</f>
        <v>0.9032767082818477</v>
      </c>
      <c r="F23" s="13">
        <f>IF(E23&gt;=0,FATORES!$Q$68)</f>
        <v>2.5000000000000001E-3</v>
      </c>
      <c r="G23" s="14">
        <f t="shared" si="0"/>
        <v>13.04105725</v>
      </c>
      <c r="H23" s="15">
        <f>IF($H$8=2,G23*0.05,0)</f>
        <v>0</v>
      </c>
      <c r="I23" s="15">
        <f>IF($H$8=3,G23*0.05,0)</f>
        <v>0</v>
      </c>
      <c r="J23" s="126"/>
      <c r="K23" s="129"/>
      <c r="L23" s="129"/>
    </row>
    <row r="24" spans="2:12" x14ac:dyDescent="0.35">
      <c r="B24" s="61"/>
      <c r="C24" s="62"/>
      <c r="D24" s="62"/>
      <c r="E24" s="62"/>
      <c r="F24" s="62"/>
      <c r="G24" s="63">
        <f>SUM(G15:G23)</f>
        <v>2479.4767958500001</v>
      </c>
      <c r="H24" s="63">
        <f t="shared" ref="H24:I24" si="1">SUM(H15:H23)</f>
        <v>0</v>
      </c>
      <c r="I24" s="63">
        <f t="shared" si="1"/>
        <v>0</v>
      </c>
      <c r="J24" s="79" t="str">
        <f>IF($J$7="ARIEL",IF(MIN(E15,E17,E18,E19,E20,E22,E23)&gt;=100%,G24*J15,""),IF(MIN(E15:E23)&gt;=100%,G24*J15,""))</f>
        <v/>
      </c>
      <c r="K24" s="102"/>
      <c r="L24" s="102"/>
    </row>
    <row r="25" spans="2:12" ht="16.149999999999999" customHeight="1" x14ac:dyDescent="0.35">
      <c r="B25" s="71"/>
      <c r="C25" s="6"/>
      <c r="D25" s="6"/>
      <c r="E25" s="6"/>
      <c r="F25" s="6"/>
      <c r="G25" s="6"/>
      <c r="H25" s="6"/>
      <c r="L25" s="56"/>
    </row>
    <row r="26" spans="2:12" ht="18.5" x14ac:dyDescent="0.35">
      <c r="B26" s="130" t="s">
        <v>223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</row>
    <row r="27" spans="2:12" x14ac:dyDescent="0.35">
      <c r="B27" s="89" t="s">
        <v>9</v>
      </c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2:12" ht="14.5" customHeight="1" x14ac:dyDescent="0.35">
      <c r="B28" s="111" t="s">
        <v>207</v>
      </c>
      <c r="C28" s="113" t="s">
        <v>224</v>
      </c>
      <c r="D28" s="114"/>
      <c r="E28" s="115"/>
      <c r="F28" s="116" t="s">
        <v>209</v>
      </c>
      <c r="G28" s="80" t="s">
        <v>210</v>
      </c>
      <c r="H28" s="82" t="s">
        <v>211</v>
      </c>
      <c r="I28" s="82" t="s">
        <v>212</v>
      </c>
      <c r="J28" s="82" t="s">
        <v>213</v>
      </c>
      <c r="K28" s="120" t="s">
        <v>214</v>
      </c>
      <c r="L28" s="120" t="s">
        <v>215</v>
      </c>
    </row>
    <row r="29" spans="2:12" ht="14.5" customHeight="1" x14ac:dyDescent="0.35">
      <c r="B29" s="112"/>
      <c r="C29" s="85" t="s">
        <v>216</v>
      </c>
      <c r="D29" s="122" t="s">
        <v>217</v>
      </c>
      <c r="E29" s="123"/>
      <c r="F29" s="117"/>
      <c r="G29" s="81"/>
      <c r="H29" s="83"/>
      <c r="I29" s="83"/>
      <c r="J29" s="83"/>
      <c r="K29" s="121"/>
      <c r="L29" s="121"/>
    </row>
    <row r="30" spans="2:12" x14ac:dyDescent="0.35">
      <c r="B30" s="41" t="s">
        <v>2</v>
      </c>
      <c r="C30" s="67">
        <f>SUMIFS(REALIZADO[META_MOVEL],REALIZADO[COORDENAÇÃO],$J$7)</f>
        <v>65329.000300000007</v>
      </c>
      <c r="D30" s="68">
        <f>SUMIFS(REALIZADO[AT_MOVEL],REALIZADO[COORDENAÇÃO],$J$7)</f>
        <v>42429.64</v>
      </c>
      <c r="E30" s="45">
        <f>IFERROR(D30/C30,0)</f>
        <v>0.64947633983616915</v>
      </c>
      <c r="F30" s="8">
        <f>VLOOKUP($E$30,FATORES!$I$61:$K$65,3)</f>
        <v>5.0000000000000001E-3</v>
      </c>
      <c r="G30" s="9">
        <f t="shared" ref="G30:G38" si="2">D30*F30</f>
        <v>212.1482</v>
      </c>
      <c r="H30" s="10">
        <f>IF($B$8=2,G30*0.05,0)</f>
        <v>0</v>
      </c>
      <c r="I30" s="10">
        <f>IF($B$8=3,G30*0.05,0)</f>
        <v>0</v>
      </c>
      <c r="J30" s="124">
        <v>0.1</v>
      </c>
      <c r="K30" s="127">
        <f>SUM(G39:K39)</f>
        <v>1267.1420250000001</v>
      </c>
      <c r="L30" s="127">
        <f>K30*0.75</f>
        <v>950.35651875000008</v>
      </c>
    </row>
    <row r="31" spans="2:12" x14ac:dyDescent="0.35">
      <c r="B31" s="42" t="s">
        <v>13</v>
      </c>
      <c r="C31" s="67">
        <f>SUMIFS(REALIZADO[META_FIXA],REALIZADO[COORDENAÇÃO],$J$7)</f>
        <v>0</v>
      </c>
      <c r="D31" s="68">
        <f>SUMIFS(REALIZADO[AT_FIXA],REALIZADO[COORDENAÇÃO],J7)</f>
        <v>60</v>
      </c>
      <c r="E31" s="46">
        <f>IFERROR(D31/C31,0)</f>
        <v>0</v>
      </c>
      <c r="F31" s="11">
        <f>VLOOKUP($E$31,FATORES!$I$68:$K$72,3)</f>
        <v>5.0000000000000001E-3</v>
      </c>
      <c r="G31" s="60">
        <f t="shared" si="2"/>
        <v>0.3</v>
      </c>
      <c r="H31" s="12">
        <f>IF($C$8=2,G31*0.05,0)</f>
        <v>0</v>
      </c>
      <c r="I31" s="12">
        <f>IF($C$8=3,G31*0.05,0)</f>
        <v>0</v>
      </c>
      <c r="J31" s="125"/>
      <c r="K31" s="128"/>
      <c r="L31" s="128"/>
    </row>
    <row r="32" spans="2:12" x14ac:dyDescent="0.35">
      <c r="B32" s="42" t="s">
        <v>218</v>
      </c>
      <c r="C32" s="48">
        <f>SUMIFS(REALIZADO[META_SMARTPHONE],REALIZADO[COORDENAÇÃO],$J$7)</f>
        <v>725999.99990000017</v>
      </c>
      <c r="D32" s="69">
        <f>SUMIFS(REALIZADO[AT_SMARTPHONE],REALIZADO[COORDENAÇÃO],J7)</f>
        <v>656208</v>
      </c>
      <c r="E32" s="46">
        <f>IFERROR(D32/C32,0)</f>
        <v>0.90386776871954078</v>
      </c>
      <c r="F32" s="11">
        <f>VLOOKUP($E$32,FATORES!$B$80:$D$83,3)</f>
        <v>1.5E-3</v>
      </c>
      <c r="G32" s="60">
        <f t="shared" si="2"/>
        <v>984.31200000000001</v>
      </c>
      <c r="H32" s="12">
        <f>IF($D$8=2,G32*0.05,0)</f>
        <v>0</v>
      </c>
      <c r="I32" s="12">
        <f>IF($D$8=3,G32*0.05,0)</f>
        <v>0</v>
      </c>
      <c r="J32" s="125"/>
      <c r="K32" s="128"/>
      <c r="L32" s="128"/>
    </row>
    <row r="33" spans="2:12" x14ac:dyDescent="0.35">
      <c r="B33" s="43" t="s">
        <v>219</v>
      </c>
      <c r="C33" s="86">
        <f>SUMIFS(REALIZADO[META_ACESSORIO],REALIZADO[COORDENAÇÃO],$J$7)</f>
        <v>77500.00009999999</v>
      </c>
      <c r="D33" s="77">
        <f>SUMIFS(REALIZADO[AT_ACESSORIOS_A],REALIZADO[COORDENAÇÃO],J7)</f>
        <v>966</v>
      </c>
      <c r="E33" s="88">
        <f>IFERROR((D33+D34)/C33,0)</f>
        <v>0.89779354722865357</v>
      </c>
      <c r="F33" s="11">
        <f>IFERROR(VLOOKUP($E$33,FATORES!$B$72:$E$76,3),0)</f>
        <v>5.0000000000000001E-4</v>
      </c>
      <c r="G33" s="60">
        <f t="shared" si="2"/>
        <v>0.48299999999999998</v>
      </c>
      <c r="H33" s="12">
        <f>IF($E$8=2,G33*0.05,0)</f>
        <v>0</v>
      </c>
      <c r="I33" s="12">
        <f>IF($E$8=3,G33*0.05,0)</f>
        <v>0</v>
      </c>
      <c r="J33" s="125"/>
      <c r="K33" s="128"/>
      <c r="L33" s="128"/>
    </row>
    <row r="34" spans="2:12" x14ac:dyDescent="0.35">
      <c r="B34" s="43" t="s">
        <v>220</v>
      </c>
      <c r="C34" s="87"/>
      <c r="D34" s="78">
        <f>SUMIFS(REALIZADO[AT_ACESSORIOS_B],REALIZADO[COORDENAÇÃO],J7)</f>
        <v>68613</v>
      </c>
      <c r="E34" s="88"/>
      <c r="F34" s="11">
        <f>IFERROR(VLOOKUP($E$33,FATORES!$B$72:$E$76,4),0)</f>
        <v>4.0000000000000002E-4</v>
      </c>
      <c r="G34" s="60">
        <f t="shared" si="2"/>
        <v>27.4452</v>
      </c>
      <c r="H34" s="12">
        <f>IF($E$8=2,G34*0.05,0)</f>
        <v>0</v>
      </c>
      <c r="I34" s="12">
        <f>IF($E$8=3,G34*0.05,0)</f>
        <v>0</v>
      </c>
      <c r="J34" s="125"/>
      <c r="K34" s="128"/>
      <c r="L34" s="128"/>
    </row>
    <row r="35" spans="2:12" x14ac:dyDescent="0.35">
      <c r="B35" s="42" t="s">
        <v>221</v>
      </c>
      <c r="C35" s="86">
        <f>SUMIFS(REALIZADO[META_ESSENCIAIS],REALIZADO[COORDENAÇÃO],$J$7)</f>
        <v>58100.000100000012</v>
      </c>
      <c r="D35" s="77">
        <f>SUMIFS(REALIZADO[AT_ESSENCIAIS_A],REALIZADO[COORDENAÇÃO],J7)</f>
        <v>22540</v>
      </c>
      <c r="E35" s="132">
        <f>IFERROR((D35+D36)/C35,0)</f>
        <v>0.8244406182023396</v>
      </c>
      <c r="F35" s="11">
        <f>IFERROR(VLOOKUP($E$35,FATORES!$B$63:$E$67,3),0)</f>
        <v>4.0000000000000002E-4</v>
      </c>
      <c r="G35" s="60">
        <f t="shared" si="2"/>
        <v>9.016</v>
      </c>
      <c r="H35" s="12">
        <f>IF($F$8=2,G35*0.05,0)</f>
        <v>0</v>
      </c>
      <c r="I35" s="12">
        <f>IF($F$8=3,G35*0.05,0)</f>
        <v>0</v>
      </c>
      <c r="J35" s="125"/>
      <c r="K35" s="128"/>
      <c r="L35" s="128"/>
    </row>
    <row r="36" spans="2:12" x14ac:dyDescent="0.35">
      <c r="B36" s="42" t="s">
        <v>222</v>
      </c>
      <c r="C36" s="87"/>
      <c r="D36" s="78">
        <f>SUMIFS(REALIZADO[AT_ESSENCIAIS_B],REALIZADO[COORDENAÇÃO],J7)</f>
        <v>25360</v>
      </c>
      <c r="E36" s="132"/>
      <c r="F36" s="11">
        <f>IFERROR(VLOOKUP($E$35,FATORES!$B$63:$E$67,4),0)</f>
        <v>2.0000000000000001E-4</v>
      </c>
      <c r="G36" s="60">
        <f t="shared" si="2"/>
        <v>5.0720000000000001</v>
      </c>
      <c r="H36" s="12">
        <f>IF($F$8=2,G36*0.05,0)</f>
        <v>0</v>
      </c>
      <c r="I36" s="12">
        <f>IF($F$8=3,G36*0.05,0)</f>
        <v>0</v>
      </c>
      <c r="J36" s="125"/>
      <c r="K36" s="128"/>
      <c r="L36" s="128"/>
    </row>
    <row r="37" spans="2:12" x14ac:dyDescent="0.35">
      <c r="B37" s="42" t="s">
        <v>205</v>
      </c>
      <c r="C37" s="52">
        <f>SUMIFS(REALIZADO[META_SEGUROS],REALIZADO[COORDENAÇÃO],$J$7)</f>
        <v>6187.5</v>
      </c>
      <c r="D37" s="70">
        <f>SUMIFS(REALIZADO[AT_SEGUROS],REALIZADO[COORDENAÇÃO],J7)</f>
        <v>3400.7000000000003</v>
      </c>
      <c r="E37" s="74">
        <f>IFERROR(D37/C37,0)</f>
        <v>0.54960808080808088</v>
      </c>
      <c r="F37" s="74">
        <f>VLOOKUP($E$37,FATORES!$O$61:$Q$65,3)</f>
        <v>5.0000000000000001E-3</v>
      </c>
      <c r="G37" s="60">
        <f t="shared" si="2"/>
        <v>17.003500000000003</v>
      </c>
      <c r="H37" s="12">
        <f>IF($G$8=2,G37*0.05,0)</f>
        <v>0</v>
      </c>
      <c r="I37" s="12">
        <f>IF($G$8=3,G37*0.05,0)</f>
        <v>0</v>
      </c>
      <c r="J37" s="125"/>
      <c r="K37" s="128"/>
      <c r="L37" s="128"/>
    </row>
    <row r="38" spans="2:12" x14ac:dyDescent="0.35">
      <c r="B38" s="44" t="s">
        <v>14</v>
      </c>
      <c r="C38" s="67">
        <f>SUMIFS(REALIZADO[META_SVA],REALIZADO[COORDENAÇÃO],$J$7)</f>
        <v>5774.9998999999998</v>
      </c>
      <c r="D38" s="68">
        <f>SUMIFS(REALIZADO[AT_SVA],REALIZADO[COORDENAÇÃO],J7)</f>
        <v>4544.8499999999995</v>
      </c>
      <c r="E38" s="73">
        <f>IFERROR(D38/C38,0)</f>
        <v>0.78698702661449393</v>
      </c>
      <c r="F38" s="13">
        <f>IF($E$38&gt;=0,FATORES!$Q$68)</f>
        <v>2.5000000000000001E-3</v>
      </c>
      <c r="G38" s="14">
        <f t="shared" si="2"/>
        <v>11.362124999999999</v>
      </c>
      <c r="H38" s="15">
        <f>IF($H$8=2,G38*0.05,0)</f>
        <v>0</v>
      </c>
      <c r="I38" s="15">
        <f>IF($H$8=3,G38*0.05,0)</f>
        <v>0</v>
      </c>
      <c r="J38" s="126"/>
      <c r="K38" s="129"/>
      <c r="L38" s="129"/>
    </row>
    <row r="39" spans="2:12" x14ac:dyDescent="0.35">
      <c r="B39" s="61"/>
      <c r="C39" s="62"/>
      <c r="D39" s="62"/>
      <c r="E39" s="62"/>
      <c r="F39" s="62"/>
      <c r="G39" s="63">
        <f>SUM(G30:G38)</f>
        <v>1267.1420250000001</v>
      </c>
      <c r="H39" s="63">
        <f t="shared" ref="H39:I39" si="3">SUM(H30:H38)</f>
        <v>0</v>
      </c>
      <c r="I39" s="63">
        <f t="shared" si="3"/>
        <v>0</v>
      </c>
      <c r="J39" s="79" t="str">
        <f>IF($J$7="ARIEL",IF(MIN(E30,E32,E33,E34,E35,E37,E38)&gt;=100%,G39*J30,""),IF(MIN(E30:E38)&gt;=100%,G39*J30,""))</f>
        <v/>
      </c>
      <c r="K39" s="64"/>
      <c r="L39" s="65"/>
    </row>
    <row r="41" spans="2:12" ht="18.5" x14ac:dyDescent="0.35">
      <c r="B41" s="133" t="s">
        <v>225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4"/>
    </row>
    <row r="42" spans="2:12" x14ac:dyDescent="0.35">
      <c r="B42" s="135" t="s">
        <v>9</v>
      </c>
      <c r="C42" s="136"/>
      <c r="D42" s="136"/>
      <c r="E42" s="136"/>
      <c r="F42" s="136"/>
      <c r="G42" s="136"/>
      <c r="H42" s="136"/>
      <c r="I42" s="7"/>
      <c r="J42" s="7"/>
      <c r="K42" s="7"/>
      <c r="L42" s="59"/>
    </row>
    <row r="43" spans="2:12" ht="28.9" customHeight="1" x14ac:dyDescent="0.35">
      <c r="B43" s="137" t="s">
        <v>207</v>
      </c>
      <c r="C43" s="113" t="s">
        <v>224</v>
      </c>
      <c r="D43" s="114"/>
      <c r="E43" s="115"/>
      <c r="F43" s="138" t="s">
        <v>209</v>
      </c>
      <c r="G43" s="116" t="s">
        <v>210</v>
      </c>
      <c r="H43" s="118" t="s">
        <v>211</v>
      </c>
      <c r="I43" s="118" t="s">
        <v>212</v>
      </c>
      <c r="J43" s="118" t="s">
        <v>213</v>
      </c>
      <c r="K43" s="120" t="s">
        <v>214</v>
      </c>
      <c r="L43" s="139" t="s">
        <v>215</v>
      </c>
    </row>
    <row r="44" spans="2:12" x14ac:dyDescent="0.35">
      <c r="B44" s="111"/>
      <c r="C44" s="85" t="s">
        <v>216</v>
      </c>
      <c r="D44" s="141" t="s">
        <v>217</v>
      </c>
      <c r="E44" s="141"/>
      <c r="F44" s="138"/>
      <c r="G44" s="117"/>
      <c r="H44" s="119"/>
      <c r="I44" s="119"/>
      <c r="J44" s="119"/>
      <c r="K44" s="121"/>
      <c r="L44" s="140"/>
    </row>
    <row r="45" spans="2:12" x14ac:dyDescent="0.35">
      <c r="B45" s="41" t="s">
        <v>2</v>
      </c>
      <c r="C45" s="48">
        <f>SUMIFS(REALIZADO[META_MOVEL],REALIZADO[COORDENAÇÃO],$J$7)</f>
        <v>65329.000300000007</v>
      </c>
      <c r="D45" s="49">
        <f>SUMIFS(REALIZADO[META_MOVEL],REALIZADO[COORDENAÇÃO],$J$7)</f>
        <v>65329.000300000007</v>
      </c>
      <c r="E45" s="45">
        <f>IFERROR(D45/C45,0)</f>
        <v>1</v>
      </c>
      <c r="F45" s="8">
        <f>VLOOKUP(E45,FATORES!$I$61:$K$65,3)</f>
        <v>4.4999999999999998E-2</v>
      </c>
      <c r="G45" s="9">
        <f t="shared" ref="G45:G53" si="4">D45*F45</f>
        <v>2939.8050135000003</v>
      </c>
      <c r="H45" s="10">
        <f>IF($B$8=2,G45*0.05,0)</f>
        <v>0</v>
      </c>
      <c r="I45" s="10">
        <f>IF($B$8=3,G45*0.05,0)</f>
        <v>0</v>
      </c>
      <c r="J45" s="124">
        <v>0.1</v>
      </c>
      <c r="K45" s="142">
        <f>SUM(G54:J54)</f>
        <v>5297.9025144870002</v>
      </c>
      <c r="L45" s="142">
        <f>K45*0.75</f>
        <v>3973.4268858652504</v>
      </c>
    </row>
    <row r="46" spans="2:12" x14ac:dyDescent="0.35">
      <c r="B46" s="42" t="s">
        <v>13</v>
      </c>
      <c r="C46" s="50">
        <f>SUMIFS(REALIZADO[META_FIXA],REALIZADO[COORDENAÇÃO],$J$7)</f>
        <v>0</v>
      </c>
      <c r="D46" s="51">
        <f>SUMIFS(REALIZADO[META_FIXA],REALIZADO[COORDENAÇÃO],$J$7)</f>
        <v>0</v>
      </c>
      <c r="E46" s="46">
        <f>IFERROR(D46/C46,0)</f>
        <v>0</v>
      </c>
      <c r="F46" s="11">
        <f>VLOOKUP(E46,FATORES!$I$68:$K$72,3)</f>
        <v>5.0000000000000001E-3</v>
      </c>
      <c r="G46" s="60">
        <f t="shared" si="4"/>
        <v>0</v>
      </c>
      <c r="H46" s="12">
        <f>IF($C$8=2,G46*0.05,0)</f>
        <v>0</v>
      </c>
      <c r="I46" s="12">
        <f>IF($C$8=3,G46*0.05,0)</f>
        <v>0</v>
      </c>
      <c r="J46" s="125"/>
      <c r="K46" s="143"/>
      <c r="L46" s="143"/>
    </row>
    <row r="47" spans="2:12" x14ac:dyDescent="0.35">
      <c r="B47" s="42" t="s">
        <v>218</v>
      </c>
      <c r="C47" s="50">
        <v>548000</v>
      </c>
      <c r="D47" s="51">
        <f>SUMIFS(REALIZADO[META_SMARTPHONE],REALIZADO[COORDENAÇÃO],$J$7)</f>
        <v>725999.99990000017</v>
      </c>
      <c r="E47" s="46">
        <f>IFERROR(D47/C47,0)</f>
        <v>1.3248175180656938</v>
      </c>
      <c r="F47" s="11">
        <f>VLOOKUP(E47,FATORES!$B$80:$D$83,3)</f>
        <v>2E-3</v>
      </c>
      <c r="G47" s="60">
        <f t="shared" si="4"/>
        <v>1451.9999998000003</v>
      </c>
      <c r="H47" s="12">
        <f>IF($D$8=2,G47*0.05,0)</f>
        <v>0</v>
      </c>
      <c r="I47" s="12">
        <f>IF($D$8=3,G47*0.05,0)</f>
        <v>0</v>
      </c>
      <c r="J47" s="125"/>
      <c r="K47" s="143"/>
      <c r="L47" s="143"/>
    </row>
    <row r="48" spans="2:12" x14ac:dyDescent="0.35">
      <c r="B48" s="43" t="s">
        <v>219</v>
      </c>
      <c r="C48" s="145">
        <f>SUMIFS(REALIZADO[META_ACESSORIO],REALIZADO[COORDENAÇÃO],$J$7)</f>
        <v>77500.00009999999</v>
      </c>
      <c r="D48" s="51">
        <f>SUMIFS(REALIZADO[META_ACESSORIO],REALIZADO[COORDENAÇÃO],$J$7)</f>
        <v>77500.00009999999</v>
      </c>
      <c r="E48" s="146">
        <f>IFERROR((D48+D49)/C48,0)</f>
        <v>1</v>
      </c>
      <c r="F48" s="11">
        <f>IFERROR(VLOOKUP(E48,FATORES!$B$72:$E$76,3),0)</f>
        <v>0</v>
      </c>
      <c r="G48" s="60">
        <f t="shared" si="4"/>
        <v>0</v>
      </c>
      <c r="H48" s="12">
        <f>IF($E$8=2,G48*0.05,0)</f>
        <v>0</v>
      </c>
      <c r="I48" s="12">
        <f>IF($E$8=3,G48*0.05,0)</f>
        <v>0</v>
      </c>
      <c r="J48" s="125"/>
      <c r="K48" s="143"/>
      <c r="L48" s="143"/>
    </row>
    <row r="49" spans="2:12" x14ac:dyDescent="0.35">
      <c r="B49" s="43" t="s">
        <v>220</v>
      </c>
      <c r="C49" s="145"/>
      <c r="D49" s="51"/>
      <c r="E49" s="146"/>
      <c r="F49" s="11">
        <f>IFERROR(VLOOKUP(E48,FATORES!$B$72:$E$76,4),0)</f>
        <v>2E-3</v>
      </c>
      <c r="G49" s="60">
        <f t="shared" si="4"/>
        <v>0</v>
      </c>
      <c r="H49" s="12">
        <f>IF($E$8=2,G49*0.05,0)</f>
        <v>0</v>
      </c>
      <c r="I49" s="12">
        <f>IF($E$8=3,G49*0.05,0)</f>
        <v>0</v>
      </c>
      <c r="J49" s="125"/>
      <c r="K49" s="143"/>
      <c r="L49" s="143"/>
    </row>
    <row r="50" spans="2:12" x14ac:dyDescent="0.35">
      <c r="B50" s="42" t="s">
        <v>221</v>
      </c>
      <c r="C50" s="145">
        <f>SUMIFS(REALIZADO[META_ESSENCIAIS],REALIZADO[COORDENAÇÃO],$J$7)</f>
        <v>58100.000100000012</v>
      </c>
      <c r="D50" s="51">
        <f>SUMIFS(REALIZADO[AT_FIXA],REALIZADO[COORDENAÇÃO],J26)</f>
        <v>0</v>
      </c>
      <c r="E50" s="146">
        <f>IFERROR((D50+D51)/C50,0)</f>
        <v>1</v>
      </c>
      <c r="F50" s="11">
        <f>IFERROR(VLOOKUP(E50,FATORES!$B$63:$E$67,3),0)</f>
        <v>0.01</v>
      </c>
      <c r="G50" s="60">
        <f t="shared" si="4"/>
        <v>0</v>
      </c>
      <c r="H50" s="12">
        <f>IF($F$8=2,G50*0.05,0)</f>
        <v>0</v>
      </c>
      <c r="I50" s="12">
        <f>IF($F$8=3,G50*0.05,0)</f>
        <v>0</v>
      </c>
      <c r="J50" s="125"/>
      <c r="K50" s="143"/>
      <c r="L50" s="143"/>
    </row>
    <row r="51" spans="2:12" x14ac:dyDescent="0.35">
      <c r="B51" s="42" t="s">
        <v>222</v>
      </c>
      <c r="C51" s="145"/>
      <c r="D51" s="51">
        <f>SUMIFS(REALIZADO[META_ESSENCIAIS],REALIZADO[COORDENAÇÃO],$J$7)</f>
        <v>58100.000100000012</v>
      </c>
      <c r="E51" s="146"/>
      <c r="F51" s="11">
        <f>IFERROR(VLOOKUP(E50,FATORES!$B$63:$E$67,4),0)</f>
        <v>1.2000000000000001E-3</v>
      </c>
      <c r="G51" s="60">
        <f t="shared" si="4"/>
        <v>69.720000120000023</v>
      </c>
      <c r="H51" s="12">
        <f>IF($F$8=2,G51*0.05,0)</f>
        <v>0</v>
      </c>
      <c r="I51" s="12">
        <f>IF($F$8=3,G51*0.05,0)</f>
        <v>0</v>
      </c>
      <c r="J51" s="125"/>
      <c r="K51" s="143"/>
      <c r="L51" s="143"/>
    </row>
    <row r="52" spans="2:12" x14ac:dyDescent="0.35">
      <c r="B52" s="42" t="s">
        <v>205</v>
      </c>
      <c r="C52" s="50">
        <f>SUMIFS(REALIZADO[META_SEGUROS],REALIZADO[COORDENAÇÃO],$J$7)</f>
        <v>6187.5</v>
      </c>
      <c r="D52" s="51">
        <f>SUMIFS(REALIZADO[META_SEGUROS],REALIZADO[COORDENAÇÃO],$J$7)</f>
        <v>6187.5</v>
      </c>
      <c r="E52" s="46">
        <f>IFERROR(D52/C52,0)</f>
        <v>1</v>
      </c>
      <c r="F52" s="74">
        <f>VLOOKUP(E52,FATORES!$O$61:$Q$65,3)</f>
        <v>5.5E-2</v>
      </c>
      <c r="G52" s="60">
        <f t="shared" si="4"/>
        <v>340.3125</v>
      </c>
      <c r="H52" s="12">
        <f>IF($G$8=2,G52*0.05,0)</f>
        <v>0</v>
      </c>
      <c r="I52" s="12">
        <f>IF($G$8=3,G52*0.05,0)</f>
        <v>0</v>
      </c>
      <c r="J52" s="125"/>
      <c r="K52" s="143"/>
      <c r="L52" s="143"/>
    </row>
    <row r="53" spans="2:12" x14ac:dyDescent="0.35">
      <c r="B53" s="44" t="s">
        <v>14</v>
      </c>
      <c r="C53" s="52">
        <f>SUMIFS(REALIZADO[META_SVA],REALIZADO[COORDENAÇÃO],$J$7)</f>
        <v>5774.9998999999998</v>
      </c>
      <c r="D53" s="53">
        <f>SUMIFS(REALIZADO[META_SVA],REALIZADO[COORDENAÇÃO],$J$7)</f>
        <v>5774.9998999999998</v>
      </c>
      <c r="E53" s="47">
        <f>IFERROR(D53/C53,0)</f>
        <v>1</v>
      </c>
      <c r="F53" s="13">
        <f>IF(E53&gt;=0,FATORES!$Q$68)</f>
        <v>2.5000000000000001E-3</v>
      </c>
      <c r="G53" s="14">
        <f t="shared" si="4"/>
        <v>14.437499750000001</v>
      </c>
      <c r="H53" s="15">
        <f>IF($H$8=2,G53*0.05,0)</f>
        <v>0</v>
      </c>
      <c r="I53" s="15">
        <f>IF($H$8=3,G53*0.05,0)</f>
        <v>0</v>
      </c>
      <c r="J53" s="126"/>
      <c r="K53" s="144"/>
      <c r="L53" s="144"/>
    </row>
    <row r="54" spans="2:12" x14ac:dyDescent="0.35">
      <c r="B54" s="61"/>
      <c r="C54" s="62"/>
      <c r="D54" s="62"/>
      <c r="E54" s="62"/>
      <c r="F54" s="62"/>
      <c r="G54" s="63">
        <f>SUM(G45:G53)</f>
        <v>4816.2750131700004</v>
      </c>
      <c r="H54" s="63">
        <f>SUM(H45:H53)</f>
        <v>0</v>
      </c>
      <c r="I54" s="63">
        <f>SUM(I45:I53)</f>
        <v>0</v>
      </c>
      <c r="J54" s="79">
        <f>IF($J$7="ARIEL",IF(MIN(E45,E47,E48,E49,E50,E52,E53)&gt;=100%,G54*J45,""),IF(MIN(E45:E53)&gt;=100%,G54*J45,""))</f>
        <v>481.62750131700005</v>
      </c>
      <c r="K54" s="64"/>
      <c r="L54" s="65"/>
    </row>
  </sheetData>
  <sheetProtection algorithmName="SHA-512" hashValue="psQ/zwKF4ab8NAr3hjiqTEYCwAB0hy9OSPbcHy3trA7Rv7toJLXTjXda3WQP9d5AruZ+Y7Vkh4+MCtnbLkrhsQ==" saltValue="oqJAjXeAYTrla8UNbz8C0g==" spinCount="100000" sheet="1" objects="1" scenarios="1"/>
  <protectedRanges>
    <protectedRange sqref="B8:H8 C45:D53" name="Intervalo1"/>
  </protectedRanges>
  <mergeCells count="60">
    <mergeCell ref="J45:J53"/>
    <mergeCell ref="J15:J23"/>
    <mergeCell ref="L13:L14"/>
    <mergeCell ref="K24:L24"/>
    <mergeCell ref="J30:J38"/>
    <mergeCell ref="K13:K14"/>
    <mergeCell ref="G43:G44"/>
    <mergeCell ref="J43:J44"/>
    <mergeCell ref="G13:G14"/>
    <mergeCell ref="H13:H14"/>
    <mergeCell ref="J13:J14"/>
    <mergeCell ref="J6:L6"/>
    <mergeCell ref="J7:L7"/>
    <mergeCell ref="C18:C19"/>
    <mergeCell ref="C20:C21"/>
    <mergeCell ref="C35:C36"/>
    <mergeCell ref="C33:C34"/>
    <mergeCell ref="B26:L26"/>
    <mergeCell ref="I27:L27"/>
    <mergeCell ref="K15:K23"/>
    <mergeCell ref="L15:L23"/>
    <mergeCell ref="E18:E19"/>
    <mergeCell ref="E20:E21"/>
    <mergeCell ref="B6:H6"/>
    <mergeCell ref="I13:I14"/>
    <mergeCell ref="I12:L12"/>
    <mergeCell ref="B28:B29"/>
    <mergeCell ref="C50:C51"/>
    <mergeCell ref="E50:E51"/>
    <mergeCell ref="D44:E44"/>
    <mergeCell ref="C43:E43"/>
    <mergeCell ref="F43:F44"/>
    <mergeCell ref="B2:L4"/>
    <mergeCell ref="C48:C49"/>
    <mergeCell ref="E48:E49"/>
    <mergeCell ref="K43:K44"/>
    <mergeCell ref="L43:L44"/>
    <mergeCell ref="K45:K53"/>
    <mergeCell ref="L45:L53"/>
    <mergeCell ref="B43:B44"/>
    <mergeCell ref="H43:H44"/>
    <mergeCell ref="I43:I44"/>
    <mergeCell ref="B42:H42"/>
    <mergeCell ref="B12:H12"/>
    <mergeCell ref="B13:B14"/>
    <mergeCell ref="C13:E13"/>
    <mergeCell ref="F13:F14"/>
    <mergeCell ref="D14:E14"/>
    <mergeCell ref="C28:E28"/>
    <mergeCell ref="F28:F29"/>
    <mergeCell ref="D29:E29"/>
    <mergeCell ref="B41:L41"/>
    <mergeCell ref="B11:L11"/>
    <mergeCell ref="K30:K38"/>
    <mergeCell ref="L30:L38"/>
    <mergeCell ref="E33:E34"/>
    <mergeCell ref="E35:E36"/>
    <mergeCell ref="K28:K29"/>
    <mergeCell ref="L28:L29"/>
    <mergeCell ref="B27:H27"/>
  </mergeCells>
  <conditionalFormatting sqref="E15:E18 E20 E22:E23">
    <cfRule type="cellIs" dxfId="45" priority="22" operator="between">
      <formula>0.7</formula>
      <formula>1</formula>
    </cfRule>
    <cfRule type="cellIs" dxfId="44" priority="23" operator="greaterThanOrEqual">
      <formula>1</formula>
    </cfRule>
    <cfRule type="cellIs" dxfId="43" priority="24" operator="lessThan">
      <formula>0.7</formula>
    </cfRule>
  </conditionalFormatting>
  <conditionalFormatting sqref="E30:E33 E35 E37:E38">
    <cfRule type="cellIs" dxfId="42" priority="10" operator="between">
      <formula>0.7</formula>
      <formula>1</formula>
    </cfRule>
    <cfRule type="cellIs" dxfId="41" priority="11" operator="greaterThanOrEqual">
      <formula>1</formula>
    </cfRule>
    <cfRule type="cellIs" dxfId="40" priority="12" operator="lessThan">
      <formula>0.7</formula>
    </cfRule>
  </conditionalFormatting>
  <conditionalFormatting sqref="E45:E48 E50 E52:E53">
    <cfRule type="cellIs" dxfId="39" priority="46" operator="between">
      <formula>0.7</formula>
      <formula>1</formula>
    </cfRule>
    <cfRule type="cellIs" dxfId="38" priority="47" operator="greaterThanOrEqual">
      <formula>1</formula>
    </cfRule>
    <cfRule type="cellIs" dxfId="37" priority="48" operator="lessThan">
      <formula>0.7</formula>
    </cfRule>
  </conditionalFormatting>
  <dataValidations count="1">
    <dataValidation type="list" allowBlank="1" showInputMessage="1" showErrorMessage="1" sqref="B8:H8" xr:uid="{D24EFDD9-AA18-452D-BBD0-619B22EDE547}">
      <formula1>$N$6:$P$6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AD4307-A061-451E-8D68-3C4735B95E5F}">
          <x14:formula1>
            <xm:f>PROJEÇÃO!$T$2:$T$106</xm:f>
          </x14:formula1>
          <xm:sqref>J7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53E8-E48D-4CA9-AFBD-CBC460AE24A2}">
  <dimension ref="B1:P54"/>
  <sheetViews>
    <sheetView showGridLines="0" tabSelected="1" zoomScale="80" zoomScaleNormal="80" workbookViewId="0">
      <selection activeCell="I17" sqref="I17"/>
    </sheetView>
  </sheetViews>
  <sheetFormatPr defaultRowHeight="14.5" x14ac:dyDescent="0.35"/>
  <cols>
    <col min="1" max="1" width="2.1796875" customWidth="1"/>
    <col min="2" max="9" width="20.7265625" customWidth="1"/>
    <col min="10" max="10" width="13.81640625" customWidth="1"/>
    <col min="11" max="12" width="20.7265625" customWidth="1"/>
  </cols>
  <sheetData>
    <row r="1" spans="2:16" x14ac:dyDescent="0.35">
      <c r="B1" s="54"/>
    </row>
    <row r="2" spans="2:16" x14ac:dyDescent="0.35">
      <c r="B2" s="92" t="s">
        <v>200</v>
      </c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2:16" x14ac:dyDescent="0.35">
      <c r="B3" s="95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2:16" x14ac:dyDescent="0.35">
      <c r="B4" s="98"/>
      <c r="C4" s="99"/>
      <c r="D4" s="99"/>
      <c r="E4" s="99"/>
      <c r="F4" s="99"/>
      <c r="G4" s="99"/>
      <c r="H4" s="99"/>
      <c r="I4" s="99"/>
      <c r="J4" s="99"/>
      <c r="K4" s="99"/>
      <c r="L4" s="100"/>
    </row>
    <row r="5" spans="2:16" x14ac:dyDescent="0.35">
      <c r="B5" s="55"/>
      <c r="L5" s="56"/>
    </row>
    <row r="6" spans="2:16" ht="14.5" customHeight="1" x14ac:dyDescent="0.35">
      <c r="B6" s="101" t="s">
        <v>201</v>
      </c>
      <c r="C6" s="102"/>
      <c r="D6" s="102"/>
      <c r="E6" s="102"/>
      <c r="F6" s="102"/>
      <c r="G6" s="102"/>
      <c r="H6" s="103"/>
      <c r="J6" s="104" t="s">
        <v>23</v>
      </c>
      <c r="K6" s="105"/>
      <c r="L6" s="105"/>
      <c r="N6" s="1">
        <v>0</v>
      </c>
      <c r="O6" s="1">
        <v>2</v>
      </c>
      <c r="P6" s="1">
        <v>3</v>
      </c>
    </row>
    <row r="7" spans="2:16" ht="14.5" customHeight="1" x14ac:dyDescent="0.35">
      <c r="B7" s="57" t="s">
        <v>202</v>
      </c>
      <c r="C7" s="2" t="s">
        <v>13</v>
      </c>
      <c r="D7" s="2" t="s">
        <v>203</v>
      </c>
      <c r="E7" s="2" t="s">
        <v>16</v>
      </c>
      <c r="F7" s="2" t="s">
        <v>204</v>
      </c>
      <c r="G7" s="2" t="s">
        <v>205</v>
      </c>
      <c r="H7" s="3" t="s">
        <v>14</v>
      </c>
      <c r="J7" s="106" t="s">
        <v>227</v>
      </c>
      <c r="K7" s="107"/>
      <c r="L7" s="108"/>
    </row>
    <row r="8" spans="2:16" ht="14.5" customHeight="1" x14ac:dyDescent="0.35">
      <c r="B8" s="58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L8" s="56"/>
    </row>
    <row r="9" spans="2:16" x14ac:dyDescent="0.35">
      <c r="B9" s="75"/>
      <c r="C9" s="76"/>
      <c r="D9" s="76"/>
      <c r="E9" s="76"/>
      <c r="F9" s="76"/>
      <c r="G9" s="76"/>
      <c r="H9" s="76"/>
    </row>
    <row r="10" spans="2:16" x14ac:dyDescent="0.35">
      <c r="B10" s="75"/>
      <c r="C10" s="76"/>
      <c r="D10" s="76"/>
      <c r="E10" s="76"/>
      <c r="F10" s="76"/>
      <c r="G10" s="76"/>
      <c r="H10" s="76"/>
    </row>
    <row r="11" spans="2:16" ht="18.5" x14ac:dyDescent="0.35">
      <c r="B11" s="109" t="s">
        <v>206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</row>
    <row r="12" spans="2:16" x14ac:dyDescent="0.35">
      <c r="B12" s="89" t="s">
        <v>9</v>
      </c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2:16" ht="14.5" customHeight="1" x14ac:dyDescent="0.35">
      <c r="B13" s="111" t="s">
        <v>207</v>
      </c>
      <c r="C13" s="113" t="s">
        <v>208</v>
      </c>
      <c r="D13" s="114"/>
      <c r="E13" s="115"/>
      <c r="F13" s="116" t="s">
        <v>209</v>
      </c>
      <c r="G13" s="116" t="s">
        <v>210</v>
      </c>
      <c r="H13" s="118" t="s">
        <v>211</v>
      </c>
      <c r="I13" s="118" t="s">
        <v>212</v>
      </c>
      <c r="J13" s="118" t="s">
        <v>226</v>
      </c>
      <c r="K13" s="120" t="s">
        <v>214</v>
      </c>
      <c r="L13" s="120" t="s">
        <v>215</v>
      </c>
    </row>
    <row r="14" spans="2:16" x14ac:dyDescent="0.35">
      <c r="B14" s="112"/>
      <c r="C14" s="85" t="s">
        <v>216</v>
      </c>
      <c r="D14" s="122" t="s">
        <v>217</v>
      </c>
      <c r="E14" s="123"/>
      <c r="F14" s="117"/>
      <c r="G14" s="117"/>
      <c r="H14" s="119"/>
      <c r="I14" s="119"/>
      <c r="J14" s="119"/>
      <c r="K14" s="121"/>
      <c r="L14" s="121"/>
    </row>
    <row r="15" spans="2:16" x14ac:dyDescent="0.35">
      <c r="B15" s="41" t="s">
        <v>2</v>
      </c>
      <c r="C15" s="67">
        <f>SUMIFS(REALIZADO[META_MOVEL],REALIZADO[COORDENAÇÃO],$J$7)</f>
        <v>59894.999799999998</v>
      </c>
      <c r="D15" s="68">
        <f>SUMIFS(PROJEÇÃO[PROJ_MOVEL],PROJEÇÃO[COORDENAÇÃO],J7)</f>
        <v>47060.231200000002</v>
      </c>
      <c r="E15" s="45">
        <f>IFERROR(D15/C15,0)</f>
        <v>0.7857121856105258</v>
      </c>
      <c r="F15" s="8">
        <f>VLOOKUP(E15,FATORES!$I$61:$K$65,3)</f>
        <v>5.0000000000000001E-3</v>
      </c>
      <c r="G15" s="9">
        <f t="shared" ref="G15:G23" si="0">D15*F15</f>
        <v>235.30115600000002</v>
      </c>
      <c r="H15" s="10">
        <f>IF($B$8=2,G15*0.05,0)</f>
        <v>0</v>
      </c>
      <c r="I15" s="10">
        <f>IF($B$8=3,G15*0.05,0)</f>
        <v>0</v>
      </c>
      <c r="J15" s="124">
        <v>0.1</v>
      </c>
      <c r="K15" s="127">
        <f>SUM(G24:J24)</f>
        <v>1177.7277551900002</v>
      </c>
      <c r="L15" s="127">
        <f>K15*0.75</f>
        <v>883.29581639250011</v>
      </c>
    </row>
    <row r="16" spans="2:16" x14ac:dyDescent="0.35">
      <c r="B16" s="42" t="s">
        <v>13</v>
      </c>
      <c r="C16" s="67">
        <f>SUMIFS(REALIZADO[META_FIXA],REALIZADO[COORDENAÇÃO],$J$7)</f>
        <v>34209.999899999995</v>
      </c>
      <c r="D16" s="68">
        <f>SUMIFS(PROJEÇÃO[PROJ_FIXA],PROJEÇÃO[COORDENAÇÃO],J7)</f>
        <v>28133.489799999999</v>
      </c>
      <c r="E16" s="45">
        <f>IFERROR(D16/C16,0)</f>
        <v>0.82237620234544351</v>
      </c>
      <c r="F16" s="11">
        <f>VLOOKUP(E16,FATORES!$I$68:$K$72,3)</f>
        <v>1.4999999999999999E-2</v>
      </c>
      <c r="G16" s="60">
        <f t="shared" si="0"/>
        <v>422.00234699999999</v>
      </c>
      <c r="H16" s="12">
        <f>IF($C$8=2,G16*0.05,0)</f>
        <v>0</v>
      </c>
      <c r="I16" s="12">
        <f>IF($C$8=3,G16*0.05,0)</f>
        <v>0</v>
      </c>
      <c r="J16" s="125"/>
      <c r="K16" s="128"/>
      <c r="L16" s="128"/>
    </row>
    <row r="17" spans="2:12" x14ac:dyDescent="0.35">
      <c r="B17" s="42" t="s">
        <v>218</v>
      </c>
      <c r="C17" s="48">
        <f>SUMIFS(REALIZADO[META_SMARTPHONE],REALIZADO[COORDENAÇÃO],$J$7)</f>
        <v>726999.99959999998</v>
      </c>
      <c r="D17" s="69">
        <f>SUMIFS(PROJEÇÃO[PROJ_APARELHO],PROJEÇÃO[COORDENAÇÃO],J7)</f>
        <v>569991.99280000001</v>
      </c>
      <c r="E17" s="46">
        <f>IFERROR(D17/C17,0)</f>
        <v>0.78403300290730837</v>
      </c>
      <c r="F17" s="11">
        <f>VLOOKUP(E17,FATORES!$B$80:$D$83,3)</f>
        <v>5.0000000000000001E-4</v>
      </c>
      <c r="G17" s="60">
        <f t="shared" si="0"/>
        <v>284.99599640000002</v>
      </c>
      <c r="H17" s="12">
        <f>IF($D$8=2,G17*0.05,0)</f>
        <v>0</v>
      </c>
      <c r="I17" s="12">
        <f>IF($D$8=3,G17*0.05,0)</f>
        <v>0</v>
      </c>
      <c r="J17" s="125"/>
      <c r="K17" s="128"/>
      <c r="L17" s="128"/>
    </row>
    <row r="18" spans="2:12" x14ac:dyDescent="0.35">
      <c r="B18" s="43" t="s">
        <v>219</v>
      </c>
      <c r="C18" s="86">
        <f>SUMIFS(REALIZADO[META_ACESSORIO],REALIZADO[COORDENAÇÃO],$J$7)</f>
        <v>82700.000100000005</v>
      </c>
      <c r="D18" s="77">
        <f>SUMIFS(PROJEÇÃO[PROJ_ELETRO_A],PROJEÇÃO[COORDENAÇÃO],J7)</f>
        <v>8859.4285999999993</v>
      </c>
      <c r="E18" s="88">
        <f>IFERROR((D18+D19)/C18,0)</f>
        <v>1.2111884592367732</v>
      </c>
      <c r="F18" s="11">
        <f>VLOOKUP(E18,FATORES!$B$72:$E$76,3)</f>
        <v>0</v>
      </c>
      <c r="G18" s="60">
        <f t="shared" si="0"/>
        <v>0</v>
      </c>
      <c r="H18" s="12">
        <f>IF($E$8=2,G18*0.05,0)</f>
        <v>0</v>
      </c>
      <c r="I18" s="12">
        <f>IF($E$8=3,G18*0.05,0)</f>
        <v>0</v>
      </c>
      <c r="J18" s="125"/>
      <c r="K18" s="128"/>
      <c r="L18" s="128"/>
    </row>
    <row r="19" spans="2:12" x14ac:dyDescent="0.35">
      <c r="B19" s="43" t="s">
        <v>220</v>
      </c>
      <c r="C19" s="87"/>
      <c r="D19" s="78">
        <f>SUMIFS(PROJEÇÃO[PROJ_ELETRO_B],PROJEÇÃO[COORDENAÇÃO],J7)</f>
        <v>91305.857099999994</v>
      </c>
      <c r="E19" s="88"/>
      <c r="F19" s="11">
        <f>VLOOKUP(E18,FATORES!$B$72:$E$76,4)</f>
        <v>2E-3</v>
      </c>
      <c r="G19" s="60">
        <f t="shared" si="0"/>
        <v>182.61171419999999</v>
      </c>
      <c r="H19" s="12">
        <f>IF($E$8=2,G19*0.05,0)</f>
        <v>0</v>
      </c>
      <c r="I19" s="12">
        <f>IF($E$8=3,G19*0.05,0)</f>
        <v>0</v>
      </c>
      <c r="J19" s="125"/>
      <c r="K19" s="128"/>
      <c r="L19" s="128"/>
    </row>
    <row r="20" spans="2:12" x14ac:dyDescent="0.35">
      <c r="B20" s="42" t="s">
        <v>221</v>
      </c>
      <c r="C20" s="86">
        <f>SUMIFS(REALIZADO[META_ESSENCIAIS],REALIZADO[COORDENAÇÃO],$J$7)</f>
        <v>40699.99990000001</v>
      </c>
      <c r="D20" s="77">
        <f>SUMIFS(PROJEÇÃO[PROJ_ESSEN_A],PROJEÇÃO[COORDENAÇÃO],J7)</f>
        <v>16991.021399999998</v>
      </c>
      <c r="E20" s="88">
        <f>IFERROR((D20+D21)/C20,0)</f>
        <v>0.96408160924835762</v>
      </c>
      <c r="F20" s="11">
        <f>VLOOKUP(E20,FATORES!$B$63:$E$67,3)</f>
        <v>6.0000000000000006E-4</v>
      </c>
      <c r="G20" s="60">
        <f t="shared" si="0"/>
        <v>10.19461284</v>
      </c>
      <c r="H20" s="12">
        <f>IF($F$8=2,G20*0.05,0)</f>
        <v>0</v>
      </c>
      <c r="I20" s="12">
        <f>IF($F$8=3,G20*0.05,0)</f>
        <v>0</v>
      </c>
      <c r="J20" s="125"/>
      <c r="K20" s="128"/>
      <c r="L20" s="128"/>
    </row>
    <row r="21" spans="2:12" x14ac:dyDescent="0.35">
      <c r="B21" s="42" t="s">
        <v>222</v>
      </c>
      <c r="C21" s="87"/>
      <c r="D21" s="78">
        <f>SUMIFS(PROJEÇÃO[PROJ_ESSEN_B],PROJEÇÃO[COORDENAÇÃO],J7)</f>
        <v>22247.100000000002</v>
      </c>
      <c r="E21" s="88"/>
      <c r="F21" s="11">
        <f>VLOOKUP(E20,FATORES!$B$63:$E$67,4)</f>
        <v>3.0000000000000003E-4</v>
      </c>
      <c r="G21" s="60">
        <f t="shared" si="0"/>
        <v>6.6741300000000017</v>
      </c>
      <c r="H21" s="12">
        <f>IF($F$8=2,G21*0.05,0)</f>
        <v>0</v>
      </c>
      <c r="I21" s="12">
        <f>IF($F$8=3,G21*0.05,0)</f>
        <v>0</v>
      </c>
      <c r="J21" s="125"/>
      <c r="K21" s="128"/>
      <c r="L21" s="128"/>
    </row>
    <row r="22" spans="2:12" x14ac:dyDescent="0.35">
      <c r="B22" s="42" t="s">
        <v>205</v>
      </c>
      <c r="C22" s="52">
        <f>SUMIFS(REALIZADO[META_SEGUROS],REALIZADO[COORDENAÇÃO],$J$7)</f>
        <v>5555.0003999999981</v>
      </c>
      <c r="D22" s="70">
        <f>SUMIFS(PROJEÇÃO[PROJ_SEGURO],PROJEÇÃO[COORDENAÇÃO],J7)</f>
        <v>4193.3003999999992</v>
      </c>
      <c r="E22" s="74">
        <f>IFERROR(D22/C22,0)</f>
        <v>0.7548695045998558</v>
      </c>
      <c r="F22" s="74">
        <f>VLOOKUP(E22,FATORES!$O$61:$Q$65,3)</f>
        <v>5.0000000000000001E-3</v>
      </c>
      <c r="G22" s="60">
        <f t="shared" si="0"/>
        <v>20.966501999999995</v>
      </c>
      <c r="H22" s="12">
        <f>IF($G$8=2,G22*0.05,0)</f>
        <v>0</v>
      </c>
      <c r="I22" s="12">
        <f>IF($G$8=3,G22*0.05,0)</f>
        <v>0</v>
      </c>
      <c r="J22" s="125"/>
      <c r="K22" s="128"/>
      <c r="L22" s="128"/>
    </row>
    <row r="23" spans="2:12" x14ac:dyDescent="0.35">
      <c r="B23" s="44" t="s">
        <v>14</v>
      </c>
      <c r="C23" s="67">
        <f>SUMIFS(REALIZADO[META_SVA],REALIZADO[COORDENAÇÃO],$J$7)</f>
        <v>4784.9998000000014</v>
      </c>
      <c r="D23" s="68">
        <f>SUMIFS(PROJEÇÃO[PROJ_SVA],PROJEÇÃO[COORDENAÇÃO],J7)</f>
        <v>5992.5186999999996</v>
      </c>
      <c r="E23" s="73">
        <f>IFERROR(D23/C23,0)</f>
        <v>1.2523550575696989</v>
      </c>
      <c r="F23" s="13">
        <f>IF(E23&gt;=0,FATORES!$Q$68)</f>
        <v>2.5000000000000001E-3</v>
      </c>
      <c r="G23" s="14">
        <f t="shared" si="0"/>
        <v>14.981296749999998</v>
      </c>
      <c r="H23" s="15">
        <f>IF($H$8=2,G23*0.05,0)</f>
        <v>0</v>
      </c>
      <c r="I23" s="15">
        <f>IF($H$8=3,G23*0.05,0)</f>
        <v>0</v>
      </c>
      <c r="J23" s="126"/>
      <c r="K23" s="129"/>
      <c r="L23" s="129"/>
    </row>
    <row r="24" spans="2:12" x14ac:dyDescent="0.35">
      <c r="B24" s="61"/>
      <c r="C24" s="62"/>
      <c r="D24" s="62"/>
      <c r="E24" s="62"/>
      <c r="F24" s="62"/>
      <c r="G24" s="63">
        <f>SUM(G15:G23)</f>
        <v>1177.7277551900002</v>
      </c>
      <c r="H24" s="63">
        <f t="shared" ref="H24:I24" si="1">SUM(H15:H23)</f>
        <v>0</v>
      </c>
      <c r="I24" s="63">
        <f t="shared" si="1"/>
        <v>0</v>
      </c>
      <c r="J24" s="79" t="str">
        <f>IF($J$7="ARIEL",IF(MIN(E15,E17,E18,E19,E20,E22,E23)&gt;=100%,G24*J15,""),IF(MIN(E15:E23)&gt;=100%,G24*J15,""))</f>
        <v/>
      </c>
      <c r="K24" s="102"/>
      <c r="L24" s="102"/>
    </row>
    <row r="25" spans="2:12" ht="16.149999999999999" customHeight="1" x14ac:dyDescent="0.35">
      <c r="B25" s="71"/>
      <c r="C25" s="6"/>
      <c r="D25" s="6"/>
      <c r="E25" s="6"/>
      <c r="F25" s="6"/>
      <c r="G25" s="6"/>
      <c r="H25" s="6"/>
      <c r="L25" s="56"/>
    </row>
    <row r="26" spans="2:12" ht="18.5" x14ac:dyDescent="0.35">
      <c r="B26" s="130" t="s">
        <v>223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</row>
    <row r="27" spans="2:12" x14ac:dyDescent="0.35">
      <c r="B27" s="89" t="s">
        <v>9</v>
      </c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2:12" ht="14.5" customHeight="1" x14ac:dyDescent="0.35">
      <c r="B28" s="111" t="s">
        <v>207</v>
      </c>
      <c r="C28" s="113" t="s">
        <v>224</v>
      </c>
      <c r="D28" s="114"/>
      <c r="E28" s="115"/>
      <c r="F28" s="116" t="s">
        <v>209</v>
      </c>
      <c r="G28" s="80" t="s">
        <v>210</v>
      </c>
      <c r="H28" s="82" t="s">
        <v>211</v>
      </c>
      <c r="I28" s="82" t="s">
        <v>212</v>
      </c>
      <c r="J28" s="82" t="s">
        <v>213</v>
      </c>
      <c r="K28" s="120" t="s">
        <v>214</v>
      </c>
      <c r="L28" s="120" t="s">
        <v>215</v>
      </c>
    </row>
    <row r="29" spans="2:12" ht="14.5" customHeight="1" x14ac:dyDescent="0.35">
      <c r="B29" s="112"/>
      <c r="C29" s="85" t="s">
        <v>216</v>
      </c>
      <c r="D29" s="122" t="s">
        <v>217</v>
      </c>
      <c r="E29" s="123"/>
      <c r="F29" s="117"/>
      <c r="G29" s="81"/>
      <c r="H29" s="83"/>
      <c r="I29" s="83"/>
      <c r="J29" s="83"/>
      <c r="K29" s="121"/>
      <c r="L29" s="121"/>
    </row>
    <row r="30" spans="2:12" x14ac:dyDescent="0.35">
      <c r="B30" s="41" t="s">
        <v>2</v>
      </c>
      <c r="C30" s="67">
        <f>SUMIFS(REALIZADO[META_MOVEL],REALIZADO[COORDENAÇÃO],$J$7)</f>
        <v>59894.999799999998</v>
      </c>
      <c r="D30" s="68">
        <f>SUMIFS(REALIZADO[AT_MOVEL],REALIZADO[COORDENAÇÃO],$J$7)</f>
        <v>36584.130000000005</v>
      </c>
      <c r="E30" s="45">
        <f>IFERROR(D30/C30,0)</f>
        <v>0.6108044097530827</v>
      </c>
      <c r="F30" s="8">
        <f>VLOOKUP($E$30,FATORES!$I$61:$K$65,3)</f>
        <v>5.0000000000000001E-3</v>
      </c>
      <c r="G30" s="9">
        <f t="shared" ref="G30:G38" si="2">D30*F30</f>
        <v>182.92065000000002</v>
      </c>
      <c r="H30" s="10">
        <f>IF($B$8=2,G30*0.05,0)</f>
        <v>0</v>
      </c>
      <c r="I30" s="10">
        <f>IF($B$8=3,G30*0.05,0)</f>
        <v>0</v>
      </c>
      <c r="J30" s="124">
        <v>0.1</v>
      </c>
      <c r="K30" s="127">
        <f>SUM(G39:K39)</f>
        <v>588.06380000000013</v>
      </c>
      <c r="L30" s="127">
        <f>K30*0.75</f>
        <v>441.0478500000001</v>
      </c>
    </row>
    <row r="31" spans="2:12" x14ac:dyDescent="0.35">
      <c r="B31" s="42" t="s">
        <v>13</v>
      </c>
      <c r="C31" s="67">
        <f>SUMIFS(REALIZADO[META_FIXA],REALIZADO[COORDENAÇÃO],$J$7)</f>
        <v>34209.999899999995</v>
      </c>
      <c r="D31" s="68">
        <f>SUMIFS(REALIZADO[AT_FIXA],REALIZADO[COORDENAÇÃO],J7)</f>
        <v>15581.839999999998</v>
      </c>
      <c r="E31" s="46">
        <f>IFERROR(D31/C31,0)</f>
        <v>0.45547617788797479</v>
      </c>
      <c r="F31" s="11">
        <f>VLOOKUP($E$31,FATORES!$I$68:$K$72,3)</f>
        <v>5.0000000000000001E-3</v>
      </c>
      <c r="G31" s="60">
        <f t="shared" si="2"/>
        <v>77.909199999999998</v>
      </c>
      <c r="H31" s="12">
        <f>IF($C$8=2,G31*0.05,0)</f>
        <v>0</v>
      </c>
      <c r="I31" s="12">
        <f>IF($C$8=3,G31*0.05,0)</f>
        <v>0</v>
      </c>
      <c r="J31" s="125"/>
      <c r="K31" s="128"/>
      <c r="L31" s="128"/>
    </row>
    <row r="32" spans="2:12" x14ac:dyDescent="0.35">
      <c r="B32" s="42" t="s">
        <v>218</v>
      </c>
      <c r="C32" s="48">
        <f>SUMIFS(REALIZADO[META_SMARTPHONE],REALIZADO[COORDENAÇÃO],$J$7)</f>
        <v>726999.99959999998</v>
      </c>
      <c r="D32" s="69">
        <f>SUMIFS(REALIZADO[AT_SMARTPHONE],REALIZADO[COORDENAÇÃO],J7)</f>
        <v>543786</v>
      </c>
      <c r="E32" s="46">
        <f>IFERROR(D32/C32,0)</f>
        <v>0.74798624525336244</v>
      </c>
      <c r="F32" s="11">
        <f>VLOOKUP($E$32,FATORES!$B$80:$D$83,3)</f>
        <v>5.0000000000000001E-4</v>
      </c>
      <c r="G32" s="60">
        <f t="shared" si="2"/>
        <v>271.89300000000003</v>
      </c>
      <c r="H32" s="12">
        <f>IF($D$8=2,G32*0.05,0)</f>
        <v>0</v>
      </c>
      <c r="I32" s="12">
        <f>IF($D$8=3,G32*0.05,0)</f>
        <v>0</v>
      </c>
      <c r="J32" s="125"/>
      <c r="K32" s="128"/>
      <c r="L32" s="128"/>
    </row>
    <row r="33" spans="2:12" x14ac:dyDescent="0.35">
      <c r="B33" s="43" t="s">
        <v>219</v>
      </c>
      <c r="C33" s="86">
        <f>SUMIFS(REALIZADO[META_ACESSORIO],REALIZADO[COORDENAÇÃO],$J$7)</f>
        <v>82700.000100000005</v>
      </c>
      <c r="D33" s="77">
        <f>SUMIFS(REALIZADO[AT_ACESSORIOS_A],REALIZADO[COORDENAÇÃO],J7)</f>
        <v>156</v>
      </c>
      <c r="E33" s="88">
        <f>IFERROR((D33+D34)/C33,0)</f>
        <v>0.80564691559172075</v>
      </c>
      <c r="F33" s="11">
        <f>IFERROR(VLOOKUP($E$33,FATORES!$B$72:$E$76,3),0)</f>
        <v>5.0000000000000001E-4</v>
      </c>
      <c r="G33" s="60">
        <f t="shared" si="2"/>
        <v>7.8E-2</v>
      </c>
      <c r="H33" s="12">
        <f>IF($E$8=2,G33*0.05,0)</f>
        <v>0</v>
      </c>
      <c r="I33" s="12">
        <f>IF($E$8=3,G33*0.05,0)</f>
        <v>0</v>
      </c>
      <c r="J33" s="125"/>
      <c r="K33" s="128"/>
      <c r="L33" s="128"/>
    </row>
    <row r="34" spans="2:12" x14ac:dyDescent="0.35">
      <c r="B34" s="43" t="s">
        <v>220</v>
      </c>
      <c r="C34" s="87"/>
      <c r="D34" s="78">
        <f>SUMIFS(REALIZADO[AT_ACESSORIOS_B],REALIZADO[COORDENAÇÃO],J7)</f>
        <v>66471</v>
      </c>
      <c r="E34" s="88"/>
      <c r="F34" s="11">
        <f>IFERROR(VLOOKUP($E$33,FATORES!$B$72:$E$76,4),0)</f>
        <v>4.0000000000000002E-4</v>
      </c>
      <c r="G34" s="60">
        <f t="shared" si="2"/>
        <v>26.5884</v>
      </c>
      <c r="H34" s="12">
        <f>IF($E$8=2,G34*0.05,0)</f>
        <v>0</v>
      </c>
      <c r="I34" s="12">
        <f>IF($E$8=3,G34*0.05,0)</f>
        <v>0</v>
      </c>
      <c r="J34" s="125"/>
      <c r="K34" s="128"/>
      <c r="L34" s="128"/>
    </row>
    <row r="35" spans="2:12" x14ac:dyDescent="0.35">
      <c r="B35" s="42" t="s">
        <v>221</v>
      </c>
      <c r="C35" s="86">
        <f>SUMIFS(REALIZADO[META_ESSENCIAIS],REALIZADO[COORDENAÇÃO],$J$7)</f>
        <v>40699.99990000001</v>
      </c>
      <c r="D35" s="77">
        <f>SUMIFS(REALIZADO[AT_ESSENCIAIS_A],REALIZADO[COORDENAÇÃO],J7)</f>
        <v>11880</v>
      </c>
      <c r="E35" s="132">
        <f>IFERROR((D35+D36)/C35,0)</f>
        <v>0.69918943660734489</v>
      </c>
      <c r="F35" s="11">
        <f>IFERROR(VLOOKUP($E$35,FATORES!$B$63:$E$67,3),0)</f>
        <v>0</v>
      </c>
      <c r="G35" s="60">
        <f t="shared" si="2"/>
        <v>0</v>
      </c>
      <c r="H35" s="12">
        <f>IF($F$8=2,G35*0.05,0)</f>
        <v>0</v>
      </c>
      <c r="I35" s="12">
        <f>IF($F$8=3,G35*0.05,0)</f>
        <v>0</v>
      </c>
      <c r="J35" s="125"/>
      <c r="K35" s="128"/>
      <c r="L35" s="128"/>
    </row>
    <row r="36" spans="2:12" x14ac:dyDescent="0.35">
      <c r="B36" s="42" t="s">
        <v>222</v>
      </c>
      <c r="C36" s="87"/>
      <c r="D36" s="78">
        <f>SUMIFS(REALIZADO[AT_ESSENCIAIS_B],REALIZADO[COORDENAÇÃO],J7)</f>
        <v>16577.010000000002</v>
      </c>
      <c r="E36" s="132"/>
      <c r="F36" s="11">
        <f>IFERROR(VLOOKUP($E$35,FATORES!$B$63:$E$67,4),0)</f>
        <v>0</v>
      </c>
      <c r="G36" s="60">
        <f t="shared" si="2"/>
        <v>0</v>
      </c>
      <c r="H36" s="12">
        <f>IF($F$8=2,G36*0.05,0)</f>
        <v>0</v>
      </c>
      <c r="I36" s="12">
        <f>IF($F$8=3,G36*0.05,0)</f>
        <v>0</v>
      </c>
      <c r="J36" s="125"/>
      <c r="K36" s="128"/>
      <c r="L36" s="128"/>
    </row>
    <row r="37" spans="2:12" x14ac:dyDescent="0.35">
      <c r="B37" s="42" t="s">
        <v>205</v>
      </c>
      <c r="C37" s="52">
        <f>SUMIFS(REALIZADO[META_SEGUROS],REALIZADO[COORDENAÇÃO],$J$7)</f>
        <v>5555.0003999999981</v>
      </c>
      <c r="D37" s="70">
        <f>SUMIFS(REALIZADO[AT_SEGUROS],REALIZADO[COORDENAÇÃO],J7)</f>
        <v>3689.2999999999993</v>
      </c>
      <c r="E37" s="74">
        <f>IFERROR(D37/C37,0)</f>
        <v>0.66414036621851558</v>
      </c>
      <c r="F37" s="74">
        <f>VLOOKUP($E$37,FATORES!$O$61:$Q$65,3)</f>
        <v>5.0000000000000001E-3</v>
      </c>
      <c r="G37" s="60">
        <f t="shared" si="2"/>
        <v>18.446499999999997</v>
      </c>
      <c r="H37" s="12">
        <f>IF($G$8=2,G37*0.05,0)</f>
        <v>0</v>
      </c>
      <c r="I37" s="12">
        <f>IF($G$8=3,G37*0.05,0)</f>
        <v>0</v>
      </c>
      <c r="J37" s="125"/>
      <c r="K37" s="128"/>
      <c r="L37" s="128"/>
    </row>
    <row r="38" spans="2:12" x14ac:dyDescent="0.35">
      <c r="B38" s="44" t="s">
        <v>14</v>
      </c>
      <c r="C38" s="67">
        <f>SUMIFS(REALIZADO[META_SVA],REALIZADO[COORDENAÇÃO],$J$7)</f>
        <v>4784.9998000000014</v>
      </c>
      <c r="D38" s="68">
        <f>SUMIFS(REALIZADO[AT_SVA],REALIZADO[COORDENAÇÃO],J7)</f>
        <v>4091.22</v>
      </c>
      <c r="E38" s="73">
        <f>IFERROR(D38/C38,0)</f>
        <v>0.85500944012578617</v>
      </c>
      <c r="F38" s="13">
        <f>IF($E$38&gt;=0,FATORES!$Q$68)</f>
        <v>2.5000000000000001E-3</v>
      </c>
      <c r="G38" s="14">
        <f t="shared" si="2"/>
        <v>10.22805</v>
      </c>
      <c r="H38" s="15">
        <f>IF($H$8=2,G38*0.05,0)</f>
        <v>0</v>
      </c>
      <c r="I38" s="15">
        <f>IF($H$8=3,G38*0.05,0)</f>
        <v>0</v>
      </c>
      <c r="J38" s="126"/>
      <c r="K38" s="129"/>
      <c r="L38" s="129"/>
    </row>
    <row r="39" spans="2:12" x14ac:dyDescent="0.35">
      <c r="B39" s="61"/>
      <c r="C39" s="62"/>
      <c r="D39" s="62"/>
      <c r="E39" s="62"/>
      <c r="F39" s="62"/>
      <c r="G39" s="63">
        <f>SUM(G30:G38)</f>
        <v>588.06380000000013</v>
      </c>
      <c r="H39" s="63">
        <f t="shared" ref="H39:I39" si="3">SUM(H30:H38)</f>
        <v>0</v>
      </c>
      <c r="I39" s="63">
        <f t="shared" si="3"/>
        <v>0</v>
      </c>
      <c r="J39" s="79" t="str">
        <f>IF($J$7="ARIEL",IF(MIN(E30,E32,E33,E34,E35,E37,E38)&gt;=100%,G39*J30,""),IF(MIN(E30:E38)&gt;=100%,G39*J30,""))</f>
        <v/>
      </c>
      <c r="K39" s="64"/>
      <c r="L39" s="65"/>
    </row>
    <row r="41" spans="2:12" ht="18.5" x14ac:dyDescent="0.35">
      <c r="B41" s="133" t="s">
        <v>225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4"/>
    </row>
    <row r="42" spans="2:12" x14ac:dyDescent="0.35">
      <c r="B42" s="135" t="s">
        <v>9</v>
      </c>
      <c r="C42" s="136"/>
      <c r="D42" s="136"/>
      <c r="E42" s="136"/>
      <c r="F42" s="136"/>
      <c r="G42" s="136"/>
      <c r="H42" s="136"/>
      <c r="I42" s="7"/>
      <c r="J42" s="7"/>
      <c r="K42" s="7"/>
      <c r="L42" s="59"/>
    </row>
    <row r="43" spans="2:12" ht="28.9" customHeight="1" x14ac:dyDescent="0.35">
      <c r="B43" s="137" t="s">
        <v>207</v>
      </c>
      <c r="C43" s="113" t="s">
        <v>224</v>
      </c>
      <c r="D43" s="114"/>
      <c r="E43" s="115"/>
      <c r="F43" s="138" t="s">
        <v>209</v>
      </c>
      <c r="G43" s="116" t="s">
        <v>210</v>
      </c>
      <c r="H43" s="118" t="s">
        <v>211</v>
      </c>
      <c r="I43" s="118" t="s">
        <v>212</v>
      </c>
      <c r="J43" s="118" t="s">
        <v>213</v>
      </c>
      <c r="K43" s="120" t="s">
        <v>214</v>
      </c>
      <c r="L43" s="139" t="s">
        <v>215</v>
      </c>
    </row>
    <row r="44" spans="2:12" x14ac:dyDescent="0.35">
      <c r="B44" s="111"/>
      <c r="C44" s="85" t="s">
        <v>216</v>
      </c>
      <c r="D44" s="141" t="s">
        <v>217</v>
      </c>
      <c r="E44" s="141"/>
      <c r="F44" s="138"/>
      <c r="G44" s="117"/>
      <c r="H44" s="119"/>
      <c r="I44" s="119"/>
      <c r="J44" s="119"/>
      <c r="K44" s="121"/>
      <c r="L44" s="140"/>
    </row>
    <row r="45" spans="2:12" x14ac:dyDescent="0.35">
      <c r="B45" s="41" t="s">
        <v>2</v>
      </c>
      <c r="C45" s="48">
        <v>80130.5</v>
      </c>
      <c r="D45" s="49">
        <v>83457.039999999994</v>
      </c>
      <c r="E45" s="45">
        <f>IFERROR(D45/C45,0)</f>
        <v>1.0415140302381738</v>
      </c>
      <c r="F45" s="8">
        <f>VLOOKUP(E45,FATORES!$I$61:$K$65,3)</f>
        <v>4.4999999999999998E-2</v>
      </c>
      <c r="G45" s="9">
        <f t="shared" ref="G45:G53" si="4">D45*F45</f>
        <v>3755.5667999999996</v>
      </c>
      <c r="H45" s="10">
        <f>IF($B$8=2,G45*0.05,0)</f>
        <v>0</v>
      </c>
      <c r="I45" s="10">
        <f>IF($B$8=3,G45*0.05,0)</f>
        <v>0</v>
      </c>
      <c r="J45" s="124">
        <v>0.1</v>
      </c>
      <c r="K45" s="142">
        <f>SUM(G54:J54)</f>
        <v>7710.7468499999995</v>
      </c>
      <c r="L45" s="142">
        <f>K45*0.75</f>
        <v>5783.0601374999997</v>
      </c>
    </row>
    <row r="46" spans="2:12" x14ac:dyDescent="0.35">
      <c r="B46" s="42" t="s">
        <v>13</v>
      </c>
      <c r="C46" s="50">
        <v>29151.73</v>
      </c>
      <c r="D46" s="51">
        <v>25331.79</v>
      </c>
      <c r="E46" s="46">
        <f>IFERROR(D46/C46,0)</f>
        <v>0.86896352291956602</v>
      </c>
      <c r="F46" s="11">
        <f>VLOOKUP(E46,FATORES!$I$68:$K$72,3)</f>
        <v>1.4999999999999999E-2</v>
      </c>
      <c r="G46" s="60">
        <f t="shared" si="4"/>
        <v>379.97685000000001</v>
      </c>
      <c r="H46" s="12">
        <f>IF($C$8=2,G46*0.05,0)</f>
        <v>0</v>
      </c>
      <c r="I46" s="12">
        <f>IF($C$8=3,G46*0.05,0)</f>
        <v>0</v>
      </c>
      <c r="J46" s="125"/>
      <c r="K46" s="143"/>
      <c r="L46" s="143"/>
    </row>
    <row r="47" spans="2:12" x14ac:dyDescent="0.35">
      <c r="B47" s="42" t="s">
        <v>218</v>
      </c>
      <c r="C47" s="50">
        <v>1176070</v>
      </c>
      <c r="D47" s="51">
        <v>1339366</v>
      </c>
      <c r="E47" s="46">
        <f>IFERROR(D47/C47,0)</f>
        <v>1.1388488780429735</v>
      </c>
      <c r="F47" s="11">
        <f>VLOOKUP(E47,FATORES!$B$80:$D$83,3)</f>
        <v>2E-3</v>
      </c>
      <c r="G47" s="60">
        <f t="shared" si="4"/>
        <v>2678.732</v>
      </c>
      <c r="H47" s="12">
        <f>IF($D$8=2,G47*0.05,0)</f>
        <v>0</v>
      </c>
      <c r="I47" s="12">
        <f>IF($D$8=3,G47*0.05,0)</f>
        <v>0</v>
      </c>
      <c r="J47" s="125"/>
      <c r="K47" s="143"/>
      <c r="L47" s="143"/>
    </row>
    <row r="48" spans="2:12" x14ac:dyDescent="0.35">
      <c r="B48" s="43" t="s">
        <v>219</v>
      </c>
      <c r="C48" s="145">
        <v>130145.66</v>
      </c>
      <c r="D48" s="51">
        <v>1</v>
      </c>
      <c r="E48" s="146">
        <f>IFERROR((D48+D49)/C48,0)</f>
        <v>1.0934363850473385</v>
      </c>
      <c r="F48" s="11">
        <f>IFERROR(VLOOKUP(E48,FATORES!$B$72:$E$76,3),0)</f>
        <v>0</v>
      </c>
      <c r="G48" s="60">
        <f t="shared" si="4"/>
        <v>0</v>
      </c>
      <c r="H48" s="12">
        <f>IF($E$8=2,G48*0.05,0)</f>
        <v>0</v>
      </c>
      <c r="I48" s="12">
        <f>IF($E$8=3,G48*0.05,0)</f>
        <v>0</v>
      </c>
      <c r="J48" s="125"/>
      <c r="K48" s="143"/>
      <c r="L48" s="143"/>
    </row>
    <row r="49" spans="2:12" x14ac:dyDescent="0.35">
      <c r="B49" s="43" t="s">
        <v>220</v>
      </c>
      <c r="C49" s="145"/>
      <c r="D49" s="51">
        <v>142305</v>
      </c>
      <c r="E49" s="146"/>
      <c r="F49" s="11">
        <f>IFERROR(VLOOKUP(E48,FATORES!$B$72:$E$76,4),0)</f>
        <v>2E-3</v>
      </c>
      <c r="G49" s="60">
        <f t="shared" si="4"/>
        <v>284.61</v>
      </c>
      <c r="H49" s="12">
        <f>IF($E$8=2,G49*0.05,0)</f>
        <v>0</v>
      </c>
      <c r="I49" s="12">
        <f>IF($E$8=3,G49*0.05,0)</f>
        <v>0</v>
      </c>
      <c r="J49" s="125"/>
      <c r="K49" s="143"/>
      <c r="L49" s="143"/>
    </row>
    <row r="50" spans="2:12" x14ac:dyDescent="0.35">
      <c r="B50" s="42" t="s">
        <v>221</v>
      </c>
      <c r="C50" s="145">
        <v>77153.53</v>
      </c>
      <c r="D50" s="51">
        <v>1</v>
      </c>
      <c r="E50" s="146">
        <f>IFERROR((D50+D51)/C50,0)</f>
        <v>1.0761270417568711</v>
      </c>
      <c r="F50" s="11">
        <f>IFERROR(VLOOKUP(E50,FATORES!$B$63:$E$67,3),0)</f>
        <v>0.01</v>
      </c>
      <c r="G50" s="60">
        <f t="shared" si="4"/>
        <v>0.01</v>
      </c>
      <c r="H50" s="12">
        <f>IF($F$8=2,G50*0.05,0)</f>
        <v>0</v>
      </c>
      <c r="I50" s="12">
        <f>IF($F$8=3,G50*0.05,0)</f>
        <v>0</v>
      </c>
      <c r="J50" s="125"/>
      <c r="K50" s="143"/>
      <c r="L50" s="143"/>
    </row>
    <row r="51" spans="2:12" x14ac:dyDescent="0.35">
      <c r="B51" s="42" t="s">
        <v>222</v>
      </c>
      <c r="C51" s="145"/>
      <c r="D51" s="51">
        <v>83026</v>
      </c>
      <c r="E51" s="146"/>
      <c r="F51" s="11">
        <f>IFERROR(VLOOKUP(E50,FATORES!$B$63:$E$67,4),0)</f>
        <v>1.2000000000000001E-3</v>
      </c>
      <c r="G51" s="60">
        <f t="shared" si="4"/>
        <v>99.631200000000007</v>
      </c>
      <c r="H51" s="12">
        <f>IF($F$8=2,G51*0.05,0)</f>
        <v>0</v>
      </c>
      <c r="I51" s="12">
        <f>IF($F$8=3,G51*0.05,0)</f>
        <v>0</v>
      </c>
      <c r="J51" s="125"/>
      <c r="K51" s="143"/>
      <c r="L51" s="143"/>
    </row>
    <row r="52" spans="2:12" x14ac:dyDescent="0.35">
      <c r="B52" s="42" t="s">
        <v>205</v>
      </c>
      <c r="C52" s="50">
        <v>8195</v>
      </c>
      <c r="D52" s="51">
        <v>8929</v>
      </c>
      <c r="E52" s="46">
        <f>IFERROR(D52/C52,0)</f>
        <v>1.0895668090298962</v>
      </c>
      <c r="F52" s="74">
        <f>VLOOKUP(E52,FATORES!$O$61:$Q$65,3)</f>
        <v>5.5E-2</v>
      </c>
      <c r="G52" s="60">
        <f t="shared" si="4"/>
        <v>491.09500000000003</v>
      </c>
      <c r="H52" s="12">
        <f>IF($G$8=2,G52*0.05,0)</f>
        <v>0</v>
      </c>
      <c r="I52" s="12">
        <f>IF($G$8=3,G52*0.05,0)</f>
        <v>0</v>
      </c>
      <c r="J52" s="125"/>
      <c r="K52" s="143"/>
      <c r="L52" s="143"/>
    </row>
    <row r="53" spans="2:12" x14ac:dyDescent="0.35">
      <c r="B53" s="44" t="s">
        <v>14</v>
      </c>
      <c r="C53" s="52">
        <v>7250.49</v>
      </c>
      <c r="D53" s="53">
        <v>8450</v>
      </c>
      <c r="E53" s="47">
        <f>IFERROR(D53/C53,0)</f>
        <v>1.165438473813494</v>
      </c>
      <c r="F53" s="13">
        <f>IF(E53&gt;=0,FATORES!$Q$68)</f>
        <v>2.5000000000000001E-3</v>
      </c>
      <c r="G53" s="14">
        <f t="shared" si="4"/>
        <v>21.125</v>
      </c>
      <c r="H53" s="15">
        <f>IF($H$8=2,G53*0.05,0)</f>
        <v>0</v>
      </c>
      <c r="I53" s="15">
        <f>IF($H$8=3,G53*0.05,0)</f>
        <v>0</v>
      </c>
      <c r="J53" s="126"/>
      <c r="K53" s="144"/>
      <c r="L53" s="144"/>
    </row>
    <row r="54" spans="2:12" x14ac:dyDescent="0.35">
      <c r="B54" s="61"/>
      <c r="C54" s="62"/>
      <c r="D54" s="62"/>
      <c r="E54" s="62"/>
      <c r="F54" s="62"/>
      <c r="G54" s="63">
        <f>SUM(G45:G53)</f>
        <v>7710.7468499999995</v>
      </c>
      <c r="H54" s="63">
        <f>SUM(H45:H53)</f>
        <v>0</v>
      </c>
      <c r="I54" s="63">
        <f>SUM(I45:I53)</f>
        <v>0</v>
      </c>
      <c r="J54" s="79" t="str">
        <f>IF($J$7="ARIEL",IF(MIN(E45,E47,E48,E49,E50,E52,E53)&gt;=100%,G54*J45,""),IF(MIN(E45:E53)&gt;=100%,G54*J45,""))</f>
        <v/>
      </c>
      <c r="K54" s="64"/>
      <c r="L54" s="65"/>
    </row>
  </sheetData>
  <sheetProtection algorithmName="SHA-512" hashValue="gVsmXO5f3N502x53C/QXR+doYhjRGT691pg6y6KJy3zxRflDTTQasz/bcWqrwHu4XmOJ6FLSg9Kq+de5ikPSRQ==" saltValue="iw7PePQBz8almCHoudIIZg==" spinCount="100000" sheet="1" objects="1" scenarios="1"/>
  <protectedRanges>
    <protectedRange sqref="B8:H8 C45:D53" name="Intervalo1"/>
  </protectedRanges>
  <mergeCells count="60">
    <mergeCell ref="J45:J53"/>
    <mergeCell ref="K45:K53"/>
    <mergeCell ref="L45:L53"/>
    <mergeCell ref="C48:C49"/>
    <mergeCell ref="E48:E49"/>
    <mergeCell ref="C50:C51"/>
    <mergeCell ref="E50:E51"/>
    <mergeCell ref="B41:L41"/>
    <mergeCell ref="B42:H42"/>
    <mergeCell ref="B43:B44"/>
    <mergeCell ref="C43:E43"/>
    <mergeCell ref="F43:F44"/>
    <mergeCell ref="G43:G44"/>
    <mergeCell ref="H43:H44"/>
    <mergeCell ref="I43:I44"/>
    <mergeCell ref="J43:J44"/>
    <mergeCell ref="K43:K44"/>
    <mergeCell ref="L43:L44"/>
    <mergeCell ref="D44:E44"/>
    <mergeCell ref="J30:J38"/>
    <mergeCell ref="K30:K38"/>
    <mergeCell ref="L30:L38"/>
    <mergeCell ref="C33:C34"/>
    <mergeCell ref="E33:E34"/>
    <mergeCell ref="C35:C36"/>
    <mergeCell ref="E35:E36"/>
    <mergeCell ref="B28:B29"/>
    <mergeCell ref="C28:E28"/>
    <mergeCell ref="F28:F29"/>
    <mergeCell ref="K28:K29"/>
    <mergeCell ref="L28:L29"/>
    <mergeCell ref="D29:E29"/>
    <mergeCell ref="C20:C21"/>
    <mergeCell ref="E20:E21"/>
    <mergeCell ref="K24:L24"/>
    <mergeCell ref="B27:H27"/>
    <mergeCell ref="I27:L27"/>
    <mergeCell ref="B26:L26"/>
    <mergeCell ref="L13:L14"/>
    <mergeCell ref="D14:E14"/>
    <mergeCell ref="J15:J23"/>
    <mergeCell ref="K15:K23"/>
    <mergeCell ref="L15:L23"/>
    <mergeCell ref="I13:I14"/>
    <mergeCell ref="C18:C19"/>
    <mergeCell ref="E18:E19"/>
    <mergeCell ref="B12:H12"/>
    <mergeCell ref="I12:L12"/>
    <mergeCell ref="B2:L4"/>
    <mergeCell ref="B6:H6"/>
    <mergeCell ref="J6:L6"/>
    <mergeCell ref="J7:L7"/>
    <mergeCell ref="B11:L11"/>
    <mergeCell ref="B13:B14"/>
    <mergeCell ref="C13:E13"/>
    <mergeCell ref="F13:F14"/>
    <mergeCell ref="G13:G14"/>
    <mergeCell ref="H13:H14"/>
    <mergeCell ref="J13:J14"/>
    <mergeCell ref="K13:K14"/>
  </mergeCells>
  <conditionalFormatting sqref="E15:E18 E20 E22:E23">
    <cfRule type="cellIs" dxfId="36" priority="4" operator="between">
      <formula>0.7</formula>
      <formula>1</formula>
    </cfRule>
    <cfRule type="cellIs" dxfId="35" priority="5" operator="greaterThanOrEqual">
      <formula>1</formula>
    </cfRule>
    <cfRule type="cellIs" dxfId="34" priority="6" operator="lessThan">
      <formula>0.7</formula>
    </cfRule>
  </conditionalFormatting>
  <conditionalFormatting sqref="E30:E33 E35 E37:E38">
    <cfRule type="cellIs" dxfId="33" priority="1" operator="between">
      <formula>0.7</formula>
      <formula>1</formula>
    </cfRule>
    <cfRule type="cellIs" dxfId="32" priority="2" operator="greaterThanOrEqual">
      <formula>1</formula>
    </cfRule>
    <cfRule type="cellIs" dxfId="31" priority="3" operator="lessThan">
      <formula>0.7</formula>
    </cfRule>
  </conditionalFormatting>
  <conditionalFormatting sqref="E45:E48 E50 E52:E53">
    <cfRule type="cellIs" dxfId="30" priority="7" operator="between">
      <formula>0.7</formula>
      <formula>1</formula>
    </cfRule>
    <cfRule type="cellIs" dxfId="29" priority="8" operator="greaterThanOrEqual">
      <formula>1</formula>
    </cfRule>
    <cfRule type="cellIs" dxfId="28" priority="9" operator="lessThan">
      <formula>0.7</formula>
    </cfRule>
  </conditionalFormatting>
  <dataValidations count="1">
    <dataValidation type="list" allowBlank="1" showInputMessage="1" showErrorMessage="1" sqref="B8:H8" xr:uid="{1F9E7CF1-4903-4087-8FC4-A1D256D66D39}">
      <formula1>$N$6:$P$6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EC6540-C04F-453F-98C8-38DE4B3DDEE1}">
          <x14:formula1>
            <xm:f>PROJEÇÃO!$T$2:$T$106</xm:f>
          </x14:formula1>
          <xm:sqref>J7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A0C1-502A-4179-8E8E-42CCD74D359B}">
  <dimension ref="B1:P54"/>
  <sheetViews>
    <sheetView showGridLines="0" zoomScale="80" zoomScaleNormal="80" workbookViewId="0">
      <selection activeCell="H19" sqref="H19"/>
    </sheetView>
  </sheetViews>
  <sheetFormatPr defaultRowHeight="14.5" x14ac:dyDescent="0.35"/>
  <cols>
    <col min="1" max="1" width="2.1796875" customWidth="1"/>
    <col min="2" max="9" width="24.1796875" customWidth="1"/>
    <col min="10" max="10" width="10.7265625" bestFit="1" customWidth="1"/>
    <col min="11" max="12" width="21.26953125" customWidth="1"/>
  </cols>
  <sheetData>
    <row r="1" spans="2:16" x14ac:dyDescent="0.35">
      <c r="B1" s="54"/>
    </row>
    <row r="2" spans="2:16" x14ac:dyDescent="0.35">
      <c r="B2" s="92" t="s">
        <v>200</v>
      </c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2:16" x14ac:dyDescent="0.35">
      <c r="B3" s="95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2:16" x14ac:dyDescent="0.35">
      <c r="B4" s="98"/>
      <c r="C4" s="99"/>
      <c r="D4" s="99"/>
      <c r="E4" s="99"/>
      <c r="F4" s="99"/>
      <c r="G4" s="99"/>
      <c r="H4" s="99"/>
      <c r="I4" s="99"/>
      <c r="J4" s="99"/>
      <c r="K4" s="99"/>
      <c r="L4" s="100"/>
    </row>
    <row r="5" spans="2:16" x14ac:dyDescent="0.35">
      <c r="B5" s="55"/>
      <c r="L5" s="56"/>
    </row>
    <row r="6" spans="2:16" ht="14.5" customHeight="1" x14ac:dyDescent="0.35">
      <c r="B6" s="101" t="s">
        <v>201</v>
      </c>
      <c r="C6" s="102"/>
      <c r="D6" s="102"/>
      <c r="E6" s="102"/>
      <c r="F6" s="102"/>
      <c r="G6" s="102"/>
      <c r="H6" s="103"/>
      <c r="J6" s="104" t="s">
        <v>23</v>
      </c>
      <c r="K6" s="105"/>
      <c r="L6" s="105"/>
      <c r="N6" s="1">
        <v>0</v>
      </c>
      <c r="O6" s="1">
        <v>2</v>
      </c>
      <c r="P6" s="1">
        <v>3</v>
      </c>
    </row>
    <row r="7" spans="2:16" ht="14.5" customHeight="1" x14ac:dyDescent="0.35">
      <c r="B7" s="57" t="s">
        <v>202</v>
      </c>
      <c r="C7" s="2" t="s">
        <v>13</v>
      </c>
      <c r="D7" s="2" t="s">
        <v>203</v>
      </c>
      <c r="E7" s="2" t="s">
        <v>16</v>
      </c>
      <c r="F7" s="2" t="s">
        <v>204</v>
      </c>
      <c r="G7" s="2" t="s">
        <v>205</v>
      </c>
      <c r="H7" s="3" t="s">
        <v>14</v>
      </c>
      <c r="J7" s="106" t="s">
        <v>45</v>
      </c>
      <c r="K7" s="107"/>
      <c r="L7" s="108"/>
    </row>
    <row r="8" spans="2:16" ht="14.5" customHeight="1" x14ac:dyDescent="0.35">
      <c r="B8" s="58">
        <v>0</v>
      </c>
      <c r="C8" s="4">
        <v>0</v>
      </c>
      <c r="D8" s="4">
        <v>3</v>
      </c>
      <c r="E8" s="4">
        <v>3</v>
      </c>
      <c r="F8" s="4">
        <v>3</v>
      </c>
      <c r="G8" s="4">
        <v>0</v>
      </c>
      <c r="H8" s="5">
        <v>0</v>
      </c>
      <c r="L8" s="56"/>
    </row>
    <row r="9" spans="2:16" x14ac:dyDescent="0.35">
      <c r="B9" s="75"/>
      <c r="C9" s="76"/>
      <c r="D9" s="76"/>
      <c r="E9" s="76"/>
      <c r="F9" s="76"/>
      <c r="G9" s="76"/>
      <c r="H9" s="76"/>
    </row>
    <row r="10" spans="2:16" x14ac:dyDescent="0.35">
      <c r="B10" s="75"/>
      <c r="C10" s="76"/>
      <c r="D10" s="76"/>
      <c r="E10" s="76"/>
      <c r="F10" s="76"/>
      <c r="G10" s="76"/>
      <c r="H10" s="76"/>
    </row>
    <row r="11" spans="2:16" ht="18.5" x14ac:dyDescent="0.35">
      <c r="B11" s="109" t="s">
        <v>206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</row>
    <row r="12" spans="2:16" x14ac:dyDescent="0.35">
      <c r="B12" s="89" t="s">
        <v>9</v>
      </c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2:16" ht="14.5" customHeight="1" x14ac:dyDescent="0.35">
      <c r="B13" s="111" t="s">
        <v>207</v>
      </c>
      <c r="C13" s="113" t="s">
        <v>208</v>
      </c>
      <c r="D13" s="114"/>
      <c r="E13" s="115"/>
      <c r="F13" s="116" t="s">
        <v>209</v>
      </c>
      <c r="G13" s="116" t="s">
        <v>210</v>
      </c>
      <c r="H13" s="118" t="s">
        <v>211</v>
      </c>
      <c r="I13" s="118" t="s">
        <v>212</v>
      </c>
      <c r="J13" s="118" t="s">
        <v>213</v>
      </c>
      <c r="K13" s="120" t="s">
        <v>214</v>
      </c>
      <c r="L13" s="120" t="s">
        <v>215</v>
      </c>
    </row>
    <row r="14" spans="2:16" x14ac:dyDescent="0.35">
      <c r="B14" s="112"/>
      <c r="C14" s="85" t="s">
        <v>216</v>
      </c>
      <c r="D14" s="122" t="s">
        <v>217</v>
      </c>
      <c r="E14" s="123"/>
      <c r="F14" s="117"/>
      <c r="G14" s="117"/>
      <c r="H14" s="119"/>
      <c r="I14" s="119"/>
      <c r="J14" s="119"/>
      <c r="K14" s="121"/>
      <c r="L14" s="121"/>
    </row>
    <row r="15" spans="2:16" x14ac:dyDescent="0.35">
      <c r="B15" s="41" t="s">
        <v>2</v>
      </c>
      <c r="C15" s="67">
        <f>SUMIFS(REALIZADO[META_MOVEL],REALIZADO[COORDENAÇÃO],$J$7)</f>
        <v>92663.999800000005</v>
      </c>
      <c r="D15" s="68">
        <f>SUMIFS(PROJEÇÃO[PROJ_MOVEL],PROJEÇÃO[COORDENAÇÃO],J7)</f>
        <v>75957.059899999978</v>
      </c>
      <c r="E15" s="45">
        <f>IFERROR(D15/C15,0)</f>
        <v>0.81970409289412061</v>
      </c>
      <c r="F15" s="8">
        <f>VLOOKUP(E15,FATORES!$I$61:$K$65,3)</f>
        <v>1.4999999999999999E-2</v>
      </c>
      <c r="G15" s="9">
        <f t="shared" ref="G15:G23" si="0">D15*F15</f>
        <v>1139.3558984999997</v>
      </c>
      <c r="H15" s="10">
        <f>IF($B$8=2,G15*0.05,0)</f>
        <v>0</v>
      </c>
      <c r="I15" s="10">
        <f>IF($B$8=3,G15*0.05,0)</f>
        <v>0</v>
      </c>
      <c r="J15" s="124">
        <v>0.1</v>
      </c>
      <c r="K15" s="127">
        <f>SUM(G24:J24)</f>
        <v>6187.9952646470001</v>
      </c>
      <c r="L15" s="127">
        <f>K15*0.75</f>
        <v>4640.9964484852499</v>
      </c>
    </row>
    <row r="16" spans="2:16" x14ac:dyDescent="0.35">
      <c r="B16" s="42" t="s">
        <v>13</v>
      </c>
      <c r="C16" s="67">
        <f>SUMIFS(REALIZADO[META_FIXA],REALIZADO[COORDENAÇÃO],$J$7)</f>
        <v>40919.999799999983</v>
      </c>
      <c r="D16" s="68">
        <f>SUMIFS(PROJEÇÃO[PROJ_FIXA],PROJEÇÃO[COORDENAÇÃO],J7)</f>
        <v>40097.979800000001</v>
      </c>
      <c r="E16" s="45">
        <f>IFERROR(D16/C16,0)</f>
        <v>0.97991153460367364</v>
      </c>
      <c r="F16" s="11">
        <f>VLOOKUP(E16,FATORES!$I$68:$K$72,3)</f>
        <v>2.5000000000000001E-2</v>
      </c>
      <c r="G16" s="60">
        <f t="shared" si="0"/>
        <v>1002.4494950000001</v>
      </c>
      <c r="H16" s="12">
        <f>IF($C$8=2,G16*0.05,0)</f>
        <v>0</v>
      </c>
      <c r="I16" s="12">
        <f>IF($C$8=3,G16*0.05,0)</f>
        <v>0</v>
      </c>
      <c r="J16" s="125"/>
      <c r="K16" s="128"/>
      <c r="L16" s="128"/>
    </row>
    <row r="17" spans="2:12" x14ac:dyDescent="0.35">
      <c r="B17" s="42" t="s">
        <v>218</v>
      </c>
      <c r="C17" s="48">
        <f>SUMIFS(REALIZADO[META_SMARTPHONE],REALIZADO[COORDENAÇÃO],$J$7)</f>
        <v>1247999.9995000004</v>
      </c>
      <c r="D17" s="69">
        <f>SUMIFS(PROJEÇÃO[PROJ_APARELHO],PROJEÇÃO[COORDENAÇÃO],J7)</f>
        <v>1379609.2715000003</v>
      </c>
      <c r="E17" s="46">
        <f>IFERROR(D17/C17,0)</f>
        <v>1.1054561474781475</v>
      </c>
      <c r="F17" s="11">
        <f>VLOOKUP(E17,FATORES!$B$80:$D$83,3)</f>
        <v>2E-3</v>
      </c>
      <c r="G17" s="60">
        <f t="shared" si="0"/>
        <v>2759.2185430000004</v>
      </c>
      <c r="H17" s="12">
        <f>IF($D$8=2,G17*0.05,0)</f>
        <v>0</v>
      </c>
      <c r="I17" s="12">
        <f>IF($D$8=3,G17*0.05,0)</f>
        <v>137.96092715000003</v>
      </c>
      <c r="J17" s="125"/>
      <c r="K17" s="128"/>
      <c r="L17" s="128"/>
    </row>
    <row r="18" spans="2:12" x14ac:dyDescent="0.35">
      <c r="B18" s="43" t="s">
        <v>219</v>
      </c>
      <c r="C18" s="86">
        <f>SUMIFS(REALIZADO[META_ACESSORIO],REALIZADO[COORDENAÇÃO],$J$7)</f>
        <v>136000.00020000001</v>
      </c>
      <c r="D18" s="77">
        <f>SUMIFS(PROJEÇÃO[PROJ_ELETRO_A],PROJEÇÃO[COORDENAÇÃO],J7)</f>
        <v>3121.4286000000002</v>
      </c>
      <c r="E18" s="88">
        <f>IFERROR((D18+D19)/C18,0)</f>
        <v>1.3399989480294132</v>
      </c>
      <c r="F18" s="11">
        <f>VLOOKUP(E18,FATORES!$B$72:$E$76,3)</f>
        <v>3.0000000000000001E-3</v>
      </c>
      <c r="G18" s="60">
        <f t="shared" si="0"/>
        <v>9.3642858000000011</v>
      </c>
      <c r="H18" s="12">
        <f>IF($E$8=2,G18*0.05,0)</f>
        <v>0</v>
      </c>
      <c r="I18" s="12">
        <f>IF($E$8=3,G18*0.05,0)</f>
        <v>0.46821429000000009</v>
      </c>
      <c r="J18" s="125"/>
      <c r="K18" s="128"/>
      <c r="L18" s="128"/>
    </row>
    <row r="19" spans="2:12" x14ac:dyDescent="0.35">
      <c r="B19" s="43" t="s">
        <v>220</v>
      </c>
      <c r="C19" s="87"/>
      <c r="D19" s="78">
        <f>SUMIFS(PROJEÇÃO[PROJ_ELETRO_B],PROJEÇÃO[COORDENAÇÃO],J7)</f>
        <v>179118.42859999998</v>
      </c>
      <c r="E19" s="88"/>
      <c r="F19" s="11">
        <f>VLOOKUP(E18,FATORES!$B$72:$E$76,4)</f>
        <v>2.5000000000000001E-3</v>
      </c>
      <c r="G19" s="60">
        <f t="shared" si="0"/>
        <v>447.79607149999998</v>
      </c>
      <c r="H19" s="12">
        <f>IF($E$8=2,G19*0.05,0)</f>
        <v>0</v>
      </c>
      <c r="I19" s="12">
        <f>IF($E$8=3,G19*0.05,0)</f>
        <v>22.389803575000002</v>
      </c>
      <c r="J19" s="125"/>
      <c r="K19" s="128"/>
      <c r="L19" s="128"/>
    </row>
    <row r="20" spans="2:12" x14ac:dyDescent="0.35">
      <c r="B20" s="42" t="s">
        <v>221</v>
      </c>
      <c r="C20" s="86">
        <f>SUMIFS(REALIZADO[META_ESSENCIAIS],REALIZADO[COORDENAÇÃO],$J$7)</f>
        <v>78900.000000000015</v>
      </c>
      <c r="D20" s="77">
        <f>SUMIFS(PROJEÇÃO[PROJ_ESSEN_A],PROJEÇÃO[COORDENAÇÃO],J7)</f>
        <v>34485.814100000003</v>
      </c>
      <c r="E20" s="88">
        <f>IFERROR((D20+D21)/C20,0)</f>
        <v>1.0532887173637513</v>
      </c>
      <c r="F20" s="11">
        <f>VLOOKUP(E20,FATORES!$B$63:$E$67,3)</f>
        <v>0.01</v>
      </c>
      <c r="G20" s="60">
        <f t="shared" si="0"/>
        <v>344.85814100000005</v>
      </c>
      <c r="H20" s="12">
        <f>IF($F$8=2,G20*0.05,0)</f>
        <v>0</v>
      </c>
      <c r="I20" s="12">
        <f>IF($F$8=3,G20*0.05,0)</f>
        <v>17.242907050000003</v>
      </c>
      <c r="J20" s="125"/>
      <c r="K20" s="128"/>
      <c r="L20" s="128"/>
    </row>
    <row r="21" spans="2:12" x14ac:dyDescent="0.35">
      <c r="B21" s="42" t="s">
        <v>222</v>
      </c>
      <c r="C21" s="87"/>
      <c r="D21" s="78">
        <f>SUMIFS(PROJEÇÃO[PROJ_ESSEN_B],PROJEÇÃO[COORDENAÇÃO],J7)</f>
        <v>48618.665700000005</v>
      </c>
      <c r="E21" s="88"/>
      <c r="F21" s="11">
        <f>VLOOKUP(E20,FATORES!$B$63:$E$67,4)</f>
        <v>1.2000000000000001E-3</v>
      </c>
      <c r="G21" s="60">
        <f t="shared" si="0"/>
        <v>58.342398840000008</v>
      </c>
      <c r="H21" s="12">
        <f>IF($F$8=2,G21*0.05,0)</f>
        <v>0</v>
      </c>
      <c r="I21" s="12">
        <f>IF($F$8=3,G21*0.05,0)</f>
        <v>2.9171199420000007</v>
      </c>
      <c r="J21" s="125"/>
      <c r="K21" s="128"/>
      <c r="L21" s="128"/>
    </row>
    <row r="22" spans="2:12" x14ac:dyDescent="0.35">
      <c r="B22" s="42" t="s">
        <v>205</v>
      </c>
      <c r="C22" s="52">
        <f>SUMIFS(REALIZADO[META_SEGUROS],REALIZADO[COORDENAÇÃO],$J$7)</f>
        <v>9135.4999999999982</v>
      </c>
      <c r="D22" s="70">
        <f>SUMIFS(PROJEÇÃO[PROJ_SEGURO],PROJEÇÃO[COORDENAÇÃO],J7)</f>
        <v>8704.1715000000022</v>
      </c>
      <c r="E22" s="74">
        <f>IFERROR(D22/C22,0)</f>
        <v>0.95278545235619327</v>
      </c>
      <c r="F22" s="74">
        <f>VLOOKUP(E22,FATORES!$O$61:$Q$65,3)</f>
        <v>2.5000000000000001E-2</v>
      </c>
      <c r="G22" s="60">
        <f t="shared" si="0"/>
        <v>217.60428750000005</v>
      </c>
      <c r="H22" s="12">
        <f>IF($G$8=2,G22*0.05,0)</f>
        <v>0</v>
      </c>
      <c r="I22" s="12">
        <f>IF($G$8=3,G22*0.05,0)</f>
        <v>0</v>
      </c>
      <c r="J22" s="125"/>
      <c r="K22" s="128"/>
      <c r="L22" s="128"/>
    </row>
    <row r="23" spans="2:12" x14ac:dyDescent="0.35">
      <c r="B23" s="44" t="s">
        <v>14</v>
      </c>
      <c r="C23" s="67">
        <f>SUMIFS(REALIZADO[META_SVA],REALIZADO[COORDENAÇÃO],$J$7)</f>
        <v>7974.9999000000025</v>
      </c>
      <c r="D23" s="68">
        <f>SUMIFS(PROJEÇÃO[PROJ_SVA],PROJEÇÃO[COORDENAÇÃO],J7)</f>
        <v>11210.8686</v>
      </c>
      <c r="E23" s="73">
        <f>IFERROR(D23/C23,0)</f>
        <v>1.40575156621632</v>
      </c>
      <c r="F23" s="13">
        <f>IF(E23&gt;=0,FATORES!$Q$68)</f>
        <v>2.5000000000000001E-3</v>
      </c>
      <c r="G23" s="14">
        <f t="shared" si="0"/>
        <v>28.027171500000001</v>
      </c>
      <c r="H23" s="15">
        <f>IF($H$8=2,G23*0.05,0)</f>
        <v>0</v>
      </c>
      <c r="I23" s="15">
        <f>IF($H$8=3,G23*0.05,0)</f>
        <v>0</v>
      </c>
      <c r="J23" s="126"/>
      <c r="K23" s="129"/>
      <c r="L23" s="129"/>
    </row>
    <row r="24" spans="2:12" x14ac:dyDescent="0.35">
      <c r="B24" s="61"/>
      <c r="C24" s="62"/>
      <c r="D24" s="62"/>
      <c r="E24" s="62"/>
      <c r="F24" s="62"/>
      <c r="G24" s="63">
        <f>SUM(G15:G23)</f>
        <v>6007.0162926399998</v>
      </c>
      <c r="H24" s="63">
        <f t="shared" ref="H24:I24" si="1">SUM(H15:H23)</f>
        <v>0</v>
      </c>
      <c r="I24" s="63">
        <f t="shared" si="1"/>
        <v>180.97897200700004</v>
      </c>
      <c r="J24" s="79" t="str">
        <f>IF($J$7="ARIEL",IF(MIN(E15,E17,E18,E19,E20,E22,E23)&gt;=100%,G24*J15,""),IF(MIN(E15:E23)&gt;=100%,G24*J15,""))</f>
        <v/>
      </c>
      <c r="K24" s="102"/>
      <c r="L24" s="102"/>
    </row>
    <row r="25" spans="2:12" ht="16.149999999999999" customHeight="1" x14ac:dyDescent="0.35">
      <c r="B25" s="71"/>
      <c r="C25" s="6"/>
      <c r="D25" s="6"/>
      <c r="E25" s="6"/>
      <c r="F25" s="6"/>
      <c r="G25" s="6"/>
      <c r="H25" s="6"/>
      <c r="L25" s="56"/>
    </row>
    <row r="26" spans="2:12" ht="18.5" x14ac:dyDescent="0.35">
      <c r="B26" s="130" t="s">
        <v>223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</row>
    <row r="27" spans="2:12" x14ac:dyDescent="0.35">
      <c r="B27" s="89" t="s">
        <v>9</v>
      </c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2:12" ht="14.5" customHeight="1" x14ac:dyDescent="0.35">
      <c r="B28" s="111" t="s">
        <v>207</v>
      </c>
      <c r="C28" s="113" t="s">
        <v>224</v>
      </c>
      <c r="D28" s="114"/>
      <c r="E28" s="115"/>
      <c r="F28" s="116" t="s">
        <v>209</v>
      </c>
      <c r="G28" s="80" t="s">
        <v>210</v>
      </c>
      <c r="H28" s="82" t="s">
        <v>211</v>
      </c>
      <c r="I28" s="82" t="s">
        <v>212</v>
      </c>
      <c r="J28" s="82" t="s">
        <v>213</v>
      </c>
      <c r="K28" s="120" t="s">
        <v>214</v>
      </c>
      <c r="L28" s="120" t="s">
        <v>215</v>
      </c>
    </row>
    <row r="29" spans="2:12" ht="14.5" customHeight="1" x14ac:dyDescent="0.35">
      <c r="B29" s="112"/>
      <c r="C29" s="85" t="s">
        <v>216</v>
      </c>
      <c r="D29" s="122" t="s">
        <v>217</v>
      </c>
      <c r="E29" s="123"/>
      <c r="F29" s="117"/>
      <c r="G29" s="81"/>
      <c r="H29" s="83"/>
      <c r="I29" s="83"/>
      <c r="J29" s="83"/>
      <c r="K29" s="121"/>
      <c r="L29" s="121"/>
    </row>
    <row r="30" spans="2:12" x14ac:dyDescent="0.35">
      <c r="B30" s="41" t="s">
        <v>2</v>
      </c>
      <c r="C30" s="67">
        <f>SUMIFS(REALIZADO[META_MOVEL],REALIZADO[COORDENAÇÃO],$J$7)</f>
        <v>92663.999800000005</v>
      </c>
      <c r="D30" s="68">
        <f>SUMIFS(REALIZADO[AT_MOVEL],REALIZADO[COORDENAÇÃO],$J$7)</f>
        <v>63104.82</v>
      </c>
      <c r="E30" s="45">
        <f>IFERROR(D30/C30,0)</f>
        <v>0.68100686497670471</v>
      </c>
      <c r="F30" s="8">
        <f>VLOOKUP($E$30,FATORES!$I$61:$K$65,3)</f>
        <v>5.0000000000000001E-3</v>
      </c>
      <c r="G30" s="9">
        <f t="shared" ref="G30:G38" si="2">D30*F30</f>
        <v>315.52410000000003</v>
      </c>
      <c r="H30" s="10">
        <f>IF($B$8=2,G30*0.05,0)</f>
        <v>0</v>
      </c>
      <c r="I30" s="10">
        <f>IF($B$8=3,G30*0.05,0)</f>
        <v>0</v>
      </c>
      <c r="J30" s="124">
        <v>0.1</v>
      </c>
      <c r="K30" s="127">
        <f>SUM(G39:K39)</f>
        <v>1009.9019512500001</v>
      </c>
      <c r="L30" s="127">
        <f>K30*0.75</f>
        <v>757.42646343750016</v>
      </c>
    </row>
    <row r="31" spans="2:12" x14ac:dyDescent="0.35">
      <c r="B31" s="42" t="s">
        <v>13</v>
      </c>
      <c r="C31" s="67">
        <f>SUMIFS(REALIZADO[META_FIXA],REALIZADO[COORDENAÇÃO],$J$7)</f>
        <v>40919.999799999983</v>
      </c>
      <c r="D31" s="68">
        <f>SUMIFS(REALIZADO[AT_FIXA],REALIZADO[COORDENAÇÃO],J7)</f>
        <v>25910.670000000002</v>
      </c>
      <c r="E31" s="46">
        <f>IFERROR(D31/C31,0)</f>
        <v>0.63320308227372013</v>
      </c>
      <c r="F31" s="11">
        <f>VLOOKUP($E$31,FATORES!$I$68:$K$72,3)</f>
        <v>5.0000000000000001E-3</v>
      </c>
      <c r="G31" s="60">
        <f t="shared" si="2"/>
        <v>129.55335000000002</v>
      </c>
      <c r="H31" s="12">
        <f>IF($C$8=2,G31*0.05,0)</f>
        <v>0</v>
      </c>
      <c r="I31" s="12">
        <f>IF($C$8=3,G31*0.05,0)</f>
        <v>0</v>
      </c>
      <c r="J31" s="125"/>
      <c r="K31" s="128"/>
      <c r="L31" s="128"/>
    </row>
    <row r="32" spans="2:12" x14ac:dyDescent="0.35">
      <c r="B32" s="42" t="s">
        <v>218</v>
      </c>
      <c r="C32" s="48">
        <f>SUMIFS(REALIZADO[META_SMARTPHONE],REALIZADO[COORDENAÇÃO],$J$7)</f>
        <v>1247999.9995000004</v>
      </c>
      <c r="D32" s="69">
        <f>SUMIFS(REALIZADO[AT_SMARTPHONE],REALIZADO[COORDENAÇÃO],J7)</f>
        <v>979341.05</v>
      </c>
      <c r="E32" s="46">
        <f>IFERROR(D32/C32,0)</f>
        <v>0.78472840576311209</v>
      </c>
      <c r="F32" s="11">
        <f>VLOOKUP($E$32,FATORES!$B$80:$D$83,3)</f>
        <v>5.0000000000000001E-4</v>
      </c>
      <c r="G32" s="60">
        <f t="shared" si="2"/>
        <v>489.67052500000005</v>
      </c>
      <c r="H32" s="12">
        <f>IF($D$8=2,G32*0.05,0)</f>
        <v>0</v>
      </c>
      <c r="I32" s="12">
        <f>IF($D$8=3,G32*0.05,0)</f>
        <v>24.483526250000004</v>
      </c>
      <c r="J32" s="125"/>
      <c r="K32" s="128"/>
      <c r="L32" s="128"/>
    </row>
    <row r="33" spans="2:12" x14ac:dyDescent="0.35">
      <c r="B33" s="43" t="s">
        <v>219</v>
      </c>
      <c r="C33" s="86">
        <f>SUMIFS(REALIZADO[META_ACESSORIO],REALIZADO[COORDENAÇÃO],$J$7)</f>
        <v>136000.00020000001</v>
      </c>
      <c r="D33" s="77">
        <f>SUMIFS(REALIZADO[AT_ACESSORIOS_A],REALIZADO[COORDENAÇÃO],J7)</f>
        <v>6036</v>
      </c>
      <c r="E33" s="88">
        <f>IFERROR((D33+D34)/C33,0)</f>
        <v>0.75191948418835364</v>
      </c>
      <c r="F33" s="11">
        <f>IFERROR(VLOOKUP($E$33,FATORES!$B$72:$E$76,3),0)</f>
        <v>0</v>
      </c>
      <c r="G33" s="60">
        <f t="shared" si="2"/>
        <v>0</v>
      </c>
      <c r="H33" s="12">
        <f>IF($E$8=2,G33*0.05,0)</f>
        <v>0</v>
      </c>
      <c r="I33" s="12">
        <f>IF($E$8=3,G33*0.05,0)</f>
        <v>0</v>
      </c>
      <c r="J33" s="125"/>
      <c r="K33" s="128"/>
      <c r="L33" s="128"/>
    </row>
    <row r="34" spans="2:12" x14ac:dyDescent="0.35">
      <c r="B34" s="43" t="s">
        <v>220</v>
      </c>
      <c r="C34" s="87"/>
      <c r="D34" s="78">
        <f>SUMIFS(REALIZADO[AT_ACESSORIOS_B],REALIZADO[COORDENAÇÃO],J7)</f>
        <v>96225.05</v>
      </c>
      <c r="E34" s="88"/>
      <c r="F34" s="11">
        <f>IFERROR(VLOOKUP($E$33,FATORES!$B$72:$E$76,4),0)</f>
        <v>0</v>
      </c>
      <c r="G34" s="60">
        <f t="shared" si="2"/>
        <v>0</v>
      </c>
      <c r="H34" s="12">
        <f>IF($E$8=2,G34*0.05,0)</f>
        <v>0</v>
      </c>
      <c r="I34" s="12">
        <f>IF($E$8=3,G34*0.05,0)</f>
        <v>0</v>
      </c>
      <c r="J34" s="125"/>
      <c r="K34" s="128"/>
      <c r="L34" s="128"/>
    </row>
    <row r="35" spans="2:12" x14ac:dyDescent="0.35">
      <c r="B35" s="42" t="s">
        <v>221</v>
      </c>
      <c r="C35" s="86">
        <f>SUMIFS(REALIZADO[META_ESSENCIAIS],REALIZADO[COORDENAÇÃO],$J$7)</f>
        <v>78900.000000000015</v>
      </c>
      <c r="D35" s="77">
        <f>SUMIFS(REALIZADO[AT_ESSENCIAIS_A],REALIZADO[COORDENAÇÃO],J7)</f>
        <v>25227</v>
      </c>
      <c r="E35" s="132">
        <f>IFERROR((D35+D36)/C35,0)</f>
        <v>0.75070975918884653</v>
      </c>
      <c r="F35" s="11">
        <f>IFERROR(VLOOKUP($E$35,FATORES!$B$63:$E$67,3),0)</f>
        <v>0</v>
      </c>
      <c r="G35" s="60">
        <f t="shared" si="2"/>
        <v>0</v>
      </c>
      <c r="H35" s="12">
        <f>IF($F$8=2,G35*0.05,0)</f>
        <v>0</v>
      </c>
      <c r="I35" s="12">
        <f>IF($F$8=3,G35*0.05,0)</f>
        <v>0</v>
      </c>
      <c r="J35" s="125"/>
      <c r="K35" s="128"/>
      <c r="L35" s="128"/>
    </row>
    <row r="36" spans="2:12" x14ac:dyDescent="0.35">
      <c r="B36" s="42" t="s">
        <v>222</v>
      </c>
      <c r="C36" s="87"/>
      <c r="D36" s="78">
        <f>SUMIFS(REALIZADO[AT_ESSENCIAIS_B],REALIZADO[COORDENAÇÃO],J7)</f>
        <v>34004</v>
      </c>
      <c r="E36" s="132"/>
      <c r="F36" s="11">
        <f>IFERROR(VLOOKUP($E$35,FATORES!$B$63:$E$67,4),0)</f>
        <v>0</v>
      </c>
      <c r="G36" s="60">
        <f t="shared" si="2"/>
        <v>0</v>
      </c>
      <c r="H36" s="12">
        <f>IF($F$8=2,G36*0.05,0)</f>
        <v>0</v>
      </c>
      <c r="I36" s="12">
        <f>IF($F$8=3,G36*0.05,0)</f>
        <v>0</v>
      </c>
      <c r="J36" s="125"/>
      <c r="K36" s="128"/>
      <c r="L36" s="128"/>
    </row>
    <row r="37" spans="2:12" x14ac:dyDescent="0.35">
      <c r="B37" s="42" t="s">
        <v>205</v>
      </c>
      <c r="C37" s="52">
        <f>SUMIFS(REALIZADO[META_SEGUROS],REALIZADO[COORDENAÇÃO],$J$7)</f>
        <v>9135.4999999999982</v>
      </c>
      <c r="D37" s="70">
        <f>SUMIFS(REALIZADO[AT_SEGUROS],REALIZADO[COORDENAÇÃO],J7)</f>
        <v>6645.7000000000007</v>
      </c>
      <c r="E37" s="74">
        <f>IFERROR(D37/C37,0)</f>
        <v>0.7274588145148051</v>
      </c>
      <c r="F37" s="74">
        <f>VLOOKUP($E$37,FATORES!$O$61:$Q$65,3)</f>
        <v>5.0000000000000001E-3</v>
      </c>
      <c r="G37" s="60">
        <f t="shared" si="2"/>
        <v>33.228500000000004</v>
      </c>
      <c r="H37" s="12">
        <f>IF($G$8=2,G37*0.05,0)</f>
        <v>0</v>
      </c>
      <c r="I37" s="12">
        <f>IF($G$8=3,G37*0.05,0)</f>
        <v>0</v>
      </c>
      <c r="J37" s="125"/>
      <c r="K37" s="128"/>
      <c r="L37" s="128"/>
    </row>
    <row r="38" spans="2:12" x14ac:dyDescent="0.35">
      <c r="B38" s="44" t="s">
        <v>14</v>
      </c>
      <c r="C38" s="67">
        <f>SUMIFS(REALIZADO[META_SVA],REALIZADO[COORDENAÇÃO],$J$7)</f>
        <v>7974.9999000000025</v>
      </c>
      <c r="D38" s="68">
        <f>SUMIFS(REALIZADO[AT_SVA],REALIZADO[COORDENAÇÃO],J7)</f>
        <v>6976.7799999999979</v>
      </c>
      <c r="E38" s="73">
        <f>IFERROR(D38/C38,0)</f>
        <v>0.8748313589320541</v>
      </c>
      <c r="F38" s="13">
        <f>IF($E$38&gt;=0,FATORES!$Q$68)</f>
        <v>2.5000000000000001E-3</v>
      </c>
      <c r="G38" s="14">
        <f t="shared" si="2"/>
        <v>17.441949999999995</v>
      </c>
      <c r="H38" s="15">
        <f>IF($H$8=2,G38*0.05,0)</f>
        <v>0</v>
      </c>
      <c r="I38" s="15">
        <f>IF($H$8=3,G38*0.05,0)</f>
        <v>0</v>
      </c>
      <c r="J38" s="126"/>
      <c r="K38" s="129"/>
      <c r="L38" s="129"/>
    </row>
    <row r="39" spans="2:12" x14ac:dyDescent="0.35">
      <c r="B39" s="61"/>
      <c r="C39" s="62"/>
      <c r="D39" s="62"/>
      <c r="E39" s="62"/>
      <c r="F39" s="62"/>
      <c r="G39" s="63">
        <f>SUM(G30:G38)</f>
        <v>985.41842500000018</v>
      </c>
      <c r="H39" s="63">
        <f t="shared" ref="H39:I39" si="3">SUM(H30:H38)</f>
        <v>0</v>
      </c>
      <c r="I39" s="63">
        <f t="shared" si="3"/>
        <v>24.483526250000004</v>
      </c>
      <c r="J39" s="79" t="str">
        <f>IF($J$7="ARIEL",IF(MIN(E30,E32,E33,E34,E35,E37,E38)&gt;=100%,G39*J30,""),IF(MIN(E30:E38)&gt;=100%,G39*J30,""))</f>
        <v/>
      </c>
      <c r="K39" s="64"/>
      <c r="L39" s="65"/>
    </row>
    <row r="41" spans="2:12" ht="18.5" x14ac:dyDescent="0.35">
      <c r="B41" s="133" t="s">
        <v>225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4"/>
    </row>
    <row r="42" spans="2:12" x14ac:dyDescent="0.35">
      <c r="B42" s="135" t="s">
        <v>9</v>
      </c>
      <c r="C42" s="136"/>
      <c r="D42" s="136"/>
      <c r="E42" s="136"/>
      <c r="F42" s="136"/>
      <c r="G42" s="136"/>
      <c r="H42" s="136"/>
      <c r="I42" s="7"/>
      <c r="J42" s="7"/>
      <c r="K42" s="7"/>
      <c r="L42" s="59"/>
    </row>
    <row r="43" spans="2:12" ht="28.9" customHeight="1" x14ac:dyDescent="0.35">
      <c r="B43" s="137" t="s">
        <v>207</v>
      </c>
      <c r="C43" s="113" t="s">
        <v>224</v>
      </c>
      <c r="D43" s="114"/>
      <c r="E43" s="115"/>
      <c r="F43" s="138" t="s">
        <v>209</v>
      </c>
      <c r="G43" s="116" t="s">
        <v>210</v>
      </c>
      <c r="H43" s="118" t="s">
        <v>211</v>
      </c>
      <c r="I43" s="118" t="s">
        <v>212</v>
      </c>
      <c r="J43" s="118" t="s">
        <v>213</v>
      </c>
      <c r="K43" s="120" t="s">
        <v>214</v>
      </c>
      <c r="L43" s="139" t="s">
        <v>215</v>
      </c>
    </row>
    <row r="44" spans="2:12" x14ac:dyDescent="0.35">
      <c r="B44" s="111"/>
      <c r="C44" s="85" t="s">
        <v>216</v>
      </c>
      <c r="D44" s="141" t="s">
        <v>217</v>
      </c>
      <c r="E44" s="141"/>
      <c r="F44" s="138"/>
      <c r="G44" s="117"/>
      <c r="H44" s="119"/>
      <c r="I44" s="119"/>
      <c r="J44" s="119"/>
      <c r="K44" s="121"/>
      <c r="L44" s="140"/>
    </row>
    <row r="45" spans="2:12" x14ac:dyDescent="0.35">
      <c r="B45" s="41" t="s">
        <v>2</v>
      </c>
      <c r="C45" s="48">
        <v>55000</v>
      </c>
      <c r="D45" s="49">
        <v>55000</v>
      </c>
      <c r="E45" s="45">
        <f>IFERROR(D45/C45,0)</f>
        <v>1</v>
      </c>
      <c r="F45" s="8">
        <f>VLOOKUP(E45,FATORES!$I$61:$K$65,3)</f>
        <v>4.4999999999999998E-2</v>
      </c>
      <c r="G45" s="9">
        <f t="shared" ref="G45:G53" si="4">D45*F45</f>
        <v>2475</v>
      </c>
      <c r="H45" s="10">
        <f>IF($B$8=2,G45*0.05,0)</f>
        <v>0</v>
      </c>
      <c r="I45" s="10">
        <f>IF($B$8=3,G45*0.05,0)</f>
        <v>0</v>
      </c>
      <c r="J45" s="124">
        <v>0.1</v>
      </c>
      <c r="K45" s="142">
        <f>SUM(G54:J54)</f>
        <v>5980.5821000000005</v>
      </c>
      <c r="L45" s="142">
        <f>K45*0.75</f>
        <v>4485.4365750000006</v>
      </c>
    </row>
    <row r="46" spans="2:12" x14ac:dyDescent="0.35">
      <c r="B46" s="42" t="s">
        <v>13</v>
      </c>
      <c r="C46" s="50">
        <v>29000</v>
      </c>
      <c r="D46" s="51">
        <v>29000</v>
      </c>
      <c r="E46" s="46">
        <f>IFERROR(D46/C46,0)</f>
        <v>1</v>
      </c>
      <c r="F46" s="11">
        <f>VLOOKUP(E46,FATORES!$I$68:$K$72,3)</f>
        <v>5.5E-2</v>
      </c>
      <c r="G46" s="60">
        <f t="shared" si="4"/>
        <v>1595</v>
      </c>
      <c r="H46" s="12">
        <f>IF($C$8=2,G46*0.05,0)</f>
        <v>0</v>
      </c>
      <c r="I46" s="12">
        <f>IF($C$8=3,G46*0.05,0)</f>
        <v>0</v>
      </c>
      <c r="J46" s="125"/>
      <c r="K46" s="143"/>
      <c r="L46" s="143"/>
    </row>
    <row r="47" spans="2:12" x14ac:dyDescent="0.35">
      <c r="B47" s="42" t="s">
        <v>218</v>
      </c>
      <c r="C47" s="50">
        <v>800000</v>
      </c>
      <c r="D47" s="51">
        <v>800001</v>
      </c>
      <c r="E47" s="46">
        <f>IFERROR(D47/C47,0)</f>
        <v>1.00000125</v>
      </c>
      <c r="F47" s="11">
        <f>VLOOKUP(E47,FATORES!$B$80:$D$83,3)</f>
        <v>2E-3</v>
      </c>
      <c r="G47" s="60">
        <f t="shared" si="4"/>
        <v>1600.002</v>
      </c>
      <c r="H47" s="12">
        <f>IF($D$8=2,G47*0.05,0)</f>
        <v>0</v>
      </c>
      <c r="I47" s="12">
        <f>IF($D$8=3,G47*0.05,0)</f>
        <v>80.000100000000003</v>
      </c>
      <c r="J47" s="125"/>
      <c r="K47" s="143"/>
      <c r="L47" s="143"/>
    </row>
    <row r="48" spans="2:12" x14ac:dyDescent="0.35">
      <c r="B48" s="43" t="s">
        <v>219</v>
      </c>
      <c r="C48" s="145">
        <v>83000</v>
      </c>
      <c r="D48" s="51"/>
      <c r="E48" s="146">
        <f>IFERROR((D48+D49)/C48,0)</f>
        <v>1.0120481927710843</v>
      </c>
      <c r="F48" s="11">
        <f>IFERROR(VLOOKUP(E48,FATORES!$B$72:$E$76,3),0)</f>
        <v>0</v>
      </c>
      <c r="G48" s="60">
        <f t="shared" si="4"/>
        <v>0</v>
      </c>
      <c r="H48" s="12">
        <f>IF($E$8=2,G48*0.05,0)</f>
        <v>0</v>
      </c>
      <c r="I48" s="12">
        <f>IF($E$8=3,G48*0.05,0)</f>
        <v>0</v>
      </c>
      <c r="J48" s="125"/>
      <c r="K48" s="143"/>
      <c r="L48" s="143"/>
    </row>
    <row r="49" spans="2:12" x14ac:dyDescent="0.35">
      <c r="B49" s="43" t="s">
        <v>220</v>
      </c>
      <c r="C49" s="145"/>
      <c r="D49" s="51">
        <v>84000</v>
      </c>
      <c r="E49" s="146"/>
      <c r="F49" s="11">
        <f>IFERROR(VLOOKUP(E48,FATORES!$B$72:$E$76,4),0)</f>
        <v>2E-3</v>
      </c>
      <c r="G49" s="60">
        <f t="shared" si="4"/>
        <v>168</v>
      </c>
      <c r="H49" s="12">
        <f>IF($E$8=2,G49*0.05,0)</f>
        <v>0</v>
      </c>
      <c r="I49" s="12">
        <f>IF($E$8=3,G49*0.05,0)</f>
        <v>8.4</v>
      </c>
      <c r="J49" s="125"/>
      <c r="K49" s="143"/>
      <c r="L49" s="143"/>
    </row>
    <row r="50" spans="2:12" x14ac:dyDescent="0.35">
      <c r="B50" s="42" t="s">
        <v>221</v>
      </c>
      <c r="C50" s="145">
        <v>42000</v>
      </c>
      <c r="D50" s="51"/>
      <c r="E50" s="146">
        <f>IFERROR((D50+D51)/C50,0)</f>
        <v>1.0238095238095237</v>
      </c>
      <c r="F50" s="11">
        <f>IFERROR(VLOOKUP(E50,FATORES!$B$63:$E$67,3),0)</f>
        <v>0.01</v>
      </c>
      <c r="G50" s="60">
        <f t="shared" si="4"/>
        <v>0</v>
      </c>
      <c r="H50" s="12">
        <f>IF($F$8=2,G50*0.05,0)</f>
        <v>0</v>
      </c>
      <c r="I50" s="12">
        <f>IF($F$8=3,G50*0.05,0)</f>
        <v>0</v>
      </c>
      <c r="J50" s="125"/>
      <c r="K50" s="143"/>
      <c r="L50" s="143"/>
    </row>
    <row r="51" spans="2:12" x14ac:dyDescent="0.35">
      <c r="B51" s="42" t="s">
        <v>222</v>
      </c>
      <c r="C51" s="145"/>
      <c r="D51" s="51">
        <v>43000</v>
      </c>
      <c r="E51" s="146"/>
      <c r="F51" s="11">
        <f>IFERROR(VLOOKUP(E50,FATORES!$B$63:$E$67,4),0)</f>
        <v>1.2000000000000001E-3</v>
      </c>
      <c r="G51" s="60">
        <f t="shared" si="4"/>
        <v>51.6</v>
      </c>
      <c r="H51" s="12">
        <f>IF($F$8=2,G51*0.05,0)</f>
        <v>0</v>
      </c>
      <c r="I51" s="12">
        <f>IF($F$8=3,G51*0.05,0)</f>
        <v>2.58</v>
      </c>
      <c r="J51" s="125"/>
      <c r="K51" s="143"/>
      <c r="L51" s="143"/>
    </row>
    <row r="52" spans="2:12" x14ac:dyDescent="0.35">
      <c r="B52" s="42" t="s">
        <v>205</v>
      </c>
      <c r="C52" s="50">
        <v>10560</v>
      </c>
      <c r="D52" s="51"/>
      <c r="E52" s="46">
        <f>IFERROR(D52/C52,0)</f>
        <v>0</v>
      </c>
      <c r="F52" s="74">
        <f>VLOOKUP(E52,FATORES!$O$61:$Q$65,3)</f>
        <v>5.0000000000000001E-3</v>
      </c>
      <c r="G52" s="60">
        <f t="shared" si="4"/>
        <v>0</v>
      </c>
      <c r="H52" s="12">
        <f>IF($G$8=2,G52*0.05,0)</f>
        <v>0</v>
      </c>
      <c r="I52" s="12">
        <f>IF($G$8=3,G52*0.05,0)</f>
        <v>0</v>
      </c>
      <c r="J52" s="125"/>
      <c r="K52" s="143"/>
      <c r="L52" s="143"/>
    </row>
    <row r="53" spans="2:12" x14ac:dyDescent="0.35">
      <c r="B53" s="44" t="s">
        <v>14</v>
      </c>
      <c r="C53" s="52">
        <v>9270</v>
      </c>
      <c r="D53" s="53"/>
      <c r="E53" s="47">
        <f>IFERROR(D53/C53,0)</f>
        <v>0</v>
      </c>
      <c r="F53" s="13">
        <f>IF(E53&gt;=0,FATORES!$Q$68)</f>
        <v>2.5000000000000001E-3</v>
      </c>
      <c r="G53" s="14">
        <f t="shared" si="4"/>
        <v>0</v>
      </c>
      <c r="H53" s="15">
        <f>IF($H$8=2,G53*0.05,0)</f>
        <v>0</v>
      </c>
      <c r="I53" s="15">
        <f>IF($H$8=3,G53*0.05,0)</f>
        <v>0</v>
      </c>
      <c r="J53" s="126"/>
      <c r="K53" s="144"/>
      <c r="L53" s="144"/>
    </row>
    <row r="54" spans="2:12" x14ac:dyDescent="0.35">
      <c r="B54" s="61"/>
      <c r="C54" s="62"/>
      <c r="D54" s="62"/>
      <c r="E54" s="62"/>
      <c r="F54" s="62"/>
      <c r="G54" s="63">
        <f>SUM(G45:G53)</f>
        <v>5889.6020000000008</v>
      </c>
      <c r="H54" s="63">
        <f>SUM(H45:H53)</f>
        <v>0</v>
      </c>
      <c r="I54" s="63">
        <f>SUM(I45:I53)</f>
        <v>90.980100000000007</v>
      </c>
      <c r="J54" s="79" t="str">
        <f>IF($J$7="ARIEL",IF(MIN(E45,E47,E48,E49,E50,E52,E53)&gt;=100%,G54*J45,""),IF(MIN(E45:E53)&gt;=100%,G54*J45,""))</f>
        <v/>
      </c>
      <c r="K54" s="64"/>
      <c r="L54" s="65"/>
    </row>
  </sheetData>
  <sheetProtection algorithmName="SHA-512" hashValue="kUrLH/MM6zTYMgVkfFOrRgMjAXRnP24MQYCh+6TD4MiGRrNIqN4X4/PsUVAKB6PJg33Gg58oZjizUEGzrYbdtQ==" saltValue="xCun4sBtZSs4Tn98hptwyg==" spinCount="100000" sheet="1" objects="1" scenarios="1"/>
  <protectedRanges>
    <protectedRange sqref="B8:H8 C45:D53" name="Intervalo1"/>
  </protectedRanges>
  <mergeCells count="60">
    <mergeCell ref="J45:J53"/>
    <mergeCell ref="K45:K53"/>
    <mergeCell ref="L45:L53"/>
    <mergeCell ref="C48:C49"/>
    <mergeCell ref="E48:E49"/>
    <mergeCell ref="C50:C51"/>
    <mergeCell ref="E50:E51"/>
    <mergeCell ref="B41:L41"/>
    <mergeCell ref="B42:H42"/>
    <mergeCell ref="B43:B44"/>
    <mergeCell ref="C43:E43"/>
    <mergeCell ref="F43:F44"/>
    <mergeCell ref="G43:G44"/>
    <mergeCell ref="H43:H44"/>
    <mergeCell ref="I43:I44"/>
    <mergeCell ref="J43:J44"/>
    <mergeCell ref="K43:K44"/>
    <mergeCell ref="L43:L44"/>
    <mergeCell ref="D44:E44"/>
    <mergeCell ref="J30:J38"/>
    <mergeCell ref="K30:K38"/>
    <mergeCell ref="L30:L38"/>
    <mergeCell ref="C33:C34"/>
    <mergeCell ref="E33:E34"/>
    <mergeCell ref="C35:C36"/>
    <mergeCell ref="E35:E36"/>
    <mergeCell ref="B28:B29"/>
    <mergeCell ref="C28:E28"/>
    <mergeCell ref="F28:F29"/>
    <mergeCell ref="K28:K29"/>
    <mergeCell ref="L28:L29"/>
    <mergeCell ref="D29:E29"/>
    <mergeCell ref="C20:C21"/>
    <mergeCell ref="E20:E21"/>
    <mergeCell ref="K24:L24"/>
    <mergeCell ref="B27:H27"/>
    <mergeCell ref="I27:L27"/>
    <mergeCell ref="B26:L26"/>
    <mergeCell ref="L13:L14"/>
    <mergeCell ref="D14:E14"/>
    <mergeCell ref="J15:J23"/>
    <mergeCell ref="K15:K23"/>
    <mergeCell ref="L15:L23"/>
    <mergeCell ref="I13:I14"/>
    <mergeCell ref="C18:C19"/>
    <mergeCell ref="E18:E19"/>
    <mergeCell ref="B12:H12"/>
    <mergeCell ref="I12:L12"/>
    <mergeCell ref="B2:L4"/>
    <mergeCell ref="B6:H6"/>
    <mergeCell ref="J6:L6"/>
    <mergeCell ref="J7:L7"/>
    <mergeCell ref="B11:L11"/>
    <mergeCell ref="B13:B14"/>
    <mergeCell ref="C13:E13"/>
    <mergeCell ref="F13:F14"/>
    <mergeCell ref="G13:G14"/>
    <mergeCell ref="H13:H14"/>
    <mergeCell ref="J13:J14"/>
    <mergeCell ref="K13:K14"/>
  </mergeCells>
  <conditionalFormatting sqref="E15:E18 E20 E22:E23">
    <cfRule type="cellIs" dxfId="27" priority="4" operator="between">
      <formula>0.7</formula>
      <formula>1</formula>
    </cfRule>
    <cfRule type="cellIs" dxfId="26" priority="5" operator="greaterThanOrEqual">
      <formula>1</formula>
    </cfRule>
    <cfRule type="cellIs" dxfId="25" priority="6" operator="lessThan">
      <formula>0.7</formula>
    </cfRule>
  </conditionalFormatting>
  <conditionalFormatting sqref="E30:E33 E35 E37:E38">
    <cfRule type="cellIs" dxfId="24" priority="1" operator="between">
      <formula>0.7</formula>
      <formula>1</formula>
    </cfRule>
    <cfRule type="cellIs" dxfId="23" priority="2" operator="greaterThanOrEqual">
      <formula>1</formula>
    </cfRule>
    <cfRule type="cellIs" dxfId="22" priority="3" operator="lessThan">
      <formula>0.7</formula>
    </cfRule>
  </conditionalFormatting>
  <conditionalFormatting sqref="E45:E48 E50 E52:E53">
    <cfRule type="cellIs" dxfId="21" priority="7" operator="between">
      <formula>0.7</formula>
      <formula>1</formula>
    </cfRule>
    <cfRule type="cellIs" dxfId="20" priority="8" operator="greaterThanOrEqual">
      <formula>1</formula>
    </cfRule>
    <cfRule type="cellIs" dxfId="19" priority="9" operator="lessThan">
      <formula>0.7</formula>
    </cfRule>
  </conditionalFormatting>
  <dataValidations count="1">
    <dataValidation type="list" allowBlank="1" showInputMessage="1" showErrorMessage="1" sqref="B8:H8" xr:uid="{2567A37D-2318-4E90-9EC9-CDAF4D64B8EA}">
      <formula1>$N$6:$P$6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35486A-9FC4-4E5A-AF6B-1BE8221CCC65}">
          <x14:formula1>
            <xm:f>PROJEÇÃO!$T$2:$T$106</xm:f>
          </x14:formula1>
          <xm:sqref>J7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19B26-1765-49EF-8EC0-0E1D23B83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FATORES</vt:lpstr>
      <vt:lpstr>REALIZADO</vt:lpstr>
      <vt:lpstr>PROJEÇÃO</vt:lpstr>
      <vt:lpstr>CAPA</vt:lpstr>
      <vt:lpstr>ARIEL</vt:lpstr>
      <vt:lpstr>LUIZ</vt:lpstr>
      <vt:lpstr>THAYANDRA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Rede Confiança</dc:creator>
  <cp:keywords/>
  <dc:description/>
  <cp:lastModifiedBy>João Rede Confiança</cp:lastModifiedBy>
  <cp:revision/>
  <dcterms:created xsi:type="dcterms:W3CDTF">2025-10-16T19:49:07Z</dcterms:created>
  <dcterms:modified xsi:type="dcterms:W3CDTF">2026-04-14T17:18:48Z</dcterms:modified>
  <cp:category/>
  <cp:contentStatus/>
</cp:coreProperties>
</file>